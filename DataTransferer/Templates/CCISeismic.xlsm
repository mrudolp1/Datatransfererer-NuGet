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819D32B3-76FD-4BA3-920B-23E8CF7FECDF}" xr6:coauthVersionLast="47" xr6:coauthVersionMax="47" xr10:uidLastSave="{00000000-0000-0000-0000-000000000000}"/>
  <bookViews>
    <workbookView xWindow="28680" yWindow="-120" windowWidth="29040" windowHeight="1599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state="hidden" r:id="rId19"/>
    <sheet name="Notes" sheetId="31" r:id="rId20"/>
    <sheet name="Details (SAPI)" sheetId="38" state="hidden" r:id="rId21"/>
    <sheet name="Error Log" sheetId="28" state="hidden" r:id="rId22"/>
  </sheets>
  <functionGroups builtInGroupCount="19"/>
  <externalReferences>
    <externalReference r:id="rId23"/>
    <externalReference r:id="rId24"/>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D">'Details (SAPI)'!$A$2</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38" l="1"/>
  <c r="AC2" i="38"/>
  <c r="AB2" i="38"/>
  <c r="AA2" i="38"/>
  <c r="Z2" i="38"/>
  <c r="X2" i="38"/>
  <c r="W2" i="38"/>
  <c r="V2" i="38"/>
  <c r="U2" i="38"/>
  <c r="T2" i="38"/>
  <c r="S2" i="38"/>
  <c r="R2" i="38"/>
  <c r="Q2" i="38"/>
  <c r="P2" i="38"/>
  <c r="O2" i="38"/>
  <c r="N2" i="38"/>
  <c r="M2" i="38"/>
  <c r="L2" i="38"/>
  <c r="K2" i="38"/>
  <c r="J2" i="38"/>
  <c r="I2" i="38"/>
  <c r="H2" i="38"/>
  <c r="G2" i="38"/>
  <c r="F2" i="38"/>
  <c r="E2" i="38"/>
  <c r="D2" i="38"/>
  <c r="C2" i="38"/>
  <c r="A3" i="31" l="1"/>
  <c r="E1" i="24"/>
  <c r="B2" i="38" s="1"/>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2" i="31" l="1"/>
  <c r="AD5" i="27"/>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E1A8F31B-FB3D-40BA-B500-3862DD22D180}">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<sst xmlns="http://schemas.openxmlformats.org/spreadsheetml/2006/main" count="1195" uniqueCount="407">
  <si>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</si>
  <si>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</si>
  <si>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</si>
  <si>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</si>
  <si>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</si>
  <si>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</si>
  <si>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</si>
  <si>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</si>
  <si>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</si>
  <si>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</si>
  <si>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</si>
  <si>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</si>
  <si>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</si>
  <si>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</si>
  <si>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</si>
  <si>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</si>
  <si>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</si>
  <si>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</si>
  <si>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</si>
  <si>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</si>
  <si>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</si>
  <si>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</si>
  <si>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</si>
  <si>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</si>
  <si>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</si>
  <si>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</si>
  <si>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</si>
  <si>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</si>
  <si>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</si>
  <si>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</si>
  <si>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</si>
  <si>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</si>
  <si>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</si>
  <si>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</si>
  <si>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</si>
  <si>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</si>
  <si>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</si>
  <si>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</si>
  <si>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</si>
  <si>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</si>
  <si>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</si>
  <si>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</si>
  <si>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</si>
  <si>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</si>
  <si>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</si>
  <si>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</si>
  <si>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</si>
  <si>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</si>
  <si>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</si>
  <si>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</si>
  <si>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</si>
  <si>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</si>
  <si>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</si>
  <si>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</si>
  <si>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</si>
  <si>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</si>
  <si>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</si>
  <si>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</si>
  <si>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</si>
  <si>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</si>
  <si>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</si>
  <si>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</si>
  <si>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</si>
  <si>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</si>
  <si>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</si>
  <si>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</si>
  <si>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</si>
  <si>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</si>
  <si>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</si>
  <si>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</si>
  <si>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</si>
  <si>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</si>
  <si>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</si>
  <si>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</si>
  <si>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</si>
  <si>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</si>
  <si>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</si>
  <si>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</si>
  <si>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</si>
  <si>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</si>
  <si>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</si>
  <si>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</si>
  <si>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</si>
  <si>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</si>
  <si>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</si>
  <si>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</si>
  <si>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</si>
  <si>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</si>
  <si>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</si>
  <si>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</si>
  <si>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</si>
  <si>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</si>
  <si>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</si>
  <si>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</si>
  <si>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</si>
  <si>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</si>
  <si>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</si>
  <si>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</si>
  <si>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</si>
  <si>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</si>
  <si>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</si>
  <si>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</si>
  <si>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</si>
  <si>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</si>
  <si>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</si>
  <si>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</si>
  <si>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</si>
  <si>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</si>
  <si>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</si>
  <si>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</si>
  <si>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</si>
  <si>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</si>
  <si>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</si>
  <si>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</si>
  <si>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</si>
  <si>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</si>
  <si>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</si>
  <si>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</si>
  <si>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</si>
  <si>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</si>
  <si>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</si>
  <si>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</si>
  <si>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</si>
  <si>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</si>
  <si>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</si>
  <si>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</si>
  <si>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</si>
  <si>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</si>
  <si>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</si>
  <si>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</si>
  <si>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</si>
  <si>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</si>
  <si>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</si>
  <si>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</si>
  <si>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</si>
  <si>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</si>
  <si>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</si>
  <si>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</si>
  <si>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</si>
  <si>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</si>
  <si>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</si>
  <si>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</si>
  <si>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</si>
  <si>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</si>
  <si>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</si>
  <si>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</si>
  <si>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</si>
  <si>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</si>
  <si>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</si>
  <si>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</si>
  <si>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</si>
  <si>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</si>
  <si>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</si>
  <si>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</si>
  <si>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</si>
  <si>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</si>
  <si>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</si>
  <si>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</si>
  <si>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</si>
  <si>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</si>
  <si>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</si>
  <si>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</si>
  <si>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</si>
  <si>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</si>
  <si>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</si>
  <si>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</si>
  <si>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</si>
  <si>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</si>
  <si>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</si>
  <si>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</si>
  <si>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</si>
  <si>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</si>
  <si>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</si>
  <si>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</si>
  <si>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</si>
  <si>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</si>
  <si>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</si>
  <si>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</si>
  <si>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</si>
  <si>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</si>
  <si>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</si>
  <si>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</si>
  <si>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</si>
  <si>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</si>
  <si>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</si>
  <si>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</si>
  <si>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</si>
  <si>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</si>
  <si>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</si>
  <si>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</si>
  <si>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</si>
  <si>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</si>
  <si>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</si>
  <si>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</si>
  <si>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</si>
  <si>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</si>
  <si>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</si>
  <si>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</si>
  <si>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</si>
  <si>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</si>
  <si>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</si>
  <si>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</si>
  <si>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</si>
  <si>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</si>
  <si>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</si>
  <si>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</si>
  <si>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</si>
  <si>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</si>
  <si>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</si>
  <si>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</si>
  <si>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</si>
  <si>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</si>
  <si>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</si>
  <si>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</si>
  <si>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</si>
  <si>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</si>
  <si>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</si>
  <si>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</si>
  <si>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</si>
  <si>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</si>
  <si>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</si>
  <si>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</si>
  <si>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</si>
  <si>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</si>
  <si>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</si>
  <si>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</si>
  <si>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</si>
  <si>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</si>
  <si>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</si>
  <si>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</si>
  <si>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</si>
  <si>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</si>
  <si>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</si>
  <si>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</si>
  <si>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</si>
  <si>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</si>
  <si>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</si>
  <si>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</si>
  <si>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</si>
  <si>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</si>
  <si>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</si>
  <si>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</si>
  <si>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</si>
  <si>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</si>
  <si>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</si>
  <si>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</si>
  <si>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</si>
  <si>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</si>
  <si>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</si>
  <si>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</si>
  <si>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</si>
  <si>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</si>
  <si>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</si>
  <si>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</si>
  <si>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</si>
  <si>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</si>
  <si>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</si>
  <si>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</si>
  <si>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</si>
  <si>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</si>
  <si>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</si>
  <si>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</si>
  <si>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</si>
  <si>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</si>
  <si>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</si>
  <si>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</si>
  <si>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</si>
  <si>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</si>
  <si>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</si>
  <si>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</si>
  <si>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</si>
  <si>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</si>
  <si>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</si>
  <si>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</si>
  <si>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</si>
  <si>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</si>
  <si>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</si>
  <si>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</si>
  <si>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</si>
  <si>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</si>
  <si>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</si>
  <si>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</si>
  <si>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</si>
  <si>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</si>
  <si>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</si>
  <si>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</si>
  <si>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</si>
  <si>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</si>
  <si>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</si>
  <si>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</si>
  <si>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</si>
  <si>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</si>
  <si>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</si>
  <si>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</si>
  <si>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</si>
  <si>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</si>
  <si>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</si>
  <si>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</si>
  <si>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</si>
  <si>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</si>
  <si>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</si>
  <si>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</si>
  <si>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</si>
  <si>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</si>
  <si>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</si>
  <si>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</si>
  <si>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</si>
  <si>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</si>
  <si>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</si>
  <si>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</si>
  <si>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</si>
  <si>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</si>
  <si>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</si>
  <si>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</si>
  <si>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</si>
  <si>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</si>
  <si>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</si>
  <si>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</si>
  <si>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</si>
  <si>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</si>
  <si>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</si>
  <si>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</si>
  <si>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</si>
  <si>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</si>
  <si>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</si>
  <si>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</si>
  <si>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</si>
  <si>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</si>
  <si>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</si>
  <si>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</si>
  <si>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</si>
  <si>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</si>
  <si>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</si>
  <si>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</si>
  <si>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</si>
  <si>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</si>
  <si>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</si>
  <si>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</si>
  <si>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</si>
  <si>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</si>
  <si>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</si>
  <si>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</si>
  <si>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</si>
  <si>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</si>
  <si>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</si>
  <si>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</si>
  <si>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</si>
  <si>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</si>
  <si>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</si>
  <si>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</si>
  <si>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</si>
  <si>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</si>
  <si>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</si>
  <si>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</si>
  <si>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</si>
  <si>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</si>
  <si>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</si>
  <si>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</si>
  <si>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</si>
  <si>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</si>
  <si>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</si>
  <si>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</si>
  <si>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</si>
  <si>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</si>
  <si>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</si>
  <si>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</si>
  <si>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</si>
  <si>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</si>
  <si>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</si>
  <si>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</si>
  <si>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</si>
  <si>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</si>
  <si>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</si>
  <si>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</si>
  <si>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</si>
  <si>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</si>
  <si>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</si>
  <si>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</si>
  <si>
    <t>ID</t>
  </si>
  <si>
    <t>tool_version</t>
  </si>
  <si>
    <t>lat_sign</t>
  </si>
  <si>
    <t>lat_deg</t>
  </si>
  <si>
    <t>lat_min</t>
  </si>
  <si>
    <t>lat_sec</t>
  </si>
  <si>
    <t>long_sign</t>
  </si>
  <si>
    <t>long_deg</t>
  </si>
  <si>
    <t>long_min</t>
  </si>
  <si>
    <t>long_sec</t>
  </si>
  <si>
    <t>use_asce</t>
  </si>
  <si>
    <t>site_soil</t>
  </si>
  <si>
    <t>risk_category</t>
  </si>
  <si>
    <t>s1</t>
  </si>
  <si>
    <t>importance_factor_override</t>
  </si>
  <si>
    <t>importance_factor_user</t>
  </si>
  <si>
    <t>response_accel_override</t>
  </si>
  <si>
    <t>sd1_user</t>
  </si>
  <si>
    <t>amp_factor</t>
  </si>
  <si>
    <t>tia_approx_period</t>
  </si>
  <si>
    <t>fundamental_period_user</t>
  </si>
  <si>
    <t>density_tower_material</t>
  </si>
  <si>
    <t>elasticity</t>
  </si>
  <si>
    <t>create_seismic_loads</t>
  </si>
  <si>
    <t>user_force_appurtenance</t>
  </si>
  <si>
    <t>mp_density_override</t>
  </si>
  <si>
    <t>3.3.10</t>
  </si>
  <si>
    <t>CWH</t>
  </si>
  <si>
    <t>-Incorporated SAPI compatibility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</si>
</sst>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29"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
      <b/>
      <sz val="9"/>
      <color indexed="81"/>
      <name val="Tahoma"/>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81">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0" fillId="0" borderId="1" xfId="0" applyBorder="1" applyAlignment="1">
      <alignment horizontal="center"/>
    </xf>
    <xf numFmtId="0" fontId="0" fillId="0" borderId="1" xfId="0" applyBorder="1" applyAlignment="1">
      <alignment horizontal="center"/>
    </xf>
    <xf numFmtId="0" fontId="23" fillId="0" borderId="1" xfId="0" applyFont="1" applyBorder="1" applyAlignment="1">
      <alignment horizontal="center"/>
    </xf>
    <xf numFmtId="0" fontId="0" fillId="3" borderId="1" xfId="0" applyFill="1" applyBorder="1" applyAlignment="1">
      <alignment horizontal="center"/>
    </xf>
    <xf numFmtId="0" fontId="0" fillId="0" borderId="1" xfId="0" quotePrefix="1" applyBorder="1" applyAlignment="1" applyProtection="1">
      <alignment vertical="top"/>
    </xf>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xmlMaps" Target="xmlMap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W27" totalsRowShown="0">
  <autoFilter ref="A2:W27" xr:uid="{C43F7D1A-64D3-4A18-9625-956AAFCD8C5B}"/>
  <tableColumns count="23">
    <tableColumn id="1" xr3:uid="{22E418C5-C943-46D1-A927-AAC1E2DDD4E2}" name="Default Sheet Name"/>
    <tableColumn id="23" xr3:uid="{E581D3A1-93DD-4AE2-8E8C-7FD2AC77E68B}" name="3.3.10"/>
    <tableColumn id="22" xr3:uid="{7361784C-126C-435C-9820-D2AAC2F084A1}" name="3.3.9"/>
    <tableColumn id="18" xr3:uid="{4CF116F7-170E-49CD-BF81-B2310D75F856}" name="3.3.8"/>
    <tableColumn id="20" xr3:uid="{DAB787D2-3FB1-466E-B3BB-218618446922}" name="3.3.7"/>
    <tableColumn id="19" xr3:uid="{403C7083-BF67-4362-8CF8-B8A827173A84}" name="3.3.6"/>
    <tableColumn id="17" xr3:uid="{F1B22A0F-27BE-4F04-85A4-54B29D51126E}" name="3.3.5"/>
    <tableColumn id="16" xr3:uid="{03E02249-0ACD-45DB-B559-6DB4F83F4022}" name="3.3.4"/>
    <tableColumn id="2" xr3:uid="{28874893-52FE-4768-AAD5-746EE42D4CC4}" name="3.3.3"/>
    <tableColumn id="3" xr3:uid="{519B5001-0286-4965-8481-957A1B28B533}" name="3.3.2"/>
    <tableColumn id="4" xr3:uid="{80D7F63A-2C8A-4355-9875-CD3D1F6B4CD0}" name="3.3.1"/>
    <tableColumn id="5" xr3:uid="{540C3E7D-89C0-49A9-99EB-93A24F32EBC5}" name="3.3.0"/>
    <tableColumn id="6" xr3:uid="{25A2E5F9-2662-475B-9CB8-F236629BD2FE}" name="3.2.4"/>
    <tableColumn id="7" xr3:uid="{D7FC9474-CE43-4D35-AF39-98E3A7B00A96}" name="3.2.3"/>
    <tableColumn id="8" xr3:uid="{4CDF0938-9FF0-4C47-9996-81A82F93DB5B}" name="3.2.2"/>
    <tableColumn id="9" xr3:uid="{3305BFD3-2C59-414A-86A5-FB9B2FFCFB1E}" name="3.2.1"/>
    <tableColumn id="10" xr3:uid="{246668E8-0359-4D56-8F71-5FEBB195C0B3}" name="3.2.0"/>
    <tableColumn id="11" xr3:uid="{F95CEB6C-3619-4E07-BD02-CB51C39110D4}" name="3.1.3"/>
    <tableColumn id="12" xr3:uid="{A1BA3AFB-AE38-4D63-A4C6-159AE2C3DFC5}" name="3.1.2"/>
    <tableColumn id="13" xr3:uid="{41EB65A5-C02B-4442-A8F7-4F8866C90F9D}" name="3.1.1"/>
    <tableColumn id="14" xr3:uid="{EEC34EE2-4856-4E85-84C6-4217B082558C}" name="3.1.0"/>
    <tableColumn id="15" xr3:uid="{E9425DAC-B699-4813-AF1D-3DE3B2DF67DC}" name="3.0.1"/>
    <tableColumn id="21" xr3:uid="{B7982EA5-A17C-40ED-9002-7B6AA4F11191}"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2" sqref="H2"/>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5" t="s">
        <v>101</v>
      </c>
      <c r="C6" s="165"/>
      <c r="D6" s="165"/>
      <c r="E6" s="165"/>
      <c r="F6" s="165"/>
      <c r="G6" s="165"/>
      <c r="H6" s="165"/>
      <c r="I6" s="165"/>
      <c r="J6" s="165"/>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5" t="s">
        <v>102</v>
      </c>
      <c r="C11" s="165"/>
      <c r="D11" s="165"/>
      <c r="E11" s="165"/>
      <c r="F11" s="165"/>
      <c r="G11" s="165"/>
      <c r="H11" s="165"/>
      <c r="I11" s="165"/>
      <c r="J11" s="165"/>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t="s">
        <v>296</v>
      </c>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5" t="s">
        <v>103</v>
      </c>
      <c r="C21" s="165"/>
      <c r="D21" s="165"/>
      <c r="E21" s="165"/>
      <c r="F21" s="165"/>
      <c r="G21" s="165"/>
      <c r="H21" s="165"/>
      <c r="I21" s="165"/>
      <c r="J21" s="165"/>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7" t="s">
        <v>266</v>
      </c>
      <c r="C40" s="167"/>
      <c r="D40" s="167"/>
      <c r="E40" s="167"/>
      <c r="F40" s="167"/>
      <c r="G40" s="167"/>
      <c r="H40" s="167"/>
      <c r="I40" s="167"/>
      <c r="J40" s="167"/>
    </row>
    <row r="41" spans="1:10" hidden="1" x14ac:dyDescent="0.25">
      <c r="B41" s="166" t="s">
        <v>267</v>
      </c>
      <c r="C41" s="166"/>
      <c r="D41" s="166"/>
      <c r="E41" s="166"/>
      <c r="F41" s="166"/>
      <c r="G41" s="166"/>
      <c r="H41" s="166"/>
      <c r="I41" s="166"/>
      <c r="J41" s="166"/>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3.3.10&amp;CPage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5" t="s">
        <v>104</v>
      </c>
      <c r="C6" s="165"/>
      <c r="D6" s="165"/>
      <c r="E6" s="165"/>
      <c r="F6" s="165"/>
      <c r="G6" s="165"/>
      <c r="H6" s="165"/>
      <c r="I6" s="165"/>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customHeight="1" x14ac:dyDescent="0.35">
      <c r="B11" s="32"/>
      <c r="C11" s="22"/>
      <c r="D11" s="22"/>
      <c r="E11" s="22"/>
      <c r="F11" s="33" t="s">
        <v>196</v>
      </c>
      <c r="G11" s="75">
        <v>1</v>
      </c>
      <c r="H11" s="22"/>
      <c r="I11" s="34" t="str">
        <f>IF(dcode="","",IF(OR(dcode="TIA-222-H",dcode="TIA-222-H-1"),"2.7.8.1",IF(dcode="TIA-222-G","2.7.12.1","")))</f>
        <v>2.7.8.1</v>
      </c>
    </row>
    <row r="12" spans="1:13" x14ac:dyDescent="0.25">
      <c r="B12" s="32"/>
      <c r="C12" s="22"/>
      <c r="D12" s="22"/>
      <c r="E12" s="22"/>
      <c r="F12" s="33"/>
      <c r="G12" s="22"/>
      <c r="H12" s="22"/>
      <c r="I12" s="34"/>
    </row>
    <row r="13" spans="1:13" x14ac:dyDescent="0.25">
      <c r="B13" s="168" t="s">
        <v>105</v>
      </c>
      <c r="C13" s="169"/>
      <c r="D13" s="169"/>
      <c r="E13" s="169"/>
      <c r="F13" s="169"/>
      <c r="G13" s="169"/>
      <c r="H13" s="169"/>
      <c r="I13" s="170"/>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2.7.7.1.3.3</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2.7.7.1.3.2</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2.7.7.1.3.4</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2.7.7.1.1</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2.7.7.1.1</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2.7.7.1.1</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2.7.7.1.1</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2.7.7.1.1</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2.7.7.1.1</v>
      </c>
    </row>
    <row r="58" spans="1:9" x14ac:dyDescent="0.25">
      <c r="B58" s="35"/>
      <c r="C58" s="36"/>
      <c r="D58" s="36"/>
      <c r="E58" s="36"/>
      <c r="F58" s="37"/>
      <c r="G58" s="36"/>
      <c r="H58" s="36"/>
      <c r="I58" s="38"/>
    </row>
    <row r="59" spans="1:9" x14ac:dyDescent="0.25">
      <c r="B59" s="168" t="s">
        <v>149</v>
      </c>
      <c r="C59" s="169"/>
      <c r="D59" s="169"/>
      <c r="E59" s="169"/>
      <c r="F59" s="169"/>
      <c r="G59" s="169"/>
      <c r="H59" s="169"/>
      <c r="I59" s="170"/>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71" t="s">
        <v>134</v>
      </c>
      <c r="C2" s="172"/>
      <c r="D2" s="172"/>
      <c r="E2" s="172"/>
      <c r="F2" s="172"/>
      <c r="G2" s="172"/>
      <c r="H2" s="172"/>
      <c r="I2" s="172"/>
      <c r="J2" s="172"/>
      <c r="AB2" s="173" t="s">
        <v>133</v>
      </c>
      <c r="AC2" s="173"/>
      <c r="AD2" s="173"/>
      <c r="AE2" s="173"/>
      <c r="AF2" s="173"/>
      <c r="AG2" s="173"/>
      <c r="AH2" s="173"/>
      <c r="AI2" s="174" t="s">
        <v>243</v>
      </c>
      <c r="AJ2" s="175"/>
      <c r="AK2" s="175"/>
      <c r="AL2" s="175"/>
      <c r="AM2" s="176"/>
      <c r="BB2" s="171" t="s">
        <v>0</v>
      </c>
      <c r="BC2" s="172"/>
      <c r="BD2" s="172"/>
      <c r="BE2" s="172"/>
      <c r="BF2" s="172"/>
      <c r="BG2" s="172"/>
      <c r="BH2" s="172"/>
      <c r="CB2" s="171" t="s">
        <v>97</v>
      </c>
      <c r="CC2" s="172"/>
      <c r="CD2" s="172"/>
      <c r="CE2" s="172"/>
      <c r="CF2" s="172"/>
      <c r="CG2" s="172"/>
      <c r="CH2" s="172"/>
      <c r="CI2" s="172"/>
      <c r="CJ2" s="172"/>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71" t="s">
        <v>134</v>
      </c>
      <c r="C2" s="172"/>
      <c r="D2" s="172"/>
      <c r="E2" s="172"/>
      <c r="F2" s="172"/>
      <c r="G2" s="172"/>
      <c r="H2" s="172"/>
      <c r="I2" s="172"/>
      <c r="J2" s="172"/>
      <c r="K2" s="172"/>
      <c r="AB2" s="171" t="s">
        <v>0</v>
      </c>
      <c r="AC2" s="172"/>
      <c r="AD2" s="172"/>
      <c r="AE2" s="172"/>
      <c r="AF2" s="172"/>
      <c r="AG2" s="172"/>
      <c r="AH2" s="172"/>
      <c r="AI2" s="172"/>
      <c r="BB2" s="171" t="s">
        <v>97</v>
      </c>
      <c r="BC2" s="172"/>
      <c r="BD2" s="172"/>
      <c r="BE2" s="172"/>
      <c r="BF2" s="172"/>
      <c r="BG2" s="172"/>
      <c r="BH2" s="172"/>
      <c r="BI2" s="172"/>
      <c r="BJ2" s="172"/>
      <c r="BK2" s="172"/>
      <c r="CB2" s="171" t="s">
        <v>134</v>
      </c>
      <c r="CC2" s="172"/>
      <c r="CD2" s="172"/>
      <c r="CE2" s="172"/>
      <c r="CF2" s="172"/>
      <c r="CG2" s="172"/>
      <c r="CH2" s="172"/>
      <c r="CI2" s="172"/>
      <c r="DB2" s="173" t="s">
        <v>133</v>
      </c>
      <c r="DC2" s="173"/>
      <c r="DD2" s="173"/>
      <c r="DE2" s="173"/>
      <c r="DF2" s="173"/>
      <c r="DG2" s="173"/>
      <c r="DH2" s="174" t="s">
        <v>243</v>
      </c>
      <c r="DI2" s="175"/>
      <c r="DJ2" s="175"/>
      <c r="DK2" s="175"/>
      <c r="DL2" s="176"/>
      <c r="EB2" s="171" t="s">
        <v>0</v>
      </c>
      <c r="EC2" s="172"/>
      <c r="ED2" s="172"/>
      <c r="EE2" s="172"/>
      <c r="EF2" s="172"/>
      <c r="EG2" s="172"/>
      <c r="FB2" s="173" t="s">
        <v>97</v>
      </c>
      <c r="FC2" s="173"/>
      <c r="FD2" s="173"/>
      <c r="FE2" s="173"/>
      <c r="FF2" s="173"/>
      <c r="FG2" s="173"/>
      <c r="FH2" s="173"/>
      <c r="FI2" s="173"/>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71" t="s">
        <v>134</v>
      </c>
      <c r="C2" s="172"/>
      <c r="D2" s="172"/>
      <c r="E2" s="172"/>
      <c r="F2" s="172"/>
      <c r="G2" s="172"/>
      <c r="H2" s="172"/>
      <c r="I2" s="172"/>
      <c r="J2" s="172"/>
      <c r="AB2" s="173" t="s">
        <v>133</v>
      </c>
      <c r="AC2" s="173"/>
      <c r="AD2" s="173"/>
      <c r="AE2" s="173"/>
      <c r="AF2" s="173"/>
      <c r="AG2" s="173"/>
      <c r="AH2" s="173"/>
      <c r="AI2" s="174" t="s">
        <v>243</v>
      </c>
      <c r="AJ2" s="175"/>
      <c r="AK2" s="175"/>
      <c r="AL2" s="175"/>
      <c r="AM2" s="176"/>
      <c r="BB2" s="171" t="s">
        <v>0</v>
      </c>
      <c r="BC2" s="172"/>
      <c r="BD2" s="172"/>
      <c r="BE2" s="172"/>
      <c r="BF2" s="172"/>
      <c r="BG2" s="172"/>
      <c r="BH2" s="172"/>
      <c r="CB2" s="171" t="s">
        <v>97</v>
      </c>
      <c r="CC2" s="172"/>
      <c r="CD2" s="172"/>
      <c r="CE2" s="172"/>
      <c r="CF2" s="172"/>
      <c r="CG2" s="172"/>
      <c r="CH2" s="172"/>
      <c r="CI2" s="172"/>
      <c r="CJ2" s="172"/>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S18" sqref="S18"/>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7" t="s">
        <v>35</v>
      </c>
      <c r="D10" s="177"/>
      <c r="E10" s="177"/>
      <c r="F10" s="177"/>
      <c r="K10" s="177" t="s">
        <v>107</v>
      </c>
      <c r="L10" s="177"/>
      <c r="M10" s="177"/>
      <c r="N10" s="177"/>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See Section 2.7.4.1</v>
      </c>
      <c r="O28" s="24" t="str">
        <f t="shared" si="0"/>
        <v>See Section 2.7.4.1</v>
      </c>
      <c r="P28" s="24" t="str">
        <f t="shared" si="0"/>
        <v>See Section 2.7.4.1</v>
      </c>
      <c r="Q28" s="24" t="str">
        <f t="shared" si="0"/>
        <v>See Section 2.7.4.1</v>
      </c>
      <c r="R28" s="24" t="str">
        <f t="shared" si="0"/>
        <v>See Section 2.7.4.1</v>
      </c>
      <c r="S28" s="24" t="str">
        <f t="shared" si="0"/>
        <v>See Section 2.7.4.1</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See Section 2.7.4.1</v>
      </c>
      <c r="O38" s="24" t="str">
        <f t="shared" si="1"/>
        <v>See Section 2.7.4.1</v>
      </c>
      <c r="P38" s="24" t="str">
        <f t="shared" si="1"/>
        <v>See Section 2.7.4.1</v>
      </c>
      <c r="Q38" s="24" t="str">
        <f t="shared" si="1"/>
        <v>See Section 2.7.4.1</v>
      </c>
      <c r="R38" s="24" t="str">
        <f t="shared" si="1"/>
        <v>See Section 2.7.4.1</v>
      </c>
      <c r="S38" s="24" t="str">
        <f t="shared" si="1"/>
        <v>See Section 2.7.4.1</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79" t="s">
        <v>159</v>
      </c>
      <c r="Q1" s="179"/>
      <c r="R1" s="179"/>
      <c r="S1" s="179"/>
      <c r="T1" s="179"/>
      <c r="U1" s="179"/>
      <c r="V1" s="179"/>
      <c r="W1" s="179" t="s">
        <v>160</v>
      </c>
      <c r="X1" s="179"/>
      <c r="Y1" s="179"/>
      <c r="Z1" s="179"/>
      <c r="AA1" s="179"/>
      <c r="AB1" s="179"/>
      <c r="AC1" s="179"/>
    </row>
    <row r="2" spans="2:60" ht="17.25" customHeight="1" x14ac:dyDescent="0.25">
      <c r="C2" s="104" t="s">
        <v>187</v>
      </c>
      <c r="D2" s="122">
        <v>10</v>
      </c>
      <c r="P2" s="179" t="s">
        <v>176</v>
      </c>
      <c r="Q2" s="179"/>
      <c r="R2" s="179"/>
      <c r="S2" s="179" t="s">
        <v>161</v>
      </c>
      <c r="T2" s="179"/>
      <c r="U2" s="179"/>
      <c r="V2" s="112" t="s">
        <v>264</v>
      </c>
      <c r="W2" s="179" t="s">
        <v>176</v>
      </c>
      <c r="X2" s="179"/>
      <c r="Y2" s="179"/>
      <c r="Z2" s="179" t="s">
        <v>161</v>
      </c>
      <c r="AA2" s="179"/>
      <c r="AB2" s="179"/>
      <c r="AC2" s="112" t="s">
        <v>264</v>
      </c>
      <c r="AI2" s="178" t="s">
        <v>256</v>
      </c>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row>
    <row r="5" spans="2:60" x14ac:dyDescent="0.25">
      <c r="D5" s="132">
        <f>SUM(MonopoleSections[L])</f>
        <v>0</v>
      </c>
      <c r="E5" s="101"/>
      <c r="AG5" s="133">
        <f>SUM(MonopoleSections[IavgL])</f>
        <v>0</v>
      </c>
      <c r="AI5" s="178"/>
      <c r="AJ5" s="178"/>
      <c r="AK5" s="178"/>
      <c r="AL5" s="178"/>
      <c r="AM5" s="178"/>
      <c r="AN5" s="178"/>
      <c r="AO5" s="178"/>
      <c r="AP5" s="178"/>
      <c r="AQ5" s="178"/>
      <c r="AR5" s="178"/>
      <c r="AS5" s="178"/>
      <c r="AT5" s="178"/>
      <c r="AU5" s="178"/>
      <c r="AV5" s="178"/>
      <c r="AW5" s="178"/>
      <c r="AX5" s="178"/>
      <c r="AY5" s="178"/>
      <c r="AZ5" s="178"/>
      <c r="BA5" s="178"/>
      <c r="BB5" s="178"/>
      <c r="BC5" s="178"/>
      <c r="BD5" s="178"/>
      <c r="BE5" s="178"/>
      <c r="BF5" s="178"/>
      <c r="BG5" s="178"/>
      <c r="BH5" s="178"/>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zoomScaleNormal="100" workbookViewId="0">
      <selection activeCell="C27" sqref="C27"/>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3.3.10</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t="s">
        <v>404</v>
      </c>
      <c r="B24" s="110">
        <v>45009</v>
      </c>
      <c r="C24" s="164" t="s">
        <v>406</v>
      </c>
      <c r="D24" s="112" t="s">
        <v>405</v>
      </c>
      <c r="E24" s="112"/>
    </row>
    <row r="25" spans="1:5" x14ac:dyDescent="0.25">
      <c r="A25" s="115"/>
      <c r="B25" s="110"/>
      <c r="C25" s="113"/>
      <c r="D25" s="112"/>
      <c r="E25" s="112"/>
    </row>
    <row r="26" spans="1:5" x14ac:dyDescent="0.25">
      <c r="A26" s="115"/>
      <c r="B26" s="110"/>
      <c r="C26" s="113"/>
      <c r="D26" s="112"/>
      <c r="E26" s="112"/>
    </row>
    <row r="27" spans="1:5" x14ac:dyDescent="0.25">
      <c r="A27" s="115"/>
      <c r="B27" s="110"/>
      <c r="C27" s="113"/>
      <c r="D27" s="112"/>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dimension ref="A1:Z31"/>
  <sheetViews>
    <sheetView workbookViewId="0">
      <selection activeCell="C10" sqref="C10"/>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26" x14ac:dyDescent="0.25">
      <c r="A1" s="156" t="s">
        <v>229</v>
      </c>
      <c r="H1" s="154" t="s">
        <v>348</v>
      </c>
      <c r="R1" s="156" t="s">
        <v>353</v>
      </c>
      <c r="S1" t="s">
        <v>354</v>
      </c>
    </row>
    <row r="2" spans="1:26" x14ac:dyDescent="0.25">
      <c r="A2" t="s">
        <v>350</v>
      </c>
      <c r="B2" t="s">
        <v>404</v>
      </c>
      <c r="C2" t="s">
        <v>370</v>
      </c>
      <c r="D2" t="s">
        <v>369</v>
      </c>
      <c r="E2" t="s">
        <v>362</v>
      </c>
      <c r="F2" t="s">
        <v>360</v>
      </c>
      <c r="G2" t="s">
        <v>358</v>
      </c>
      <c r="H2" t="s">
        <v>356</v>
      </c>
      <c r="I2" t="s">
        <v>320</v>
      </c>
      <c r="J2" t="s">
        <v>318</v>
      </c>
      <c r="K2" t="s">
        <v>316</v>
      </c>
      <c r="L2" t="s">
        <v>298</v>
      </c>
      <c r="M2" t="s">
        <v>294</v>
      </c>
      <c r="N2" t="s">
        <v>291</v>
      </c>
      <c r="O2" t="s">
        <v>289</v>
      </c>
      <c r="P2" t="s">
        <v>288</v>
      </c>
      <c r="Q2" t="s">
        <v>284</v>
      </c>
      <c r="R2" t="s">
        <v>262</v>
      </c>
      <c r="S2" t="s">
        <v>258</v>
      </c>
      <c r="T2" t="s">
        <v>257</v>
      </c>
      <c r="U2" t="s">
        <v>252</v>
      </c>
      <c r="V2" t="s">
        <v>249</v>
      </c>
      <c r="W2" t="s">
        <v>244</v>
      </c>
      <c r="X2" s="118" t="s">
        <v>347</v>
      </c>
      <c r="Y2" s="118" t="s">
        <v>344</v>
      </c>
      <c r="Z2" s="118" t="s">
        <v>345</v>
      </c>
    </row>
    <row r="3" spans="1:26"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W3" t="s">
        <v>321</v>
      </c>
      <c r="X3" s="155" t="s">
        <v>341</v>
      </c>
      <c r="Y3" s="155" t="s">
        <v>349</v>
      </c>
      <c r="Z3" s="118"/>
    </row>
    <row r="4" spans="1:26"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W4" t="s">
        <v>322</v>
      </c>
      <c r="X4" s="155" t="s">
        <v>343</v>
      </c>
      <c r="Y4" s="155" t="s">
        <v>372</v>
      </c>
      <c r="Z4" s="118"/>
    </row>
    <row r="5" spans="1:26"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W5" t="s">
        <v>323</v>
      </c>
      <c r="X5" s="118" t="s">
        <v>342</v>
      </c>
      <c r="Y5" s="118" t="s">
        <v>229</v>
      </c>
      <c r="Z5" s="118" t="s">
        <v>346</v>
      </c>
    </row>
    <row r="6" spans="1:26"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c r="W6" t="s">
        <v>324</v>
      </c>
    </row>
    <row r="7" spans="1:26"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W7" t="s">
        <v>325</v>
      </c>
      <c r="X7" s="180" t="s">
        <v>352</v>
      </c>
      <c r="Y7" s="180"/>
      <c r="Z7" s="180"/>
    </row>
    <row r="8" spans="1:26"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W8" t="s">
        <v>326</v>
      </c>
      <c r="X8" s="180"/>
      <c r="Y8" s="180"/>
      <c r="Z8" s="180"/>
    </row>
    <row r="9" spans="1:26"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W9" t="s">
        <v>327</v>
      </c>
      <c r="X9" s="180"/>
      <c r="Y9" s="180"/>
      <c r="Z9" s="180"/>
    </row>
    <row r="10" spans="1:26"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W10" t="s">
        <v>328</v>
      </c>
      <c r="X10" s="180"/>
      <c r="Y10" s="180"/>
      <c r="Z10" s="180"/>
    </row>
    <row r="11" spans="1:26" x14ac:dyDescent="0.25">
      <c r="V11" t="s">
        <v>338</v>
      </c>
      <c r="W11" t="s">
        <v>338</v>
      </c>
    </row>
    <row r="12" spans="1:26" x14ac:dyDescent="0.25">
      <c r="B12" t="s">
        <v>329</v>
      </c>
      <c r="C12" t="s">
        <v>329</v>
      </c>
      <c r="D12" t="s">
        <v>329</v>
      </c>
      <c r="E12" t="s">
        <v>329</v>
      </c>
      <c r="F12" t="s">
        <v>329</v>
      </c>
      <c r="G12" t="s">
        <v>329</v>
      </c>
      <c r="H12" t="s">
        <v>329</v>
      </c>
      <c r="I12" t="s">
        <v>329</v>
      </c>
      <c r="J12" t="s">
        <v>329</v>
      </c>
      <c r="K12" t="s">
        <v>329</v>
      </c>
      <c r="L12" t="s">
        <v>329</v>
      </c>
      <c r="M12" t="s">
        <v>351</v>
      </c>
      <c r="N12" t="s">
        <v>351</v>
      </c>
      <c r="O12" t="s">
        <v>351</v>
      </c>
      <c r="P12" t="s">
        <v>351</v>
      </c>
      <c r="Q12" t="s">
        <v>351</v>
      </c>
      <c r="R12" t="s">
        <v>329</v>
      </c>
      <c r="S12" t="s">
        <v>329</v>
      </c>
      <c r="T12" t="s">
        <v>329</v>
      </c>
      <c r="U12" t="s">
        <v>329</v>
      </c>
      <c r="V12" t="s">
        <v>329</v>
      </c>
      <c r="W12" t="s">
        <v>329</v>
      </c>
    </row>
    <row r="13" spans="1:26" x14ac:dyDescent="0.25">
      <c r="B13" t="s">
        <v>335</v>
      </c>
      <c r="C13" t="s">
        <v>335</v>
      </c>
      <c r="D13" t="s">
        <v>335</v>
      </c>
      <c r="E13" t="s">
        <v>335</v>
      </c>
      <c r="F13" t="s">
        <v>335</v>
      </c>
      <c r="G13" t="s">
        <v>335</v>
      </c>
      <c r="H13" t="s">
        <v>335</v>
      </c>
      <c r="I13" t="s">
        <v>335</v>
      </c>
      <c r="J13" t="s">
        <v>335</v>
      </c>
      <c r="K13" t="s">
        <v>335</v>
      </c>
      <c r="L13" t="s">
        <v>335</v>
      </c>
    </row>
    <row r="14" spans="1:26"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c r="W14" t="s">
        <v>330</v>
      </c>
    </row>
    <row r="15" spans="1:26"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c r="W15" t="s">
        <v>331</v>
      </c>
    </row>
    <row r="16" spans="1:26"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c r="W16" t="s">
        <v>332</v>
      </c>
    </row>
    <row r="17" spans="2:23"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c r="W17" t="s">
        <v>333</v>
      </c>
    </row>
    <row r="18" spans="2:23"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c r="W18" t="s">
        <v>334</v>
      </c>
    </row>
    <row r="19" spans="2:23"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c r="W19" t="s">
        <v>340</v>
      </c>
    </row>
    <row r="20" spans="2:23"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c r="W20" t="s">
        <v>336</v>
      </c>
    </row>
    <row r="21" spans="2:23" x14ac:dyDescent="0.25">
      <c r="B21" t="s">
        <v>337</v>
      </c>
      <c r="C21" t="s">
        <v>337</v>
      </c>
      <c r="D21" t="s">
        <v>337</v>
      </c>
      <c r="E21" t="s">
        <v>337</v>
      </c>
      <c r="F21" t="s">
        <v>337</v>
      </c>
      <c r="G21" t="s">
        <v>337</v>
      </c>
      <c r="H21" t="s">
        <v>337</v>
      </c>
      <c r="I21" t="s">
        <v>337</v>
      </c>
      <c r="J21" t="s">
        <v>337</v>
      </c>
      <c r="K21" t="s">
        <v>337</v>
      </c>
      <c r="L21" t="s">
        <v>337</v>
      </c>
      <c r="M21" t="s">
        <v>339</v>
      </c>
      <c r="N21" t="s">
        <v>339</v>
      </c>
      <c r="O21" t="s">
        <v>339</v>
      </c>
      <c r="P21" t="s">
        <v>339</v>
      </c>
      <c r="Q21" t="s">
        <v>339</v>
      </c>
      <c r="R21" t="s">
        <v>339</v>
      </c>
      <c r="S21" t="s">
        <v>339</v>
      </c>
      <c r="T21" t="s">
        <v>339</v>
      </c>
      <c r="U21" t="s">
        <v>339</v>
      </c>
      <c r="V21" t="s">
        <v>339</v>
      </c>
      <c r="W21" t="s">
        <v>339</v>
      </c>
    </row>
    <row r="22" spans="2:23"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c r="W22" t="s">
        <v>18</v>
      </c>
    </row>
    <row r="23" spans="2:23"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c r="W23" t="s">
        <v>376</v>
      </c>
    </row>
    <row r="24" spans="2:23"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c r="W24" t="s">
        <v>377</v>
      </c>
    </row>
    <row r="25" spans="2:23" x14ac:dyDescent="0.25">
      <c r="B25" t="s">
        <v>375</v>
      </c>
      <c r="C25" t="s">
        <v>375</v>
      </c>
    </row>
    <row r="26" spans="2:23" x14ac:dyDescent="0.25">
      <c r="B26" t="s">
        <v>373</v>
      </c>
      <c r="C26" t="s">
        <v>373</v>
      </c>
    </row>
    <row r="27" spans="2:23" x14ac:dyDescent="0.25">
      <c r="B27" t="s">
        <v>374</v>
      </c>
      <c r="C27" t="s">
        <v>374</v>
      </c>
      <c r="H27" s="153"/>
    </row>
    <row r="31" spans="2:23" x14ac:dyDescent="0.25">
      <c r="N31" s="153"/>
    </row>
  </sheetData>
  <sheetProtection sheet="1" objects="1" scenarios="1"/>
  <mergeCells count="1">
    <mergeCell ref="X7:Z10"/>
  </mergeCells>
  <phoneticPr fontId="25" type="noConversion"/>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 sqref="A2"/>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3.3.10</v>
      </c>
    </row>
    <row r="3" spans="1:1" x14ac:dyDescent="0.25">
      <c r="A3" s="114" t="str">
        <f>CONCATENATE("Seismic calculations are in accordance with  ",dcode)</f>
        <v>Seismic calculations are in accordance with  TIA-222-H-1</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5C76F-8D00-44BC-9D90-19303176696A}">
  <sheetPr codeName="Sheet20"/>
  <dimension ref="A1:AC3"/>
  <sheetViews>
    <sheetView workbookViewId="0">
      <selection activeCell="G10" sqref="G10"/>
    </sheetView>
  </sheetViews>
  <sheetFormatPr defaultRowHeight="15" x14ac:dyDescent="0.25"/>
  <cols>
    <col min="1" max="1" width="10.140625" customWidth="1"/>
    <col min="2" max="2" width="12.140625" bestFit="1" customWidth="1"/>
    <col min="3" max="3" width="7.85546875" bestFit="1" customWidth="1"/>
    <col min="4" max="4" width="7.5703125" bestFit="1" customWidth="1"/>
    <col min="5" max="5" width="7.7109375" bestFit="1" customWidth="1"/>
    <col min="6" max="6" width="7.140625" bestFit="1" customWidth="1"/>
    <col min="7" max="7" width="9.42578125" bestFit="1" customWidth="1"/>
    <col min="9" max="9" width="9.28515625" bestFit="1" customWidth="1"/>
    <col min="10" max="10" width="8.7109375" bestFit="1" customWidth="1"/>
    <col min="11" max="11" width="9" bestFit="1" customWidth="1"/>
    <col min="12" max="12" width="8.42578125" bestFit="1" customWidth="1"/>
    <col min="13" max="13" width="12.7109375" bestFit="1" customWidth="1"/>
    <col min="14" max="14" width="5.28515625" customWidth="1"/>
    <col min="15" max="15" width="6.140625" customWidth="1"/>
    <col min="16" max="16" width="5.85546875" customWidth="1"/>
    <col min="17" max="17" width="26.42578125" bestFit="1" customWidth="1"/>
    <col min="18" max="18" width="22.5703125" bestFit="1" customWidth="1"/>
    <col min="19" max="19" width="23.5703125" bestFit="1" customWidth="1"/>
    <col min="20" max="20" width="8.7109375" bestFit="1" customWidth="1"/>
    <col min="21" max="21" width="8.85546875" bestFit="1" customWidth="1"/>
    <col min="22" max="22" width="11" bestFit="1" customWidth="1"/>
    <col min="23" max="23" width="17.5703125" bestFit="1" customWidth="1"/>
    <col min="24" max="24" width="24.5703125" bestFit="1" customWidth="1"/>
    <col min="25" max="25" width="24.5703125" customWidth="1"/>
    <col min="26" max="26" width="22.7109375" bestFit="1" customWidth="1"/>
    <col min="27" max="27" width="9" bestFit="1" customWidth="1"/>
    <col min="28" max="28" width="20.140625" bestFit="1" customWidth="1"/>
    <col min="29" max="29" width="24.140625" bestFit="1" customWidth="1"/>
  </cols>
  <sheetData>
    <row r="1" spans="1:29" x14ac:dyDescent="0.25">
      <c r="A1" s="162" t="s">
        <v>378</v>
      </c>
      <c r="B1" s="162" t="s">
        <v>379</v>
      </c>
      <c r="C1" s="162" t="s">
        <v>380</v>
      </c>
      <c r="D1" s="162" t="s">
        <v>381</v>
      </c>
      <c r="E1" s="162" t="s">
        <v>382</v>
      </c>
      <c r="F1" s="162" t="s">
        <v>383</v>
      </c>
      <c r="G1" s="162" t="s">
        <v>384</v>
      </c>
      <c r="H1" s="162" t="s">
        <v>385</v>
      </c>
      <c r="I1" s="162" t="s">
        <v>386</v>
      </c>
      <c r="J1" s="162" t="s">
        <v>387</v>
      </c>
      <c r="K1" s="162" t="s">
        <v>388</v>
      </c>
      <c r="L1" s="162" t="s">
        <v>389</v>
      </c>
      <c r="M1" s="162" t="s">
        <v>390</v>
      </c>
      <c r="N1" s="162" t="s">
        <v>332</v>
      </c>
      <c r="O1" s="162" t="s">
        <v>391</v>
      </c>
      <c r="P1" s="162" t="s">
        <v>334</v>
      </c>
      <c r="Q1" s="162" t="s">
        <v>392</v>
      </c>
      <c r="R1" s="162" t="s">
        <v>393</v>
      </c>
      <c r="S1" s="162" t="s">
        <v>394</v>
      </c>
      <c r="T1" s="162" t="s">
        <v>373</v>
      </c>
      <c r="U1" s="162" t="s">
        <v>395</v>
      </c>
      <c r="V1" s="162" t="s">
        <v>396</v>
      </c>
      <c r="W1" s="162" t="s">
        <v>397</v>
      </c>
      <c r="X1" s="162" t="s">
        <v>398</v>
      </c>
      <c r="Y1" s="162" t="s">
        <v>403</v>
      </c>
      <c r="Z1" s="162" t="s">
        <v>399</v>
      </c>
      <c r="AA1" s="162" t="s">
        <v>400</v>
      </c>
      <c r="AB1" s="162" t="s">
        <v>401</v>
      </c>
      <c r="AC1" s="162" t="s">
        <v>402</v>
      </c>
    </row>
    <row r="2" spans="1:29" x14ac:dyDescent="0.25">
      <c r="A2" s="163"/>
      <c r="B2" s="160" t="str">
        <f>IF(Revision="","",Revision)</f>
        <v>3.3.10</v>
      </c>
      <c r="C2" s="160" t="str">
        <f>IF(latsign="","",latsign)</f>
        <v>+</v>
      </c>
      <c r="D2" s="160" t="str">
        <f>IF(latdeg="","",latdeg)</f>
        <v/>
      </c>
      <c r="E2" s="160" t="str">
        <f>IF(latmin="","",latmin)</f>
        <v/>
      </c>
      <c r="F2" s="160" t="str">
        <f>IF(latsec="","",latsec)</f>
        <v/>
      </c>
      <c r="G2" s="160" t="str">
        <f>IF(longsign="","",longsign)</f>
        <v>-</v>
      </c>
      <c r="H2" s="160" t="str">
        <f>IF(longdeg="","",longdeg)</f>
        <v/>
      </c>
      <c r="I2" s="160" t="str">
        <f>IF(longmin="","",longmin)</f>
        <v/>
      </c>
      <c r="J2" s="160" t="str">
        <f>IF(longsec="","",longsec)</f>
        <v/>
      </c>
      <c r="K2" s="160" t="b">
        <f>IF(Use_ASCE="","",Use_ASCE)</f>
        <v>0</v>
      </c>
      <c r="L2" s="160" t="str">
        <f>IF(soil="","",soil)</f>
        <v/>
      </c>
      <c r="M2" s="160" t="str">
        <f>IF(risk="","",risk)</f>
        <v/>
      </c>
      <c r="N2" s="160" t="str">
        <f>IF(ss="","",ss)</f>
        <v/>
      </c>
      <c r="O2" s="160" t="str">
        <f>IF(suno="","",suno)</f>
        <v/>
      </c>
      <c r="P2" s="160" t="str">
        <f>IF(tl="","",tl)</f>
        <v/>
      </c>
      <c r="Q2" s="160" t="b">
        <f>IF(ie_override="","",ie_override)</f>
        <v>0</v>
      </c>
      <c r="R2" s="160" t="str">
        <f>IF(ie_user="","",ie_user)</f>
        <v/>
      </c>
      <c r="S2" s="160" t="b">
        <f>IF(sd_override="","",sd_override)</f>
        <v>0</v>
      </c>
      <c r="T2" s="160" t="str">
        <f>IF(sds_user="","",sds_user)</f>
        <v/>
      </c>
      <c r="U2" s="160" t="str">
        <f>IF(sduno_user="","",sduno_user)</f>
        <v/>
      </c>
      <c r="V2" s="160">
        <f>IF(As="","",As)</f>
        <v>1</v>
      </c>
      <c r="W2" s="160" t="b">
        <f>IF(Period="","",Period)</f>
        <v>1</v>
      </c>
      <c r="X2" s="160" t="str">
        <f>IF(t_user="","",t_user)</f>
        <v/>
      </c>
      <c r="Y2" s="161" t="b">
        <f>IF(mp_d_override="","",mp_d_override)</f>
        <v>0</v>
      </c>
      <c r="Z2" s="160">
        <f>IF(D_mp="","",D_mp)</f>
        <v>0.49</v>
      </c>
      <c r="AA2" s="160">
        <f>IF(E="","",E)</f>
        <v>29000</v>
      </c>
      <c r="AB2" s="160" t="b">
        <f>IF(Existing_UF="","",Existing_UF)</f>
        <v>0</v>
      </c>
      <c r="AC2" s="160" t="b">
        <f>IF(Existing_UF_Apps="","",Existing_UF_Apps)</f>
        <v>1</v>
      </c>
    </row>
    <row r="3" spans="1:29" x14ac:dyDescent="0.25">
      <c r="A3" t="b">
        <v>0</v>
      </c>
    </row>
  </sheetData>
  <sheetProtection sheet="1" objects="1" scenarios="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A3E37CD-AA16-46A8-9D43-54F73608EAD0}">
  <ds:schemaRefs>
    <ds:schemaRef ds:uri="http://schemas.microsoft.com/sharepoint/v3/contenttype/forms"/>
  </ds:schemaRefs>
</ds:datastoreItem>
</file>

<file path=customXml/itemProps2.xml><?xml version="1.0" encoding="utf-8"?>
<ds:datastoreItem xmlns:ds="http://schemas.openxmlformats.org/officeDocument/2006/customXml" ds:itemID="{D8AB91E2-8706-457B-9EBD-EFB3DD8EEFCF}">
  <ds:schemaRefs>
    <ds:schemaRef ds:uri="http://schemas.microsoft.com/DataMashup"/>
  </ds:schemaRefs>
</ds:datastoreItem>
</file>

<file path=customXml/itemProps3.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customXml/itemProps4.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564</vt:i4>
      </vt:variant>
    </vt:vector>
  </HeadingPairs>
  <TitlesOfParts>
    <vt:vector size="585"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Details (SAPI)</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ID</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CCISeismic Tool</dc:title>
  <dc:creator>Engineering Tools</dc:creator>
  <dc:description>Copyright 2023 Crown Castle.  All rights reserved.</dc:description>
  <cp:lastModifiedBy>Miller, Ian</cp:lastModifiedBy>
  <cp:lastPrinted>2023-04-14T18:20:05Z</cp:lastPrinted>
  <dcterms:created xsi:type="dcterms:W3CDTF">2017-05-08T19:57:01Z</dcterms:created>
  <dcterms:modified xsi:type="dcterms:W3CDTF">2023-05-02T14:06:06Z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Tool Version">
    <vt:lpwstr>3.3.10</vt:lpwstr>
  </property>
</Properties>
</file>
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4.xml" ContentType="application/vnd.openxmlformats-officedocument.drawing+xml"/>
  <Override PartName="/xl/ctrlProps/ctrlProp17.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508FE97D-1654-4D69-A037-17A315A4068F}" xr6:coauthVersionLast="47" xr6:coauthVersionMax="47" xr10:uidLastSave="{00000000-0000-0000-0000-000000000000}"/>
  <bookViews>
    <workbookView xWindow="57480" yWindow="-9315"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8" l="1"/>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AD2" i="38" s="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<sst xmlns="http://schemas.openxmlformats.org/spreadsheetml/2006/main" count="1295" uniqueCount="412">
  <si>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</si>
  <si>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</si>
  <si>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</si>
  <si>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</si>
  <si>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</si>
  <si>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</si>
  <si>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</si>
  <si>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</si>
  <si>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</si>
  <si>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</si>
  <si>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</si>
  <si>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</si>
  <si>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</si>
  <si>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</si>
  <si>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</si>
  <si>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</si>
  <si>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</si>
  <si>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</si>
  <si>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</si>
  <si>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</si>
  <si>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</si>
  <si>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</si>
  <si>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</si>
  <si>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</si>
  <si>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</si>
  <si>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</si>
  <si>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</si>
  <si>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</si>
  <si>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</si>
  <si>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</si>
  <si>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</si>
  <si>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</si>
  <si>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</si>
  <si>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</si>
  <si>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</si>
  <si>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</si>
  <si>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</si>
  <si>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</si>
  <si>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</si>
  <si>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</si>
  <si>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</si>
  <si>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</si>
  <si>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</si>
  <si>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</si>
  <si>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</si>
  <si>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</si>
  <si>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</si>
  <si>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</si>
  <si>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</si>
  <si>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</si>
  <si>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</si>
  <si>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</si>
  <si>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</si>
  <si>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</si>
  <si>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</si>
  <si>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</si>
  <si>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</si>
  <si>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</si>
  <si>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</si>
  <si>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</si>
  <si>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</si>
  <si>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</si>
  <si>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</si>
  <si>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</si>
  <si>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</si>
  <si>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</si>
  <si>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</si>
  <si>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</si>
  <si>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</si>
  <si>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</si>
  <si>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</si>
  <si>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</si>
  <si>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</si>
  <si>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</si>
  <si>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</si>
  <si>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</si>
  <si>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</si>
  <si>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</si>
  <si>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</si>
  <si>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</si>
  <si>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</si>
  <si>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</si>
  <si>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</si>
  <si>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</si>
  <si>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</si>
  <si>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</si>
  <si>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</si>
  <si>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</si>
  <si>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</si>
  <si>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</si>
  <si>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</si>
  <si>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</si>
  <si>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</si>
  <si>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</si>
  <si>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</si>
  <si>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</si>
  <si>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</si>
  <si>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</si>
  <si>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</si>
  <si>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</si>
  <si>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</si>
  <si>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</si>
  <si>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</si>
  <si>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</si>
  <si>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</si>
  <si>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</si>
  <si>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</si>
  <si>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</si>
  <si>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</si>
  <si>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</si>
  <si>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</si>
  <si>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</si>
  <si>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</si>
  <si>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</si>
  <si>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</si>
  <si>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</si>
  <si>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</si>
  <si>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</si>
  <si>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</si>
  <si>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</si>
  <si>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</si>
  <si>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</si>
  <si>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</si>
  <si>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</si>
  <si>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</si>
  <si>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</si>
  <si>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</si>
  <si>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</si>
  <si>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</si>
  <si>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</si>
  <si>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</si>
  <si>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</si>
  <si>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</si>
  <si>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</si>
  <si>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</si>
  <si>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</si>
  <si>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</si>
  <si>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</si>
  <si>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</si>
  <si>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</si>
  <si>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</si>
  <si>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</si>
  <si>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</si>
  <si>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</si>
  <si>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</si>
  <si>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</si>
  <si>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</si>
  <si>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</si>
  <si>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</si>
  <si>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</si>
  <si>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</si>
  <si>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</si>
  <si>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</si>
  <si>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</si>
  <si>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</si>
  <si>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</si>
  <si>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</si>
  <si>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</si>
  <si>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</si>
  <si>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</si>
  <si>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</si>
  <si>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</si>
  <si>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</si>
  <si>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</si>
  <si>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</si>
  <si>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</si>
  <si>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</si>
  <si>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</si>
  <si>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</si>
  <si>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</si>
  <si>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</si>
  <si>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</si>
  <si>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</si>
  <si>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</si>
  <si>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</si>
  <si>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</si>
  <si>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</si>
  <si>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</si>
  <si>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</si>
  <si>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</si>
  <si>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</si>
  <si>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</si>
  <si>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</si>
  <si>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</si>
  <si>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</si>
  <si>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</si>
  <si>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</si>
  <si>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</si>
  <si>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</si>
  <si>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</si>
  <si>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</si>
  <si>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</si>
  <si>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</si>
  <si>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</si>
  <si>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</si>
  <si>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</si>
  <si>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</si>
  <si>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</si>
  <si>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</si>
  <si>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</si>
  <si>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</si>
  <si>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</si>
  <si>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</si>
  <si>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</si>
  <si>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</si>
  <si>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</si>
  <si>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</si>
  <si>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</si>
  <si>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</si>
  <si>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</si>
  <si>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</si>
  <si>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</si>
  <si>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</si>
  <si>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</si>
  <si>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</si>
  <si>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</si>
  <si>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</si>
  <si>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</si>
  <si>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</si>
  <si>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</si>
  <si>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</si>
  <si>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</si>
  <si>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</si>
  <si>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</si>
  <si>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</si>
  <si>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</si>
  <si>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</si>
  <si>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</si>
  <si>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</si>
  <si>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</si>
  <si>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</si>
  <si>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</si>
  <si>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</si>
  <si>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</si>
  <si>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</si>
  <si>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</si>
  <si>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</si>
  <si>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</si>
  <si>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</si>
  <si>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</si>
  <si>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</si>
  <si>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</si>
  <si>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</si>
  <si>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</si>
  <si>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</si>
  <si>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</si>
  <si>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</si>
  <si>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</si>
  <si>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</si>
  <si>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</si>
  <si>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</si>
  <si>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</si>
  <si>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</si>
  <si>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</si>
  <si>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</si>
  <si>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</si>
  <si>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</si>
  <si>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</si>
  <si>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</si>
  <si>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</si>
  <si>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</si>
  <si>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</si>
  <si>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</si>
  <si>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</si>
  <si>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</si>
  <si>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</si>
  <si>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</si>
  <si>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</si>
  <si>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</si>
  <si>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</si>
  <si>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</si>
  <si>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</si>
  <si>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</si>
  <si>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</si>
  <si>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</si>
  <si>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</si>
  <si>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</si>
  <si>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</si>
  <si>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</si>
  <si>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</si>
  <si>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</si>
  <si>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</si>
  <si>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</si>
  <si>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</si>
  <si>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</si>
  <si>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</si>
  <si>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</si>
  <si>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</si>
  <si>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</si>
  <si>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</si>
  <si>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</si>
  <si>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</si>
  <si>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</si>
  <si>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</si>
  <si>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</si>
  <si>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</si>
  <si>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</si>
  <si>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</si>
  <si>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</si>
  <si>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</si>
  <si>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</si>
  <si>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</si>
  <si>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</si>
  <si>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</si>
  <si>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</si>
  <si>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</si>
  <si>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</si>
  <si>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</si>
  <si>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</si>
  <si>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</si>
  <si>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</si>
  <si>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</si>
  <si>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</si>
  <si>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</si>
  <si>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</si>
  <si>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</si>
  <si>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</si>
  <si>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</si>
  <si>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</si>
  <si>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</si>
  <si>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</si>
  <si>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</si>
  <si>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</si>
  <si>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</si>
  <si>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</si>
  <si>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</si>
  <si>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</si>
  <si>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</si>
  <si>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</si>
  <si>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</si>
  <si>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</si>
  <si>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</si>
  <si>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</si>
  <si>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</si>
  <si>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</si>
  <si>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</si>
  <si>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</si>
  <si>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</si>
  <si>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</si>
  <si>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</si>
  <si>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</si>
  <si>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</si>
  <si>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</si>
  <si>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</si>
  <si>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</si>
  <si>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</si>
  <si>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</si>
  <si>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</si>
  <si>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</si>
  <si>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</si>
  <si>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</si>
  <si>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</si>
  <si>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</si>
  <si>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</si>
  <si>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</si>
  <si>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</si>
  <si>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</si>
  <si>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</si>
  <si>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</si>
  <si>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</si>
  <si>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</si>
  <si>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</si>
  <si>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</si>
  <si>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</si>
  <si>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</si>
  <si>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</si>
  <si>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</si>
  <si>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</si>
  <si>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</si>
  <si>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</si>
  <si>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</si>
  <si>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</si>
  <si>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</si>
  <si>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</si>
  <si>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</si>
  <si>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</si>
  <si>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</si>
  <si>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</si>
  <si>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</si>
  <si>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</si>
  <si>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</si>
  <si>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</si>
  <si>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</si>
  <si>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</si>
  <si>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</si>
  <si>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</si>
  <si>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</si>
  <si>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</si>
  <si>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</si>
  <si>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</si>
  <si>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</si>
  <si>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</si>
  <si>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</si>
  <si>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</si>
  <si>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</si>
  <si>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</si>
  <si>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</si>
  <si>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</si>
  <si>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</si>
  <si>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</si>
  <si>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</si>
  <si>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</si>
  <si>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</si>
  <si>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</si>
  <si>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</si>
  <si>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3.3.11</t>
  </si>
  <si>
    <t>sdc</t>
  </si>
  <si>
    <t>3.3.12</t>
  </si>
  <si>
    <t>3.3.13</t>
  </si>
  <si>
    <t>-Added SAPI tabs for compatibility with internal databases.</t>
  </si>
  <si>
    <t>CWH / IEM</t>
  </si>
  <si>
    <t>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</si>
</sst>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30"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
      <sz val="10"/>
      <color rgb="FF000000"/>
      <name val="Arial"/>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2">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0" fillId="0" borderId="1" xfId="0" applyBorder="1" applyAlignment="1">
      <alignment horizontal="center"/>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485775</xdr:colOff>
          <xdr:row>0</xdr:row>
          <xdr:rowOff>0</xdr:rowOff>
        </xdr:from>
        <xdr:to>
          <xdr:col>4</xdr:col>
          <xdr:colOff>257175</xdr:colOff>
          <xdr:row>0</xdr:row>
          <xdr:rowOff>285750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2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AA27" totalsRowShown="0">
  <autoFilter ref="A2:AA27" xr:uid="{C43F7D1A-64D3-4A18-9625-956AAFCD8C5B}"/>
  <tableColumns count="27">
    <tableColumn id="1" xr3:uid="{22E418C5-C943-46D1-A927-AAC1E2DDD4E2}" name="Default Sheet Name"/>
    <tableColumn id="27" xr3:uid="{B884D320-51D8-48CD-B564-96DDC6EA991C}" name="4.0.0"/>
    <tableColumn id="26" xr3:uid="{998F7311-A67B-4630-9196-EB62315C5387}" name="3.3.13"/>
    <tableColumn id="25" xr3:uid="{D5AC7829-A9CD-466A-9E48-4CE7B1EDDEA0}" name="3.3.12"/>
    <tableColumn id="24" xr3:uid="{C5254826-C901-4A25-8055-3FBA28CB9502}" name="3.3.11"/>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18.xml"/><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6" t="s">
        <v>101</v>
      </c>
      <c r="C6" s="166"/>
      <c r="D6" s="166"/>
      <c r="E6" s="166"/>
      <c r="F6" s="166"/>
      <c r="G6" s="166"/>
      <c r="H6" s="166"/>
      <c r="I6" s="166"/>
      <c r="J6" s="166"/>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6" t="s">
        <v>102</v>
      </c>
      <c r="C11" s="166"/>
      <c r="D11" s="166"/>
      <c r="E11" s="166"/>
      <c r="F11" s="166"/>
      <c r="G11" s="166"/>
      <c r="H11" s="166"/>
      <c r="I11" s="166"/>
      <c r="J11" s="166"/>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6" t="s">
        <v>103</v>
      </c>
      <c r="C21" s="166"/>
      <c r="D21" s="166"/>
      <c r="E21" s="166"/>
      <c r="F21" s="166"/>
      <c r="G21" s="166"/>
      <c r="H21" s="166"/>
      <c r="I21" s="166"/>
      <c r="J21" s="166"/>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hidden="1"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8" t="s">
        <v>266</v>
      </c>
      <c r="C40" s="168"/>
      <c r="D40" s="168"/>
      <c r="E40" s="168"/>
      <c r="F40" s="168"/>
      <c r="G40" s="168"/>
      <c r="H40" s="168"/>
      <c r="I40" s="168"/>
      <c r="J40" s="168"/>
    </row>
    <row r="41" spans="1:10" hidden="1" x14ac:dyDescent="0.25">
      <c r="B41" s="167" t="s">
        <v>267</v>
      </c>
      <c r="C41" s="167"/>
      <c r="D41" s="167"/>
      <c r="E41" s="167"/>
      <c r="F41" s="167"/>
      <c r="G41" s="167"/>
      <c r="H41" s="167"/>
      <c r="I41" s="167"/>
      <c r="J41" s="167"/>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6" t="s">
        <v>104</v>
      </c>
      <c r="C6" s="166"/>
      <c r="D6" s="166"/>
      <c r="E6" s="166"/>
      <c r="F6" s="166"/>
      <c r="G6" s="166"/>
      <c r="H6" s="166"/>
      <c r="I6" s="166"/>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hidden="1" customHeight="1" x14ac:dyDescent="0.35">
      <c r="B11" s="32"/>
      <c r="C11" s="22"/>
      <c r="D11" s="22"/>
      <c r="E11" s="22"/>
      <c r="F11" s="33" t="s">
        <v>196</v>
      </c>
      <c r="G11" s="75">
        <v>1</v>
      </c>
      <c r="H11" s="22"/>
      <c r="I11" s="34" t="str">
        <f>IF(dcode="","",IF(OR(dcode="TIA-222-H",dcode="TIA-222-H-1"),"2.7.8.1",IF(dcode="TIA-222-G","2.7.12.1","")))</f>
        <v/>
      </c>
    </row>
    <row r="12" spans="1:13" x14ac:dyDescent="0.25">
      <c r="B12" s="32"/>
      <c r="C12" s="22"/>
      <c r="D12" s="22"/>
      <c r="E12" s="22"/>
      <c r="F12" s="33"/>
      <c r="G12" s="22"/>
      <c r="H12" s="22"/>
      <c r="I12" s="34"/>
    </row>
    <row r="13" spans="1:13" x14ac:dyDescent="0.25">
      <c r="B13" s="169" t="s">
        <v>105</v>
      </c>
      <c r="C13" s="170"/>
      <c r="D13" s="170"/>
      <c r="E13" s="170"/>
      <c r="F13" s="170"/>
      <c r="G13" s="170"/>
      <c r="H13" s="170"/>
      <c r="I13" s="171"/>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
      </c>
    </row>
    <row r="58" spans="1:9" x14ac:dyDescent="0.25">
      <c r="B58" s="35"/>
      <c r="C58" s="36"/>
      <c r="D58" s="36"/>
      <c r="E58" s="36"/>
      <c r="F58" s="37"/>
      <c r="G58" s="36"/>
      <c r="H58" s="36"/>
      <c r="I58" s="38"/>
    </row>
    <row r="59" spans="1:9" x14ac:dyDescent="0.25">
      <c r="B59" s="169" t="s">
        <v>149</v>
      </c>
      <c r="C59" s="170"/>
      <c r="D59" s="170"/>
      <c r="E59" s="170"/>
      <c r="F59" s="170"/>
      <c r="G59" s="170"/>
      <c r="H59" s="170"/>
      <c r="I59" s="171"/>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2" t="s">
        <v>134</v>
      </c>
      <c r="C2" s="173"/>
      <c r="D2" s="173"/>
      <c r="E2" s="173"/>
      <c r="F2" s="173"/>
      <c r="G2" s="173"/>
      <c r="H2" s="173"/>
      <c r="I2" s="173"/>
      <c r="J2" s="173"/>
      <c r="K2" s="173"/>
      <c r="AB2" s="172" t="s">
        <v>0</v>
      </c>
      <c r="AC2" s="173"/>
      <c r="AD2" s="173"/>
      <c r="AE2" s="173"/>
      <c r="AF2" s="173"/>
      <c r="AG2" s="173"/>
      <c r="AH2" s="173"/>
      <c r="AI2" s="173"/>
      <c r="BB2" s="172" t="s">
        <v>97</v>
      </c>
      <c r="BC2" s="173"/>
      <c r="BD2" s="173"/>
      <c r="BE2" s="173"/>
      <c r="BF2" s="173"/>
      <c r="BG2" s="173"/>
      <c r="BH2" s="173"/>
      <c r="BI2" s="173"/>
      <c r="BJ2" s="173"/>
      <c r="BK2" s="173"/>
      <c r="CB2" s="172" t="s">
        <v>134</v>
      </c>
      <c r="CC2" s="173"/>
      <c r="CD2" s="173"/>
      <c r="CE2" s="173"/>
      <c r="CF2" s="173"/>
      <c r="CG2" s="173"/>
      <c r="CH2" s="173"/>
      <c r="CI2" s="173"/>
      <c r="DB2" s="174" t="s">
        <v>133</v>
      </c>
      <c r="DC2" s="174"/>
      <c r="DD2" s="174"/>
      <c r="DE2" s="174"/>
      <c r="DF2" s="174"/>
      <c r="DG2" s="174"/>
      <c r="DH2" s="175" t="s">
        <v>243</v>
      </c>
      <c r="DI2" s="176"/>
      <c r="DJ2" s="176"/>
      <c r="DK2" s="176"/>
      <c r="DL2" s="177"/>
      <c r="EB2" s="172" t="s">
        <v>0</v>
      </c>
      <c r="EC2" s="173"/>
      <c r="ED2" s="173"/>
      <c r="EE2" s="173"/>
      <c r="EF2" s="173"/>
      <c r="EG2" s="173"/>
      <c r="FB2" s="174" t="s">
        <v>97</v>
      </c>
      <c r="FC2" s="174"/>
      <c r="FD2" s="174"/>
      <c r="FE2" s="174"/>
      <c r="FF2" s="174"/>
      <c r="FG2" s="174"/>
      <c r="FH2" s="174"/>
      <c r="FI2" s="174"/>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G17" sqref="G17"/>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8" t="s">
        <v>35</v>
      </c>
      <c r="D10" s="178"/>
      <c r="E10" s="178"/>
      <c r="F10" s="178"/>
      <c r="K10" s="178" t="s">
        <v>107</v>
      </c>
      <c r="L10" s="178"/>
      <c r="M10" s="178"/>
      <c r="N10" s="178"/>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
      </c>
      <c r="O28" s="24" t="str">
        <f t="shared" si="0"/>
        <v/>
      </c>
      <c r="P28" s="24" t="str">
        <f t="shared" si="0"/>
        <v/>
      </c>
      <c r="Q28" s="24" t="str">
        <f t="shared" si="0"/>
        <v/>
      </c>
      <c r="R28" s="24" t="str">
        <f t="shared" si="0"/>
        <v/>
      </c>
      <c r="S28" s="24" t="str">
        <f t="shared" si="0"/>
        <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
      </c>
      <c r="O38" s="24" t="str">
        <f t="shared" si="1"/>
        <v/>
      </c>
      <c r="P38" s="24" t="str">
        <f t="shared" si="1"/>
        <v/>
      </c>
      <c r="Q38" s="24" t="str">
        <f t="shared" si="1"/>
        <v/>
      </c>
      <c r="R38" s="24" t="str">
        <f t="shared" si="1"/>
        <v/>
      </c>
      <c r="S38" s="24" t="str">
        <f t="shared" si="1"/>
        <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80" t="s">
        <v>159</v>
      </c>
      <c r="Q1" s="180"/>
      <c r="R1" s="180"/>
      <c r="S1" s="180"/>
      <c r="T1" s="180"/>
      <c r="U1" s="180"/>
      <c r="V1" s="180"/>
      <c r="W1" s="180" t="s">
        <v>160</v>
      </c>
      <c r="X1" s="180"/>
      <c r="Y1" s="180"/>
      <c r="Z1" s="180"/>
      <c r="AA1" s="180"/>
      <c r="AB1" s="180"/>
      <c r="AC1" s="180"/>
    </row>
    <row r="2" spans="2:60" ht="17.25" customHeight="1" x14ac:dyDescent="0.25">
      <c r="C2" s="104" t="s">
        <v>187</v>
      </c>
      <c r="D2" s="122">
        <v>10</v>
      </c>
      <c r="P2" s="180" t="s">
        <v>176</v>
      </c>
      <c r="Q2" s="180"/>
      <c r="R2" s="180"/>
      <c r="S2" s="180" t="s">
        <v>161</v>
      </c>
      <c r="T2" s="180"/>
      <c r="U2" s="180"/>
      <c r="V2" s="112" t="s">
        <v>264</v>
      </c>
      <c r="W2" s="180" t="s">
        <v>176</v>
      </c>
      <c r="X2" s="180"/>
      <c r="Y2" s="180"/>
      <c r="Z2" s="180" t="s">
        <v>161</v>
      </c>
      <c r="AA2" s="180"/>
      <c r="AB2" s="180"/>
      <c r="AC2" s="112" t="s">
        <v>264</v>
      </c>
      <c r="AI2" s="179" t="s">
        <v>256</v>
      </c>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row>
    <row r="5" spans="2:60" x14ac:dyDescent="0.25">
      <c r="D5" s="132">
        <f>SUM(MonopoleSections[L])</f>
        <v>0</v>
      </c>
      <c r="E5" s="101"/>
      <c r="AG5" s="133">
        <f>SUM(MonopoleSections[IavgL])</f>
        <v>0</v>
      </c>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topLeftCell="A18" zoomScaleNormal="100" workbookViewId="0">
      <selection activeCell="C24" sqref="C24"/>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4.0.0</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411</v>
      </c>
      <c r="B24" s="110">
        <v>45205</v>
      </c>
      <c r="C24" s="164" t="s">
        <v>409</v>
      </c>
      <c r="D24" s="112" t="s">
        <v>410</v>
      </c>
      <c r="E24" s="112"/>
    </row>
    <row r="25" spans="1:5" x14ac:dyDescent="0.25">
      <c r="A25" s="115"/>
      <c r="B25" s="110"/>
      <c r="C25" s="164"/>
      <c r="D25" s="112"/>
      <c r="E25" s="112"/>
    </row>
    <row r="26" spans="1:5" x14ac:dyDescent="0.25">
      <c r="A26" s="115"/>
      <c r="B26" s="110"/>
      <c r="C26" s="164"/>
      <c r="D26" s="112"/>
      <c r="E26" s="112"/>
    </row>
    <row r="27" spans="1:5" x14ac:dyDescent="0.25">
      <c r="A27" s="115"/>
      <c r="B27" s="110"/>
      <c r="C27" s="164"/>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tabColor theme="9"/>
  </sheetPr>
  <dimension ref="A1:AD31"/>
  <sheetViews>
    <sheetView workbookViewId="0">
      <selection activeCell="B3" sqref="B3"/>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30" ht="42.75" customHeight="1" x14ac:dyDescent="0.25">
      <c r="A1" s="156" t="s">
        <v>229</v>
      </c>
      <c r="H1" s="154" t="s">
        <v>348</v>
      </c>
      <c r="R1" s="156" t="s">
        <v>353</v>
      </c>
      <c r="S1" t="s">
        <v>354</v>
      </c>
    </row>
    <row r="2" spans="1:30" x14ac:dyDescent="0.25">
      <c r="A2" t="s">
        <v>350</v>
      </c>
      <c r="B2" t="s">
        <v>411</v>
      </c>
      <c r="C2" t="s">
        <v>408</v>
      </c>
      <c r="D2" t="s">
        <v>407</v>
      </c>
      <c r="E2" t="s">
        <v>405</v>
      </c>
      <c r="F2" t="s">
        <v>404</v>
      </c>
      <c r="G2" t="s">
        <v>370</v>
      </c>
      <c r="H2" t="s">
        <v>369</v>
      </c>
      <c r="I2" t="s">
        <v>362</v>
      </c>
      <c r="J2" t="s">
        <v>360</v>
      </c>
      <c r="K2" t="s">
        <v>358</v>
      </c>
      <c r="L2" t="s">
        <v>356</v>
      </c>
      <c r="M2" t="s">
        <v>320</v>
      </c>
      <c r="N2" t="s">
        <v>318</v>
      </c>
      <c r="O2" t="s">
        <v>316</v>
      </c>
      <c r="P2" t="s">
        <v>298</v>
      </c>
      <c r="Q2" t="s">
        <v>294</v>
      </c>
      <c r="R2" t="s">
        <v>291</v>
      </c>
      <c r="S2" t="s">
        <v>289</v>
      </c>
      <c r="T2" t="s">
        <v>288</v>
      </c>
      <c r="U2" t="s">
        <v>284</v>
      </c>
      <c r="V2" t="s">
        <v>262</v>
      </c>
      <c r="W2" t="s">
        <v>258</v>
      </c>
      <c r="X2" t="s">
        <v>257</v>
      </c>
      <c r="Y2" t="s">
        <v>252</v>
      </c>
      <c r="Z2" t="s">
        <v>249</v>
      </c>
      <c r="AA2" t="s">
        <v>244</v>
      </c>
      <c r="AB2" s="118" t="s">
        <v>347</v>
      </c>
      <c r="AC2" s="118" t="s">
        <v>344</v>
      </c>
      <c r="AD2" s="118" t="s">
        <v>345</v>
      </c>
    </row>
    <row r="3" spans="1:30"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s="153" t="s">
        <v>321</v>
      </c>
      <c r="X3" s="153" t="s">
        <v>321</v>
      </c>
      <c r="Y3" s="153" t="s">
        <v>321</v>
      </c>
      <c r="Z3" s="153" t="s">
        <v>321</v>
      </c>
      <c r="AA3" t="s">
        <v>321</v>
      </c>
      <c r="AB3" s="155" t="s">
        <v>341</v>
      </c>
      <c r="AC3" s="155" t="s">
        <v>349</v>
      </c>
      <c r="AD3" s="118"/>
    </row>
    <row r="4" spans="1:30"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t="s">
        <v>322</v>
      </c>
      <c r="Y4" t="s">
        <v>322</v>
      </c>
      <c r="Z4" t="s">
        <v>322</v>
      </c>
      <c r="AA4" t="s">
        <v>322</v>
      </c>
      <c r="AB4" s="155" t="s">
        <v>343</v>
      </c>
      <c r="AC4" s="155" t="s">
        <v>372</v>
      </c>
      <c r="AD4" s="118"/>
    </row>
    <row r="5" spans="1:30"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t="s">
        <v>323</v>
      </c>
      <c r="Y5" t="s">
        <v>323</v>
      </c>
      <c r="Z5" t="s">
        <v>323</v>
      </c>
      <c r="AA5" t="s">
        <v>323</v>
      </c>
      <c r="AB5" s="118" t="s">
        <v>342</v>
      </c>
      <c r="AC5" s="118" t="s">
        <v>229</v>
      </c>
      <c r="AD5" s="118" t="s">
        <v>346</v>
      </c>
    </row>
    <row r="6" spans="1:30"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c r="X6" t="s">
        <v>324</v>
      </c>
      <c r="Y6" t="s">
        <v>324</v>
      </c>
      <c r="Z6" t="s">
        <v>324</v>
      </c>
      <c r="AA6" t="s">
        <v>324</v>
      </c>
    </row>
    <row r="7" spans="1:30"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t="s">
        <v>325</v>
      </c>
      <c r="Y7" t="s">
        <v>325</v>
      </c>
      <c r="Z7" t="s">
        <v>325</v>
      </c>
      <c r="AA7" t="s">
        <v>325</v>
      </c>
      <c r="AB7" s="181" t="s">
        <v>352</v>
      </c>
      <c r="AC7" s="181"/>
      <c r="AD7" s="181"/>
    </row>
    <row r="8" spans="1:30"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t="s">
        <v>326</v>
      </c>
      <c r="Y8" t="s">
        <v>326</v>
      </c>
      <c r="Z8" t="s">
        <v>326</v>
      </c>
      <c r="AA8" t="s">
        <v>326</v>
      </c>
      <c r="AB8" s="181"/>
      <c r="AC8" s="181"/>
      <c r="AD8" s="181"/>
    </row>
    <row r="9" spans="1:30"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t="s">
        <v>327</v>
      </c>
      <c r="Y9" t="s">
        <v>327</v>
      </c>
      <c r="Z9" t="s">
        <v>327</v>
      </c>
      <c r="AA9" t="s">
        <v>327</v>
      </c>
      <c r="AB9" s="181"/>
      <c r="AC9" s="181"/>
      <c r="AD9" s="181"/>
    </row>
    <row r="10" spans="1:30"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t="s">
        <v>328</v>
      </c>
      <c r="Y10" t="s">
        <v>328</v>
      </c>
      <c r="Z10" t="s">
        <v>328</v>
      </c>
      <c r="AA10" t="s">
        <v>328</v>
      </c>
      <c r="AB10" s="181"/>
      <c r="AC10" s="181"/>
      <c r="AD10" s="181"/>
    </row>
    <row r="11" spans="1:30" x14ac:dyDescent="0.25">
      <c r="Z11" t="s">
        <v>338</v>
      </c>
      <c r="AA11" t="s">
        <v>338</v>
      </c>
    </row>
    <row r="12" spans="1:30" x14ac:dyDescent="0.25">
      <c r="B12" t="s">
        <v>329</v>
      </c>
      <c r="C12" t="s">
        <v>329</v>
      </c>
      <c r="D12" t="s">
        <v>329</v>
      </c>
      <c r="E12" t="s">
        <v>329</v>
      </c>
      <c r="F12" t="s">
        <v>329</v>
      </c>
      <c r="G12" t="s">
        <v>329</v>
      </c>
      <c r="H12" t="s">
        <v>329</v>
      </c>
      <c r="I12" t="s">
        <v>329</v>
      </c>
      <c r="J12" t="s">
        <v>329</v>
      </c>
      <c r="K12" t="s">
        <v>329</v>
      </c>
      <c r="L12" t="s">
        <v>329</v>
      </c>
      <c r="M12" t="s">
        <v>329</v>
      </c>
      <c r="N12" t="s">
        <v>329</v>
      </c>
      <c r="O12" t="s">
        <v>329</v>
      </c>
      <c r="P12" t="s">
        <v>329</v>
      </c>
      <c r="Q12" t="s">
        <v>351</v>
      </c>
      <c r="R12" t="s">
        <v>351</v>
      </c>
      <c r="S12" t="s">
        <v>351</v>
      </c>
      <c r="T12" t="s">
        <v>351</v>
      </c>
      <c r="U12" t="s">
        <v>351</v>
      </c>
      <c r="V12" t="s">
        <v>329</v>
      </c>
      <c r="W12" t="s">
        <v>329</v>
      </c>
      <c r="X12" t="s">
        <v>329</v>
      </c>
      <c r="Y12" t="s">
        <v>329</v>
      </c>
      <c r="Z12" t="s">
        <v>329</v>
      </c>
      <c r="AA12" t="s">
        <v>329</v>
      </c>
    </row>
    <row r="13" spans="1:30" x14ac:dyDescent="0.25">
      <c r="B13" t="s">
        <v>335</v>
      </c>
      <c r="C13" t="s">
        <v>335</v>
      </c>
      <c r="D13" t="s">
        <v>335</v>
      </c>
      <c r="E13" t="s">
        <v>335</v>
      </c>
      <c r="F13" t="s">
        <v>335</v>
      </c>
      <c r="G13" t="s">
        <v>335</v>
      </c>
      <c r="H13" t="s">
        <v>335</v>
      </c>
      <c r="I13" t="s">
        <v>335</v>
      </c>
      <c r="J13" t="s">
        <v>335</v>
      </c>
      <c r="K13" t="s">
        <v>335</v>
      </c>
      <c r="L13" t="s">
        <v>335</v>
      </c>
      <c r="M13" t="s">
        <v>335</v>
      </c>
      <c r="N13" t="s">
        <v>335</v>
      </c>
      <c r="O13" t="s">
        <v>335</v>
      </c>
      <c r="P13" t="s">
        <v>335</v>
      </c>
    </row>
    <row r="14" spans="1:30"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c r="X14" t="s">
        <v>330</v>
      </c>
      <c r="Y14" t="s">
        <v>330</v>
      </c>
      <c r="Z14" t="s">
        <v>330</v>
      </c>
      <c r="AA14" t="s">
        <v>330</v>
      </c>
    </row>
    <row r="15" spans="1:30"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c r="X15" t="s">
        <v>331</v>
      </c>
      <c r="Y15" t="s">
        <v>331</v>
      </c>
      <c r="Z15" t="s">
        <v>331</v>
      </c>
      <c r="AA15" t="s">
        <v>331</v>
      </c>
    </row>
    <row r="16" spans="1:30"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c r="X16" t="s">
        <v>332</v>
      </c>
      <c r="Y16" t="s">
        <v>332</v>
      </c>
      <c r="Z16" t="s">
        <v>332</v>
      </c>
      <c r="AA16" t="s">
        <v>332</v>
      </c>
    </row>
    <row r="17" spans="2:27"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c r="X17" t="s">
        <v>333</v>
      </c>
      <c r="Y17" t="s">
        <v>333</v>
      </c>
      <c r="Z17" t="s">
        <v>333</v>
      </c>
      <c r="AA17" t="s">
        <v>333</v>
      </c>
    </row>
    <row r="18" spans="2:27"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c r="X18" t="s">
        <v>334</v>
      </c>
      <c r="Y18" t="s">
        <v>334</v>
      </c>
      <c r="Z18" t="s">
        <v>334</v>
      </c>
      <c r="AA18" t="s">
        <v>334</v>
      </c>
    </row>
    <row r="19" spans="2:27"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c r="X19" t="s">
        <v>340</v>
      </c>
      <c r="Y19" t="s">
        <v>340</v>
      </c>
      <c r="Z19" t="s">
        <v>340</v>
      </c>
      <c r="AA19" t="s">
        <v>340</v>
      </c>
    </row>
    <row r="20" spans="2:27"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c r="X20" t="s">
        <v>336</v>
      </c>
      <c r="Y20" t="s">
        <v>336</v>
      </c>
      <c r="Z20" t="s">
        <v>336</v>
      </c>
      <c r="AA20" t="s">
        <v>336</v>
      </c>
    </row>
    <row r="21" spans="2:27" x14ac:dyDescent="0.25">
      <c r="B21" t="s">
        <v>337</v>
      </c>
      <c r="C21" t="s">
        <v>337</v>
      </c>
      <c r="D21" t="s">
        <v>337</v>
      </c>
      <c r="E21" t="s">
        <v>337</v>
      </c>
      <c r="F21" t="s">
        <v>337</v>
      </c>
      <c r="G21" t="s">
        <v>337</v>
      </c>
      <c r="H21" t="s">
        <v>337</v>
      </c>
      <c r="I21" t="s">
        <v>337</v>
      </c>
      <c r="J21" t="s">
        <v>337</v>
      </c>
      <c r="K21" t="s">
        <v>337</v>
      </c>
      <c r="L21" t="s">
        <v>337</v>
      </c>
      <c r="M21" t="s">
        <v>337</v>
      </c>
      <c r="N21" t="s">
        <v>337</v>
      </c>
      <c r="O21" t="s">
        <v>337</v>
      </c>
      <c r="P21" t="s">
        <v>337</v>
      </c>
      <c r="Q21" t="s">
        <v>339</v>
      </c>
      <c r="R21" t="s">
        <v>339</v>
      </c>
      <c r="S21" t="s">
        <v>339</v>
      </c>
      <c r="T21" t="s">
        <v>339</v>
      </c>
      <c r="U21" t="s">
        <v>339</v>
      </c>
      <c r="V21" t="s">
        <v>339</v>
      </c>
      <c r="W21" t="s">
        <v>339</v>
      </c>
      <c r="X21" t="s">
        <v>339</v>
      </c>
      <c r="Y21" t="s">
        <v>339</v>
      </c>
      <c r="Z21" t="s">
        <v>339</v>
      </c>
      <c r="AA21" t="s">
        <v>339</v>
      </c>
    </row>
    <row r="22" spans="2:27"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c r="X22" t="s">
        <v>18</v>
      </c>
      <c r="Y22" t="s">
        <v>18</v>
      </c>
      <c r="Z22" t="s">
        <v>18</v>
      </c>
      <c r="AA22" t="s">
        <v>18</v>
      </c>
    </row>
    <row r="23" spans="2:27"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c r="X23" t="s">
        <v>376</v>
      </c>
      <c r="Y23" t="s">
        <v>376</v>
      </c>
      <c r="Z23" t="s">
        <v>376</v>
      </c>
      <c r="AA23" t="s">
        <v>376</v>
      </c>
    </row>
    <row r="24" spans="2:27"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c r="X24" t="s">
        <v>377</v>
      </c>
      <c r="Y24" t="s">
        <v>377</v>
      </c>
      <c r="Z24" t="s">
        <v>377</v>
      </c>
      <c r="AA24" t="s">
        <v>377</v>
      </c>
    </row>
    <row r="25" spans="2:27" x14ac:dyDescent="0.25">
      <c r="B25" t="s">
        <v>375</v>
      </c>
      <c r="C25" t="s">
        <v>375</v>
      </c>
      <c r="D25" t="s">
        <v>375</v>
      </c>
      <c r="E25" t="s">
        <v>375</v>
      </c>
      <c r="F25" t="s">
        <v>375</v>
      </c>
      <c r="G25" t="s">
        <v>375</v>
      </c>
    </row>
    <row r="26" spans="2:27" x14ac:dyDescent="0.25">
      <c r="B26" t="s">
        <v>373</v>
      </c>
      <c r="C26" t="s">
        <v>373</v>
      </c>
      <c r="D26" t="s">
        <v>373</v>
      </c>
      <c r="E26" t="s">
        <v>373</v>
      </c>
      <c r="F26" t="s">
        <v>373</v>
      </c>
      <c r="G26" t="s">
        <v>373</v>
      </c>
    </row>
    <row r="27" spans="2:27" x14ac:dyDescent="0.25">
      <c r="B27" t="s">
        <v>374</v>
      </c>
      <c r="C27" t="s">
        <v>374</v>
      </c>
      <c r="D27" t="s">
        <v>374</v>
      </c>
      <c r="E27" t="s">
        <v>374</v>
      </c>
      <c r="F27" t="s">
        <v>374</v>
      </c>
      <c r="G27" t="s">
        <v>374</v>
      </c>
      <c r="L27" s="153"/>
    </row>
    <row r="31" spans="2:27" x14ac:dyDescent="0.25">
      <c r="N31" s="153"/>
    </row>
  </sheetData>
  <sheetProtection sheet="1" objects="1" scenarios="1"/>
  <mergeCells count="1">
    <mergeCell ref="AB7:AD10"/>
  </mergeCells>
  <phoneticPr fontId="2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SetDocumentProperties">
                <anchor moveWithCells="1">
                  <from>
                    <xdr:col>1</xdr:col>
                    <xdr:colOff>485775</xdr:colOff>
                    <xdr:row>0</xdr:row>
                    <xdr:rowOff>0</xdr:rowOff>
                  </from>
                  <to>
                    <xdr:col>4</xdr:col>
                    <xdr:colOff>257175</xdr:colOff>
                    <xdr:row>0</xdr:row>
                    <xdr:rowOff>285750</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8" sqref="A28"/>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4.0.0</v>
      </c>
    </row>
    <row r="3" spans="1:1" x14ac:dyDescent="0.25">
      <c r="A3" s="114" t="str">
        <f>CONCATENATE("Seismic calculations are in accordance with  ",dcode)</f>
        <v xml:space="preserve">Seismic calculations are in accordance with  </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D3"/>
  <sheetViews>
    <sheetView topLeftCell="O1" workbookViewId="0">
      <selection activeCell="AD2" sqref="AD2"/>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30"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c r="AD1" s="162" t="s">
        <v>406</v>
      </c>
    </row>
    <row r="2" spans="1:30" x14ac:dyDescent="0.25">
      <c r="A2" s="163"/>
      <c r="B2" s="160" t="str">
        <f>IF(Revision="","",Revision)</f>
        <v>4.0.0</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c r="AD2" s="165" t="str">
        <f>IF(SDC="","",SDC)</f>
        <v/>
      </c>
    </row>
    <row r="3" spans="1:30" x14ac:dyDescent="0.25">
      <c r="A3"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D8AB91E2-8706-457B-9EBD-EFB3DD8EEFCF}">
  <ds:schemaRefs>
    <ds:schemaRef ds:uri="http://schemas.microsoft.com/DataMashup"/>
  </ds:schemaRefs>
</ds:datastoreItem>
</file>

<file path=customXml/itemProps4.xml><?xml version="1.0" encoding="utf-8"?>
<ds:datastoreItem xmlns:ds="http://schemas.openxmlformats.org/officeDocument/2006/customXml" ds:itemID="{FA3E37CD-AA16-46A8-9D43-54F73608EA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Miller, Ian</cp:lastModifiedBy>
  <cp:lastPrinted>2023-04-14T18:20:05Z</cp:lastPrinted>
  <dcterms:created xsi:type="dcterms:W3CDTF">2017-05-08T19:57:01Z</dcterms:created>
  <dcterms:modified xsi:type="dcterms:W3CDTF">2023-10-06T17:17:01Z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4.0.0</vt:lpwstr>
  </property>
</Properties>
</file>
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4.xml" ContentType="application/vnd.openxmlformats-officedocument.drawing+xml"/>
  <Override PartName="/xl/ctrlProps/ctrlProp17.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dsmilowitz\Crown Castle USA Inc\ECS - Tools\Tools\CCISeismic\Seismic 4.0\"/>
    </mc:Choice>
  </mc:AlternateContent>
  <xr:revisionPtr revIDLastSave="0" documentId="13_ncr:1_{B3188A40-AE02-441C-8EFA-30607D253423}" xr6:coauthVersionLast="47" xr6:coauthVersionMax="47" xr10:uidLastSave="{00000000-0000-0000-0000-000000000000}"/>
  <bookViews>
    <workbookView xWindow="-120" yWindow="-120" windowWidth="29040" windowHeight="1584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Ranges'!$T$1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2" i="38" l="1"/>
  <c r="Y2" i="38"/>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AD2" i="38" s="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 ref="A4" authorId="0" shapeId="0" xr:uid="{1B17CBFC-E212-4221-B90A-A07B02C5E9D8}">
      <text>
        <r>
          <rPr>
            <b/>
            <sz val="9"/>
            <color indexed="81"/>
            <rFont val="Tahoma"/>
            <family val="2"/>
          </rPr>
          <t xml:space="preserve">Determines if code change occurred. </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<sst xmlns="http://schemas.openxmlformats.org/spreadsheetml/2006/main" count="1352" uniqueCount="418">
  <si>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</si>
  <si>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</si>
  <si>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</si>
  <si>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</si>
  <si>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</si>
  <si>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</si>
  <si>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</si>
  <si>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</si>
  <si>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</si>
  <si>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</si>
  <si>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</si>
  <si>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</si>
  <si>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</si>
  <si>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</si>
  <si>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</si>
  <si>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</si>
  <si>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</si>
  <si>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</si>
  <si>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</si>
  <si>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</si>
  <si>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</si>
  <si>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</si>
  <si>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</si>
  <si>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</si>
  <si>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</si>
  <si>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</si>
  <si>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</si>
  <si>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</si>
  <si>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</si>
  <si>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</si>
  <si>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</si>
  <si>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</si>
  <si>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</si>
  <si>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</si>
  <si>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</si>
  <si>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</si>
  <si>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</si>
  <si>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</si>
  <si>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</si>
  <si>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</si>
  <si>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</si>
  <si>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</si>
  <si>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</si>
  <si>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</si>
  <si>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</si>
  <si>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</si>
  <si>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</si>
  <si>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</si>
  <si>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</si>
  <si>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</si>
  <si>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</si>
  <si>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</si>
  <si>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</si>
  <si>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</si>
  <si>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</si>
  <si>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</si>
  <si>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</si>
  <si>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</si>
  <si>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</si>
  <si>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</si>
  <si>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</si>
  <si>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</si>
  <si>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</si>
  <si>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</si>
  <si>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</si>
  <si>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</si>
  <si>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</si>
  <si>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</si>
  <si>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</si>
  <si>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</si>
  <si>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</si>
  <si>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</si>
  <si>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</si>
  <si>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</si>
  <si>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</si>
  <si>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</si>
  <si>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</si>
  <si>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</si>
  <si>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</si>
  <si>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</si>
  <si>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</si>
  <si>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</si>
  <si>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</si>
  <si>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</si>
  <si>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</si>
  <si>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</si>
  <si>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</si>
  <si>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</si>
  <si>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</si>
  <si>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</si>
  <si>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</si>
  <si>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</si>
  <si>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</si>
  <si>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</si>
  <si>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</si>
  <si>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</si>
  <si>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</si>
  <si>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</si>
  <si>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</si>
  <si>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</si>
  <si>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</si>
  <si>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</si>
  <si>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</si>
  <si>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</si>
  <si>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</si>
  <si>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</si>
  <si>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</si>
  <si>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</si>
  <si>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</si>
  <si>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</si>
  <si>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</si>
  <si>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</si>
  <si>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</si>
  <si>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</si>
  <si>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</si>
  <si>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</si>
  <si>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</si>
  <si>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</si>
  <si>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</si>
  <si>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</si>
  <si>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</si>
  <si>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</si>
  <si>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</si>
  <si>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</si>
  <si>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</si>
  <si>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</si>
  <si>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</si>
  <si>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</si>
  <si>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</si>
  <si>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</si>
  <si>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</si>
  <si>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</si>
  <si>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</si>
  <si>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</si>
  <si>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</si>
  <si>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</si>
  <si>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</si>
  <si>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</si>
  <si>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</si>
  <si>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</si>
  <si>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</si>
  <si>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</si>
  <si>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</si>
  <si>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</si>
  <si>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</si>
  <si>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</si>
  <si>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</si>
  <si>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</si>
  <si>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</si>
  <si>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</si>
  <si>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</si>
  <si>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</si>
  <si>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</si>
  <si>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</si>
  <si>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</si>
  <si>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</si>
  <si>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</si>
  <si>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</si>
  <si>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</si>
  <si>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</si>
  <si>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</si>
  <si>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</si>
  <si>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</si>
  <si>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</si>
  <si>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</si>
  <si>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</si>
  <si>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</si>
  <si>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</si>
  <si>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</si>
  <si>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</si>
  <si>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</si>
  <si>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</si>
  <si>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</si>
  <si>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</si>
  <si>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</si>
  <si>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</si>
  <si>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</si>
  <si>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</si>
  <si>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</si>
  <si>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</si>
  <si>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</si>
  <si>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</si>
  <si>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</si>
  <si>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</si>
  <si>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</si>
  <si>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</si>
  <si>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</si>
  <si>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</si>
  <si>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</si>
  <si>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</si>
  <si>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</si>
  <si>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</si>
  <si>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</si>
  <si>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</si>
  <si>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</si>
  <si>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</si>
  <si>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</si>
  <si>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</si>
  <si>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</si>
  <si>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</si>
  <si>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</si>
  <si>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</si>
  <si>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</si>
  <si>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</si>
  <si>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</si>
  <si>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</si>
  <si>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</si>
  <si>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</si>
  <si>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</si>
  <si>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</si>
  <si>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</si>
  <si>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</si>
  <si>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</si>
  <si>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</si>
  <si>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</si>
  <si>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</si>
  <si>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</si>
  <si>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</si>
  <si>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</si>
  <si>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</si>
  <si>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</si>
  <si>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</si>
  <si>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</si>
  <si>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</si>
  <si>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</si>
  <si>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</si>
  <si>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</si>
  <si>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</si>
  <si>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</si>
  <si>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</si>
  <si>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</si>
  <si>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</si>
  <si>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</si>
  <si>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</si>
  <si>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</si>
  <si>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</si>
  <si>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</si>
  <si>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</si>
  <si>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</si>
  <si>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</si>
  <si>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</si>
  <si>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</si>
  <si>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</si>
  <si>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</si>
  <si>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</si>
  <si>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</si>
  <si>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</si>
  <si>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</si>
  <si>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</si>
  <si>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</si>
  <si>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</si>
  <si>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</si>
  <si>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</si>
  <si>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</si>
  <si>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</si>
  <si>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</si>
  <si>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</si>
  <si>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</si>
  <si>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</si>
  <si>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</si>
  <si>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</si>
  <si>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</si>
  <si>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</si>
  <si>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</si>
  <si>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</si>
  <si>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</si>
  <si>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</si>
  <si>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</si>
  <si>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</si>
  <si>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</si>
  <si>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</si>
  <si>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</si>
  <si>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</si>
  <si>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</si>
  <si>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</si>
  <si>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</si>
  <si>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</si>
  <si>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</si>
  <si>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</si>
  <si>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</si>
  <si>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</si>
  <si>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</si>
  <si>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</si>
  <si>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</si>
  <si>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</si>
  <si>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</si>
  <si>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</si>
  <si>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</si>
  <si>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</si>
  <si>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</si>
  <si>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</si>
  <si>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</si>
  <si>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</si>
  <si>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</si>
  <si>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</si>
  <si>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</si>
  <si>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</si>
  <si>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</si>
  <si>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</si>
  <si>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</si>
  <si>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</si>
  <si>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</si>
  <si>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</si>
  <si>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</si>
  <si>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</si>
  <si>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</si>
  <si>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</si>
  <si>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</si>
  <si>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</si>
  <si>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</si>
  <si>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</si>
  <si>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</si>
  <si>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</si>
  <si>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</si>
  <si>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</si>
  <si>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</si>
  <si>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</si>
  <si>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</si>
  <si>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</si>
  <si>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</si>
  <si>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</si>
  <si>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</si>
  <si>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</si>
  <si>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</si>
  <si>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</si>
  <si>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</si>
  <si>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</si>
  <si>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</si>
  <si>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</si>
  <si>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</si>
  <si>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</si>
  <si>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</si>
  <si>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</si>
  <si>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</si>
  <si>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</si>
  <si>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</si>
  <si>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</si>
  <si>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</si>
  <si>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</si>
  <si>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</si>
  <si>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</si>
  <si>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</si>
  <si>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</si>
  <si>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</si>
  <si>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</si>
  <si>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</si>
  <si>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</si>
  <si>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</si>
  <si>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</si>
  <si>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</si>
  <si>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</si>
  <si>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</si>
  <si>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</si>
  <si>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</si>
  <si>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</si>
  <si>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</si>
  <si>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</si>
  <si>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</si>
  <si>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</si>
  <si>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</si>
  <si>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</si>
  <si>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</si>
  <si>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</si>
  <si>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</si>
  <si>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</si>
  <si>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</si>
  <si>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</si>
  <si>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</si>
  <si>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</si>
  <si>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</si>
  <si>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</si>
  <si>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</si>
  <si>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</si>
  <si>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</si>
  <si>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</si>
  <si>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</si>
  <si>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</si>
  <si>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</si>
  <si>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</si>
  <si>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</si>
  <si>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</si>
  <si>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</si>
  <si>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</si>
  <si>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</si>
  <si>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</si>
  <si>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</si>
  <si>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</si>
  <si>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</si>
  <si>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</si>
  <si>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</si>
  <si>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</si>
  <si>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</si>
  <si>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</si>
  <si>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</si>
  <si>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</si>
  <si>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</si>
  <si>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</si>
  <si>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</si>
  <si>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</si>
  <si>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</si>
  <si>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</si>
  <si>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</si>
  <si>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</si>
  <si>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</si>
  <si>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</si>
  <si>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3.3.11</t>
  </si>
  <si>
    <t>sdc</t>
  </si>
  <si>
    <t>3.3.12</t>
  </si>
  <si>
    <t>3.3.13</t>
  </si>
  <si>
    <t>CWH / IEM</t>
  </si>
  <si>
    <t>4.0.0</t>
  </si>
  <si>
    <t>design_code</t>
  </si>
  <si>
    <t>4.0.1</t>
  </si>
  <si>
    <t>CWH</t>
  </si>
  <si>
    <t xml:space="preserve">-Added additional worksheets and VBA to format data in tool to be compatilbe with internal databases. </t>
  </si>
  <si>
    <t>-For TIA-222-H and TIA-222-H-1, the warning message to update seismic parameters will now appear when the user only adjusts the ASCE 7-10 checkbox within a completed worksheet. 
-(Internal Database) Storing design code in internal database to identify when their is a code change. Code changes will utilize default parameters for analysis.</t>
  </si>
  <si>
    <t>4.0.2</t>
  </si>
  <si>
    <t>- Updated "Import Previous Version" Macro to work with version 3.3.8 which had a typo in the version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</si>
</sst>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30"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
      <sz val="10"/>
      <color rgb="FF000000"/>
      <name val="Arial"/>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3">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23" fillId="0" borderId="1" xfId="0" applyFont="1" applyFill="1" applyBorder="1" applyAlignment="1">
      <alignment horizontal="center"/>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36"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0</xdr:row>
          <xdr:rowOff>0</xdr:rowOff>
        </xdr:from>
        <xdr:to>
          <xdr:col>6</xdr:col>
          <xdr:colOff>257175</xdr:colOff>
          <xdr:row>0</xdr:row>
          <xdr:rowOff>285750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2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AC27" totalsRowShown="0">
  <autoFilter ref="A2:AC27" xr:uid="{C43F7D1A-64D3-4A18-9625-956AAFCD8C5B}"/>
  <tableColumns count="29">
    <tableColumn id="1" xr3:uid="{22E418C5-C943-46D1-A927-AAC1E2DDD4E2}" name="Default Sheet Name"/>
    <tableColumn id="29" xr3:uid="{EDA0EFE5-C4D9-4EFF-B4CC-A807E6EACD3E}" name="4.0.2"/>
    <tableColumn id="28" xr3:uid="{3520E49B-677C-46B9-B4D6-9DF1925815EB}" name="4.0.1"/>
    <tableColumn id="27" xr3:uid="{B884D320-51D8-48CD-B564-96DDC6EA991C}" name="4.0.0"/>
    <tableColumn id="26" xr3:uid="{998F7311-A67B-4630-9196-EB62315C5387}" name="3.3.13"/>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7" t="s">
        <v>101</v>
      </c>
      <c r="C6" s="167"/>
      <c r="D6" s="167"/>
      <c r="E6" s="167"/>
      <c r="F6" s="167"/>
      <c r="G6" s="167"/>
      <c r="H6" s="167"/>
      <c r="I6" s="167"/>
      <c r="J6" s="167"/>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7" t="s">
        <v>102</v>
      </c>
      <c r="C11" s="167"/>
      <c r="D11" s="167"/>
      <c r="E11" s="167"/>
      <c r="F11" s="167"/>
      <c r="G11" s="167"/>
      <c r="H11" s="167"/>
      <c r="I11" s="167"/>
      <c r="J11" s="167"/>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7" t="s">
        <v>103</v>
      </c>
      <c r="C21" s="167"/>
      <c r="D21" s="167"/>
      <c r="E21" s="167"/>
      <c r="F21" s="167"/>
      <c r="G21" s="167"/>
      <c r="H21" s="167"/>
      <c r="I21" s="167"/>
      <c r="J21" s="167"/>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hidden="1"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9" t="s">
        <v>266</v>
      </c>
      <c r="C40" s="169"/>
      <c r="D40" s="169"/>
      <c r="E40" s="169"/>
      <c r="F40" s="169"/>
      <c r="G40" s="169"/>
      <c r="H40" s="169"/>
      <c r="I40" s="169"/>
      <c r="J40" s="169"/>
    </row>
    <row r="41" spans="1:10" hidden="1" x14ac:dyDescent="0.25">
      <c r="B41" s="168" t="s">
        <v>267</v>
      </c>
      <c r="C41" s="168"/>
      <c r="D41" s="168"/>
      <c r="E41" s="168"/>
      <c r="F41" s="168"/>
      <c r="G41" s="168"/>
      <c r="H41" s="168"/>
      <c r="I41" s="168"/>
      <c r="J41" s="168"/>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7" t="s">
        <v>104</v>
      </c>
      <c r="C6" s="167"/>
      <c r="D6" s="167"/>
      <c r="E6" s="167"/>
      <c r="F6" s="167"/>
      <c r="G6" s="167"/>
      <c r="H6" s="167"/>
      <c r="I6" s="167"/>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hidden="1" customHeight="1" x14ac:dyDescent="0.35">
      <c r="B11" s="32"/>
      <c r="C11" s="22"/>
      <c r="D11" s="22"/>
      <c r="E11" s="22"/>
      <c r="F11" s="33" t="s">
        <v>196</v>
      </c>
      <c r="G11" s="75">
        <v>1</v>
      </c>
      <c r="H11" s="22"/>
      <c r="I11" s="34" t="str">
        <f>IF(dcode="","",IF(OR(dcode="TIA-222-H",dcode="TIA-222-H-1"),"2.7.8.1",IF(dcode="TIA-222-G","2.7.12.1","")))</f>
        <v/>
      </c>
    </row>
    <row r="12" spans="1:13" x14ac:dyDescent="0.25">
      <c r="B12" s="32"/>
      <c r="C12" s="22"/>
      <c r="D12" s="22"/>
      <c r="E12" s="22"/>
      <c r="F12" s="33"/>
      <c r="G12" s="22"/>
      <c r="H12" s="22"/>
      <c r="I12" s="34"/>
    </row>
    <row r="13" spans="1:13" x14ac:dyDescent="0.25">
      <c r="B13" s="170" t="s">
        <v>105</v>
      </c>
      <c r="C13" s="171"/>
      <c r="D13" s="171"/>
      <c r="E13" s="171"/>
      <c r="F13" s="171"/>
      <c r="G13" s="171"/>
      <c r="H13" s="171"/>
      <c r="I13" s="172"/>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
      </c>
    </row>
    <row r="58" spans="1:9" x14ac:dyDescent="0.25">
      <c r="B58" s="35"/>
      <c r="C58" s="36"/>
      <c r="D58" s="36"/>
      <c r="E58" s="36"/>
      <c r="F58" s="37"/>
      <c r="G58" s="36"/>
      <c r="H58" s="36"/>
      <c r="I58" s="38"/>
    </row>
    <row r="59" spans="1:9" x14ac:dyDescent="0.25">
      <c r="B59" s="170" t="s">
        <v>149</v>
      </c>
      <c r="C59" s="171"/>
      <c r="D59" s="171"/>
      <c r="E59" s="171"/>
      <c r="F59" s="171"/>
      <c r="G59" s="171"/>
      <c r="H59" s="171"/>
      <c r="I59" s="172"/>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3" t="s">
        <v>134</v>
      </c>
      <c r="C2" s="174"/>
      <c r="D2" s="174"/>
      <c r="E2" s="174"/>
      <c r="F2" s="174"/>
      <c r="G2" s="174"/>
      <c r="H2" s="174"/>
      <c r="I2" s="174"/>
      <c r="J2" s="174"/>
      <c r="AB2" s="175" t="s">
        <v>133</v>
      </c>
      <c r="AC2" s="175"/>
      <c r="AD2" s="175"/>
      <c r="AE2" s="175"/>
      <c r="AF2" s="175"/>
      <c r="AG2" s="175"/>
      <c r="AH2" s="175"/>
      <c r="AI2" s="176" t="s">
        <v>243</v>
      </c>
      <c r="AJ2" s="177"/>
      <c r="AK2" s="177"/>
      <c r="AL2" s="177"/>
      <c r="AM2" s="178"/>
      <c r="BB2" s="173" t="s">
        <v>0</v>
      </c>
      <c r="BC2" s="174"/>
      <c r="BD2" s="174"/>
      <c r="BE2" s="174"/>
      <c r="BF2" s="174"/>
      <c r="BG2" s="174"/>
      <c r="BH2" s="174"/>
      <c r="CB2" s="173" t="s">
        <v>97</v>
      </c>
      <c r="CC2" s="174"/>
      <c r="CD2" s="174"/>
      <c r="CE2" s="174"/>
      <c r="CF2" s="174"/>
      <c r="CG2" s="174"/>
      <c r="CH2" s="174"/>
      <c r="CI2" s="174"/>
      <c r="CJ2" s="174"/>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3" t="s">
        <v>134</v>
      </c>
      <c r="C2" s="174"/>
      <c r="D2" s="174"/>
      <c r="E2" s="174"/>
      <c r="F2" s="174"/>
      <c r="G2" s="174"/>
      <c r="H2" s="174"/>
      <c r="I2" s="174"/>
      <c r="J2" s="174"/>
      <c r="K2" s="174"/>
      <c r="AB2" s="173" t="s">
        <v>0</v>
      </c>
      <c r="AC2" s="174"/>
      <c r="AD2" s="174"/>
      <c r="AE2" s="174"/>
      <c r="AF2" s="174"/>
      <c r="AG2" s="174"/>
      <c r="AH2" s="174"/>
      <c r="AI2" s="174"/>
      <c r="BB2" s="173" t="s">
        <v>97</v>
      </c>
      <c r="BC2" s="174"/>
      <c r="BD2" s="174"/>
      <c r="BE2" s="174"/>
      <c r="BF2" s="174"/>
      <c r="BG2" s="174"/>
      <c r="BH2" s="174"/>
      <c r="BI2" s="174"/>
      <c r="BJ2" s="174"/>
      <c r="BK2" s="174"/>
      <c r="CB2" s="173" t="s">
        <v>134</v>
      </c>
      <c r="CC2" s="174"/>
      <c r="CD2" s="174"/>
      <c r="CE2" s="174"/>
      <c r="CF2" s="174"/>
      <c r="CG2" s="174"/>
      <c r="CH2" s="174"/>
      <c r="CI2" s="174"/>
      <c r="DB2" s="175" t="s">
        <v>133</v>
      </c>
      <c r="DC2" s="175"/>
      <c r="DD2" s="175"/>
      <c r="DE2" s="175"/>
      <c r="DF2" s="175"/>
      <c r="DG2" s="175"/>
      <c r="DH2" s="176" t="s">
        <v>243</v>
      </c>
      <c r="DI2" s="177"/>
      <c r="DJ2" s="177"/>
      <c r="DK2" s="177"/>
      <c r="DL2" s="178"/>
      <c r="EB2" s="173" t="s">
        <v>0</v>
      </c>
      <c r="EC2" s="174"/>
      <c r="ED2" s="174"/>
      <c r="EE2" s="174"/>
      <c r="EF2" s="174"/>
      <c r="EG2" s="174"/>
      <c r="FB2" s="175" t="s">
        <v>97</v>
      </c>
      <c r="FC2" s="175"/>
      <c r="FD2" s="175"/>
      <c r="FE2" s="175"/>
      <c r="FF2" s="175"/>
      <c r="FG2" s="175"/>
      <c r="FH2" s="175"/>
      <c r="FI2" s="175"/>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3" t="s">
        <v>134</v>
      </c>
      <c r="C2" s="174"/>
      <c r="D2" s="174"/>
      <c r="E2" s="174"/>
      <c r="F2" s="174"/>
      <c r="G2" s="174"/>
      <c r="H2" s="174"/>
      <c r="I2" s="174"/>
      <c r="J2" s="174"/>
      <c r="AB2" s="175" t="s">
        <v>133</v>
      </c>
      <c r="AC2" s="175"/>
      <c r="AD2" s="175"/>
      <c r="AE2" s="175"/>
      <c r="AF2" s="175"/>
      <c r="AG2" s="175"/>
      <c r="AH2" s="175"/>
      <c r="AI2" s="176" t="s">
        <v>243</v>
      </c>
      <c r="AJ2" s="177"/>
      <c r="AK2" s="177"/>
      <c r="AL2" s="177"/>
      <c r="AM2" s="178"/>
      <c r="BB2" s="173" t="s">
        <v>0</v>
      </c>
      <c r="BC2" s="174"/>
      <c r="BD2" s="174"/>
      <c r="BE2" s="174"/>
      <c r="BF2" s="174"/>
      <c r="BG2" s="174"/>
      <c r="BH2" s="174"/>
      <c r="CB2" s="173" t="s">
        <v>97</v>
      </c>
      <c r="CC2" s="174"/>
      <c r="CD2" s="174"/>
      <c r="CE2" s="174"/>
      <c r="CF2" s="174"/>
      <c r="CG2" s="174"/>
      <c r="CH2" s="174"/>
      <c r="CI2" s="174"/>
      <c r="CJ2" s="174"/>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G17" sqref="G17"/>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9" t="s">
        <v>35</v>
      </c>
      <c r="D10" s="179"/>
      <c r="E10" s="179"/>
      <c r="F10" s="179"/>
      <c r="K10" s="179" t="s">
        <v>107</v>
      </c>
      <c r="L10" s="179"/>
      <c r="M10" s="179"/>
      <c r="N10" s="179"/>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
      </c>
      <c r="O28" s="24" t="str">
        <f t="shared" si="0"/>
        <v/>
      </c>
      <c r="P28" s="24" t="str">
        <f t="shared" si="0"/>
        <v/>
      </c>
      <c r="Q28" s="24" t="str">
        <f t="shared" si="0"/>
        <v/>
      </c>
      <c r="R28" s="24" t="str">
        <f t="shared" si="0"/>
        <v/>
      </c>
      <c r="S28" s="24" t="str">
        <f t="shared" si="0"/>
        <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
      </c>
      <c r="O38" s="24" t="str">
        <f t="shared" si="1"/>
        <v/>
      </c>
      <c r="P38" s="24" t="str">
        <f t="shared" si="1"/>
        <v/>
      </c>
      <c r="Q38" s="24" t="str">
        <f t="shared" si="1"/>
        <v/>
      </c>
      <c r="R38" s="24" t="str">
        <f t="shared" si="1"/>
        <v/>
      </c>
      <c r="S38" s="24" t="str">
        <f t="shared" si="1"/>
        <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1" t="s">
        <v>159</v>
      </c>
      <c r="Q1" s="181"/>
      <c r="R1" s="181"/>
      <c r="S1" s="181"/>
      <c r="T1" s="181"/>
      <c r="U1" s="181"/>
      <c r="V1" s="181"/>
      <c r="W1" s="181" t="s">
        <v>160</v>
      </c>
      <c r="X1" s="181"/>
      <c r="Y1" s="181"/>
      <c r="Z1" s="181"/>
      <c r="AA1" s="181"/>
      <c r="AB1" s="181"/>
      <c r="AC1" s="181"/>
    </row>
    <row r="2" spans="2:60" ht="17.25" customHeight="1" x14ac:dyDescent="0.25">
      <c r="C2" s="104" t="s">
        <v>187</v>
      </c>
      <c r="D2" s="122">
        <v>10</v>
      </c>
      <c r="P2" s="181" t="s">
        <v>176</v>
      </c>
      <c r="Q2" s="181"/>
      <c r="R2" s="181"/>
      <c r="S2" s="181" t="s">
        <v>161</v>
      </c>
      <c r="T2" s="181"/>
      <c r="U2" s="181"/>
      <c r="V2" s="112" t="s">
        <v>264</v>
      </c>
      <c r="W2" s="181" t="s">
        <v>176</v>
      </c>
      <c r="X2" s="181"/>
      <c r="Y2" s="181"/>
      <c r="Z2" s="181" t="s">
        <v>161</v>
      </c>
      <c r="AA2" s="181"/>
      <c r="AB2" s="181"/>
      <c r="AC2" s="112" t="s">
        <v>264</v>
      </c>
      <c r="AI2" s="180" t="s">
        <v>256</v>
      </c>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row>
    <row r="5" spans="2:60" x14ac:dyDescent="0.25">
      <c r="D5" s="132">
        <f>SUM(MonopoleSections[L])</f>
        <v>0</v>
      </c>
      <c r="E5" s="101"/>
      <c r="AG5" s="133">
        <f>SUM(MonopoleSections[IavgL])</f>
        <v>0</v>
      </c>
      <c r="AI5" s="180"/>
      <c r="AJ5" s="180"/>
      <c r="AK5" s="180"/>
      <c r="AL5" s="180"/>
      <c r="AM5" s="180"/>
      <c r="AN5" s="180"/>
      <c r="AO5" s="180"/>
      <c r="AP5" s="180"/>
      <c r="AQ5" s="180"/>
      <c r="AR5" s="180"/>
      <c r="AS5" s="180"/>
      <c r="AT5" s="180"/>
      <c r="AU5" s="180"/>
      <c r="AV5" s="180"/>
      <c r="AW5" s="180"/>
      <c r="AX5" s="180"/>
      <c r="AY5" s="180"/>
      <c r="AZ5" s="180"/>
      <c r="BA5" s="180"/>
      <c r="BB5" s="180"/>
      <c r="BC5" s="180"/>
      <c r="BD5" s="180"/>
      <c r="BE5" s="180"/>
      <c r="BF5" s="180"/>
      <c r="BG5" s="180"/>
      <c r="BH5" s="180"/>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E1" sqref="E1"/>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4.0.2</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410</v>
      </c>
      <c r="B24" s="110">
        <v>45205</v>
      </c>
      <c r="C24" s="164" t="s">
        <v>414</v>
      </c>
      <c r="D24" s="112" t="s">
        <v>409</v>
      </c>
      <c r="E24" s="112"/>
    </row>
    <row r="25" spans="1:5" ht="60" x14ac:dyDescent="0.25">
      <c r="A25" s="115" t="s">
        <v>412</v>
      </c>
      <c r="B25" s="110">
        <v>45209</v>
      </c>
      <c r="C25" s="146" t="s">
        <v>415</v>
      </c>
      <c r="D25" s="112" t="s">
        <v>413</v>
      </c>
      <c r="E25" s="112"/>
    </row>
    <row r="26" spans="1:5" x14ac:dyDescent="0.25">
      <c r="A26" s="115" t="s">
        <v>416</v>
      </c>
      <c r="B26" s="110">
        <v>45245</v>
      </c>
      <c r="C26" s="164" t="s">
        <v>417</v>
      </c>
      <c r="D26" s="112" t="s">
        <v>233</v>
      </c>
      <c r="E26" s="112"/>
    </row>
    <row r="27" spans="1:5" x14ac:dyDescent="0.25">
      <c r="A27" s="115"/>
      <c r="B27" s="110"/>
      <c r="C27" s="164"/>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F31"/>
  <sheetViews>
    <sheetView workbookViewId="0">
      <selection activeCell="H1" sqref="H1"/>
    </sheetView>
  </sheetViews>
  <sheetFormatPr defaultRowHeight="15" x14ac:dyDescent="0.25"/>
  <cols>
    <col min="1" max="3" width="21.85546875" customWidth="1"/>
    <col min="4" max="24" width="9.7109375" customWidth="1"/>
    <col min="26" max="26" width="26.28515625" customWidth="1"/>
    <col min="27" max="27" width="48.28515625" customWidth="1"/>
    <col min="28" max="28" width="48.140625" customWidth="1"/>
  </cols>
  <sheetData>
    <row r="1" spans="1:32" ht="42.75" customHeight="1" x14ac:dyDescent="0.25">
      <c r="A1" s="156" t="s">
        <v>229</v>
      </c>
      <c r="J1" s="154" t="s">
        <v>348</v>
      </c>
      <c r="T1" s="156" t="s">
        <v>353</v>
      </c>
      <c r="U1" t="s">
        <v>354</v>
      </c>
    </row>
    <row r="2" spans="1:32" x14ac:dyDescent="0.25">
      <c r="A2" t="s">
        <v>350</v>
      </c>
      <c r="B2" t="s">
        <v>416</v>
      </c>
      <c r="C2" t="s">
        <v>412</v>
      </c>
      <c r="D2" t="s">
        <v>410</v>
      </c>
      <c r="E2" t="s">
        <v>408</v>
      </c>
      <c r="F2" t="s">
        <v>407</v>
      </c>
      <c r="G2" t="s">
        <v>405</v>
      </c>
      <c r="H2" t="s">
        <v>404</v>
      </c>
      <c r="I2" t="s">
        <v>370</v>
      </c>
      <c r="J2" t="s">
        <v>369</v>
      </c>
      <c r="K2" t="s">
        <v>362</v>
      </c>
      <c r="L2" t="s">
        <v>360</v>
      </c>
      <c r="M2" t="s">
        <v>358</v>
      </c>
      <c r="N2" t="s">
        <v>356</v>
      </c>
      <c r="O2" t="s">
        <v>320</v>
      </c>
      <c r="P2" t="s">
        <v>318</v>
      </c>
      <c r="Q2" t="s">
        <v>316</v>
      </c>
      <c r="R2" t="s">
        <v>298</v>
      </c>
      <c r="S2" t="s">
        <v>294</v>
      </c>
      <c r="T2" t="s">
        <v>291</v>
      </c>
      <c r="U2" t="s">
        <v>289</v>
      </c>
      <c r="V2" t="s">
        <v>288</v>
      </c>
      <c r="W2" t="s">
        <v>284</v>
      </c>
      <c r="X2" t="s">
        <v>262</v>
      </c>
      <c r="Y2" t="s">
        <v>258</v>
      </c>
      <c r="Z2" t="s">
        <v>257</v>
      </c>
      <c r="AA2" t="s">
        <v>252</v>
      </c>
      <c r="AB2" t="s">
        <v>249</v>
      </c>
      <c r="AC2" t="s">
        <v>244</v>
      </c>
      <c r="AD2" s="118" t="s">
        <v>347</v>
      </c>
      <c r="AE2" s="118" t="s">
        <v>344</v>
      </c>
      <c r="AF2" s="118" t="s">
        <v>345</v>
      </c>
    </row>
    <row r="3" spans="1:32"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s="153" t="s">
        <v>321</v>
      </c>
      <c r="Z3" s="153" t="s">
        <v>321</v>
      </c>
      <c r="AA3" s="153" t="s">
        <v>321</v>
      </c>
      <c r="AB3" s="153" t="s">
        <v>321</v>
      </c>
      <c r="AC3" t="s">
        <v>321</v>
      </c>
      <c r="AD3" s="155" t="s">
        <v>341</v>
      </c>
      <c r="AE3" s="155" t="s">
        <v>349</v>
      </c>
      <c r="AF3" s="118"/>
    </row>
    <row r="4" spans="1:32"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t="s">
        <v>322</v>
      </c>
      <c r="AA4" t="s">
        <v>322</v>
      </c>
      <c r="AB4" t="s">
        <v>322</v>
      </c>
      <c r="AC4" t="s">
        <v>322</v>
      </c>
      <c r="AD4" s="155" t="s">
        <v>343</v>
      </c>
      <c r="AE4" s="155" t="s">
        <v>372</v>
      </c>
      <c r="AF4" s="118"/>
    </row>
    <row r="5" spans="1:32"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t="s">
        <v>323</v>
      </c>
      <c r="AA5" t="s">
        <v>323</v>
      </c>
      <c r="AB5" t="s">
        <v>323</v>
      </c>
      <c r="AC5" t="s">
        <v>323</v>
      </c>
      <c r="AD5" s="118" t="s">
        <v>342</v>
      </c>
      <c r="AE5" s="118" t="s">
        <v>229</v>
      </c>
      <c r="AF5" s="118" t="s">
        <v>346</v>
      </c>
    </row>
    <row r="6" spans="1:32"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c r="Z6" t="s">
        <v>324</v>
      </c>
      <c r="AA6" t="s">
        <v>324</v>
      </c>
      <c r="AB6" t="s">
        <v>324</v>
      </c>
      <c r="AC6" t="s">
        <v>324</v>
      </c>
    </row>
    <row r="7" spans="1:32"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t="s">
        <v>325</v>
      </c>
      <c r="AA7" t="s">
        <v>325</v>
      </c>
      <c r="AB7" t="s">
        <v>325</v>
      </c>
      <c r="AC7" t="s">
        <v>325</v>
      </c>
      <c r="AD7" s="182" t="s">
        <v>352</v>
      </c>
      <c r="AE7" s="182"/>
      <c r="AF7" s="182"/>
    </row>
    <row r="8" spans="1:32"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t="s">
        <v>326</v>
      </c>
      <c r="AA8" t="s">
        <v>326</v>
      </c>
      <c r="AB8" t="s">
        <v>326</v>
      </c>
      <c r="AC8" t="s">
        <v>326</v>
      </c>
      <c r="AD8" s="182"/>
      <c r="AE8" s="182"/>
      <c r="AF8" s="182"/>
    </row>
    <row r="9" spans="1:32"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t="s">
        <v>327</v>
      </c>
      <c r="AA9" t="s">
        <v>327</v>
      </c>
      <c r="AB9" t="s">
        <v>327</v>
      </c>
      <c r="AC9" t="s">
        <v>327</v>
      </c>
      <c r="AD9" s="182"/>
      <c r="AE9" s="182"/>
      <c r="AF9" s="182"/>
    </row>
    <row r="10" spans="1:32"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t="s">
        <v>328</v>
      </c>
      <c r="AA10" t="s">
        <v>328</v>
      </c>
      <c r="AB10" t="s">
        <v>328</v>
      </c>
      <c r="AC10" t="s">
        <v>328</v>
      </c>
      <c r="AD10" s="182"/>
      <c r="AE10" s="182"/>
      <c r="AF10" s="182"/>
    </row>
    <row r="11" spans="1:32" x14ac:dyDescent="0.25">
      <c r="AB11" t="s">
        <v>338</v>
      </c>
      <c r="AC11" t="s">
        <v>338</v>
      </c>
    </row>
    <row r="12" spans="1:32" x14ac:dyDescent="0.25">
      <c r="B12" t="s">
        <v>329</v>
      </c>
      <c r="C12" t="s">
        <v>329</v>
      </c>
      <c r="D12" t="s">
        <v>329</v>
      </c>
      <c r="E12" t="s">
        <v>329</v>
      </c>
      <c r="F12" t="s">
        <v>329</v>
      </c>
      <c r="G12" t="s">
        <v>329</v>
      </c>
      <c r="H12" t="s">
        <v>329</v>
      </c>
      <c r="I12" t="s">
        <v>329</v>
      </c>
      <c r="J12" t="s">
        <v>329</v>
      </c>
      <c r="K12" t="s">
        <v>329</v>
      </c>
      <c r="L12" t="s">
        <v>329</v>
      </c>
      <c r="M12" t="s">
        <v>329</v>
      </c>
      <c r="N12" t="s">
        <v>329</v>
      </c>
      <c r="O12" t="s">
        <v>329</v>
      </c>
      <c r="P12" t="s">
        <v>329</v>
      </c>
      <c r="Q12" t="s">
        <v>329</v>
      </c>
      <c r="R12" t="s">
        <v>329</v>
      </c>
      <c r="S12" t="s">
        <v>351</v>
      </c>
      <c r="T12" t="s">
        <v>351</v>
      </c>
      <c r="U12" t="s">
        <v>351</v>
      </c>
      <c r="V12" t="s">
        <v>351</v>
      </c>
      <c r="W12" t="s">
        <v>351</v>
      </c>
      <c r="X12" t="s">
        <v>329</v>
      </c>
      <c r="Y12" t="s">
        <v>329</v>
      </c>
      <c r="Z12" t="s">
        <v>329</v>
      </c>
      <c r="AA12" t="s">
        <v>329</v>
      </c>
      <c r="AB12" t="s">
        <v>329</v>
      </c>
      <c r="AC12" t="s">
        <v>329</v>
      </c>
    </row>
    <row r="13" spans="1:32" x14ac:dyDescent="0.25">
      <c r="B13" t="s">
        <v>335</v>
      </c>
      <c r="C13" t="s">
        <v>335</v>
      </c>
      <c r="D13" t="s">
        <v>335</v>
      </c>
      <c r="E13" t="s">
        <v>335</v>
      </c>
      <c r="F13" t="s">
        <v>335</v>
      </c>
      <c r="G13" t="s">
        <v>335</v>
      </c>
      <c r="H13" t="s">
        <v>335</v>
      </c>
      <c r="I13" t="s">
        <v>335</v>
      </c>
      <c r="J13" t="s">
        <v>335</v>
      </c>
      <c r="K13" t="s">
        <v>335</v>
      </c>
      <c r="L13" t="s">
        <v>335</v>
      </c>
      <c r="M13" t="s">
        <v>335</v>
      </c>
      <c r="N13" t="s">
        <v>335</v>
      </c>
      <c r="O13" t="s">
        <v>335</v>
      </c>
      <c r="P13" t="s">
        <v>335</v>
      </c>
      <c r="Q13" t="s">
        <v>335</v>
      </c>
      <c r="R13" t="s">
        <v>335</v>
      </c>
    </row>
    <row r="14" spans="1:32"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c r="Z14" t="s">
        <v>330</v>
      </c>
      <c r="AA14" t="s">
        <v>330</v>
      </c>
      <c r="AB14" t="s">
        <v>330</v>
      </c>
      <c r="AC14" t="s">
        <v>330</v>
      </c>
    </row>
    <row r="15" spans="1:32"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c r="Z15" t="s">
        <v>331</v>
      </c>
      <c r="AA15" t="s">
        <v>331</v>
      </c>
      <c r="AB15" t="s">
        <v>331</v>
      </c>
      <c r="AC15" t="s">
        <v>331</v>
      </c>
    </row>
    <row r="16" spans="1:32"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c r="Z16" t="s">
        <v>332</v>
      </c>
      <c r="AA16" t="s">
        <v>332</v>
      </c>
      <c r="AB16" t="s">
        <v>332</v>
      </c>
      <c r="AC16" t="s">
        <v>332</v>
      </c>
    </row>
    <row r="17" spans="2:29"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c r="Z17" t="s">
        <v>333</v>
      </c>
      <c r="AA17" t="s">
        <v>333</v>
      </c>
      <c r="AB17" t="s">
        <v>333</v>
      </c>
      <c r="AC17" t="s">
        <v>333</v>
      </c>
    </row>
    <row r="18" spans="2:29"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c r="Z18" t="s">
        <v>334</v>
      </c>
      <c r="AA18" t="s">
        <v>334</v>
      </c>
      <c r="AB18" t="s">
        <v>334</v>
      </c>
      <c r="AC18" t="s">
        <v>334</v>
      </c>
    </row>
    <row r="19" spans="2:29"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c r="Z19" t="s">
        <v>340</v>
      </c>
      <c r="AA19" t="s">
        <v>340</v>
      </c>
      <c r="AB19" t="s">
        <v>340</v>
      </c>
      <c r="AC19" t="s">
        <v>340</v>
      </c>
    </row>
    <row r="20" spans="2:29"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c r="Z20" t="s">
        <v>336</v>
      </c>
      <c r="AA20" t="s">
        <v>336</v>
      </c>
      <c r="AB20" t="s">
        <v>336</v>
      </c>
      <c r="AC20" t="s">
        <v>336</v>
      </c>
    </row>
    <row r="21" spans="2:29" x14ac:dyDescent="0.25">
      <c r="B21" t="s">
        <v>337</v>
      </c>
      <c r="C21" t="s">
        <v>337</v>
      </c>
      <c r="D21" t="s">
        <v>337</v>
      </c>
      <c r="E21" t="s">
        <v>337</v>
      </c>
      <c r="F21" t="s">
        <v>337</v>
      </c>
      <c r="G21" t="s">
        <v>337</v>
      </c>
      <c r="H21" t="s">
        <v>337</v>
      </c>
      <c r="I21" t="s">
        <v>337</v>
      </c>
      <c r="J21" t="s">
        <v>337</v>
      </c>
      <c r="K21" t="s">
        <v>337</v>
      </c>
      <c r="L21" t="s">
        <v>337</v>
      </c>
      <c r="M21" t="s">
        <v>337</v>
      </c>
      <c r="N21" t="s">
        <v>337</v>
      </c>
      <c r="O21" t="s">
        <v>337</v>
      </c>
      <c r="P21" t="s">
        <v>337</v>
      </c>
      <c r="Q21" t="s">
        <v>337</v>
      </c>
      <c r="R21" t="s">
        <v>337</v>
      </c>
      <c r="S21" t="s">
        <v>339</v>
      </c>
      <c r="T21" t="s">
        <v>339</v>
      </c>
      <c r="U21" t="s">
        <v>339</v>
      </c>
      <c r="V21" t="s">
        <v>339</v>
      </c>
      <c r="W21" t="s">
        <v>339</v>
      </c>
      <c r="X21" t="s">
        <v>339</v>
      </c>
      <c r="Y21" t="s">
        <v>339</v>
      </c>
      <c r="Z21" t="s">
        <v>339</v>
      </c>
      <c r="AA21" t="s">
        <v>339</v>
      </c>
      <c r="AB21" t="s">
        <v>339</v>
      </c>
      <c r="AC21" t="s">
        <v>339</v>
      </c>
    </row>
    <row r="22" spans="2:29"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c r="Z22" t="s">
        <v>18</v>
      </c>
      <c r="AA22" t="s">
        <v>18</v>
      </c>
      <c r="AB22" t="s">
        <v>18</v>
      </c>
      <c r="AC22" t="s">
        <v>18</v>
      </c>
    </row>
    <row r="23" spans="2:29"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c r="Z23" t="s">
        <v>376</v>
      </c>
      <c r="AA23" t="s">
        <v>376</v>
      </c>
      <c r="AB23" t="s">
        <v>376</v>
      </c>
      <c r="AC23" t="s">
        <v>376</v>
      </c>
    </row>
    <row r="24" spans="2:29"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c r="Z24" t="s">
        <v>377</v>
      </c>
      <c r="AA24" t="s">
        <v>377</v>
      </c>
      <c r="AB24" t="s">
        <v>377</v>
      </c>
      <c r="AC24" t="s">
        <v>377</v>
      </c>
    </row>
    <row r="25" spans="2:29" x14ac:dyDescent="0.25">
      <c r="B25" t="s">
        <v>375</v>
      </c>
      <c r="C25" t="s">
        <v>375</v>
      </c>
      <c r="D25" t="s">
        <v>375</v>
      </c>
      <c r="E25" t="s">
        <v>375</v>
      </c>
      <c r="F25" t="s">
        <v>375</v>
      </c>
      <c r="G25" t="s">
        <v>375</v>
      </c>
      <c r="H25" t="s">
        <v>375</v>
      </c>
      <c r="I25" t="s">
        <v>375</v>
      </c>
    </row>
    <row r="26" spans="2:29" x14ac:dyDescent="0.25">
      <c r="B26" t="s">
        <v>373</v>
      </c>
      <c r="C26" t="s">
        <v>373</v>
      </c>
      <c r="D26" t="s">
        <v>373</v>
      </c>
      <c r="E26" t="s">
        <v>373</v>
      </c>
      <c r="F26" t="s">
        <v>373</v>
      </c>
      <c r="G26" t="s">
        <v>373</v>
      </c>
      <c r="H26" t="s">
        <v>373</v>
      </c>
      <c r="I26" t="s">
        <v>373</v>
      </c>
    </row>
    <row r="27" spans="2:29" x14ac:dyDescent="0.25">
      <c r="B27" t="s">
        <v>374</v>
      </c>
      <c r="C27" t="s">
        <v>374</v>
      </c>
      <c r="D27" t="s">
        <v>374</v>
      </c>
      <c r="E27" t="s">
        <v>374</v>
      </c>
      <c r="F27" t="s">
        <v>374</v>
      </c>
      <c r="G27" t="s">
        <v>374</v>
      </c>
      <c r="H27" t="s">
        <v>374</v>
      </c>
      <c r="I27" t="s">
        <v>374</v>
      </c>
      <c r="N27" s="153"/>
    </row>
    <row r="31" spans="2:29" x14ac:dyDescent="0.25">
      <c r="P31" s="153"/>
    </row>
  </sheetData>
  <sheetProtection sheet="1" objects="1" scenarios="1"/>
  <mergeCells count="1">
    <mergeCell ref="AD7:AF10"/>
  </mergeCells>
  <phoneticPr fontId="2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SetDocumentProperties">
                <anchor moveWithCells="1">
                  <from>
                    <xdr:col>3</xdr:col>
                    <xdr:colOff>485775</xdr:colOff>
                    <xdr:row>0</xdr:row>
                    <xdr:rowOff>0</xdr:rowOff>
                  </from>
                  <to>
                    <xdr:col>6</xdr:col>
                    <xdr:colOff>257175</xdr:colOff>
                    <xdr:row>0</xdr:row>
                    <xdr:rowOff>285750</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8" sqref="A28"/>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4.0.2</v>
      </c>
    </row>
    <row r="3" spans="1:1" x14ac:dyDescent="0.25">
      <c r="A3" s="114" t="str">
        <f>CONCATENATE("Seismic calculations are in accordance with  ",dcode)</f>
        <v xml:space="preserve">Seismic calculations are in accordance with  </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E4"/>
  <sheetViews>
    <sheetView topLeftCell="Q1" workbookViewId="0">
      <selection activeCell="H4" sqref="H4"/>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 min="31" max="31" width="12.140625" bestFit="1" customWidth="1"/>
  </cols>
  <sheetData>
    <row r="1" spans="1:31"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406</v>
      </c>
      <c r="AE1" s="166" t="s">
        <v>411</v>
      </c>
    </row>
    <row r="2" spans="1:31" x14ac:dyDescent="0.25">
      <c r="A2" s="163"/>
      <c r="B2" s="160" t="str">
        <f>IF(Revision="","",Revision)</f>
        <v>4.0.2</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c r="AE2" s="118" t="str">
        <f>IF(dcode="","",dcode)</f>
        <v/>
      </c>
    </row>
    <row r="3" spans="1:31" x14ac:dyDescent="0.25">
      <c r="A3" t="b">
        <v>0</v>
      </c>
    </row>
    <row r="4" spans="1:31" x14ac:dyDescent="0.25">
      <c r="A4"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34ea2ff3-6ec2-43d9-a471-c19986830980">DVPHTAHPRZEY-692369264-3838</_dlc_DocId>
    <_dlc_DocIdUrl xmlns="34ea2ff3-6ec2-43d9-a471-c19986830980">
      <Url>https://crowncastle.sharepoint.com/sites/TowerAssetsEngineering/_layouts/15/DocIdRedir.aspx?ID=DVPHTAHPRZEY-692369264-3838</Url>
      <Description>DVPHTAHPRZEY-692369264-3838</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3" ma:contentTypeDescription="Create a new document." ma:contentTypeScope="" ma:versionID="208a481e9f94d47a9cf5203a30b1ec87">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0ec5327c1cfaee82a95935a5aeb8496f"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3:_dlc_DocId" minOccurs="0"/>
                <xsd:element ref="ns3:_dlc_DocIdUrl" minOccurs="0"/>
                <xsd:element ref="ns3:_dlc_DocIdPersistId" minOccurs="0"/>
                <xsd:element ref="ns2:MediaServiceObjectDetectorVersion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_dlc_DocId" ma:index="19" nillable="true" ma:displayName="Document ID Value" ma:description="The value of the document ID assigned to this item." ma:indexed="true" ma:internalName="_dlc_DocId" ma:readOnly="true">
      <xsd:simpleType>
        <xsd:restriction base="dms:Text"/>
      </xsd:simpleType>
    </xsd:element>
    <xsd:element name="_dlc_DocIdUrl" ma:index="2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1"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Props1.xml><?xml version="1.0" encoding="utf-8"?>
<ds:datastoreItem xmlns:ds="http://schemas.openxmlformats.org/officeDocument/2006/customXml" ds:itemID="{F93023F0-E817-4D1C-A9D3-423029924B77}">
  <ds:schemaRefs>
    <ds:schemaRef ds:uri="http://schemas.microsoft.com/sharepoint/events"/>
  </ds:schemaRefs>
</ds:datastoreItem>
</file>

<file path=customXml/itemProps2.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 ds:uri="http://schemas.microsoft.com/sharepoint/v3"/>
  </ds:schemaRefs>
</ds:datastoreItem>
</file>

<file path=customXml/itemProps3.xml><?xml version="1.0" encoding="utf-8"?>
<ds:datastoreItem xmlns:ds="http://schemas.openxmlformats.org/officeDocument/2006/customXml" ds:itemID="{E703D9EC-3EA2-4C11-85CC-A389C987B366}"/>
</file>

<file path=customXml/itemProps4.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5.xml><?xml version="1.0" encoding="utf-8"?>
<ds:datastoreItem xmlns:ds="http://schemas.openxmlformats.org/officeDocument/2006/customXml" ds:itemID="{D8AB91E2-8706-457B-9EBD-EFB3DD8EE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Smilowitz, Daniel</cp:lastModifiedBy>
  <cp:lastPrinted>2023-04-14T18:20:05Z</cp:lastPrinted>
  <dcterms:created xsi:type="dcterms:W3CDTF">2017-05-08T19:57:01Z</dcterms:created>
  <dcterms:modified xsi:type="dcterms:W3CDTF">2023-11-15T15:59:45Z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4.0.2</vt:lpwstr>
  </property>
  <property fmtid="{D5CDD505-2E9C-101B-9397-08002B2CF9AE}" pid="4" name="_dlc_DocIdItemGuid">
    <vt:lpwstr>7cac23fd-b032-4ccb-8d82-361a84ffdf9c</vt:lpwstr>
  </property>
  <property fmtid="{D5CDD505-2E9C-101B-9397-08002B2CF9AE}" pid="5" name="MediaServiceImageTags">
    <vt:lpwstr/>
  </property>
</Properties>
</file>
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C3295037-FC17-43FD-B7C1-9ACE409D0FF2}" xr6:coauthVersionLast="47" xr6:coauthVersionMax="47" xr10:uidLastSave="{00000000-0000-0000-0000-000000000000}"/>
  <bookViews>
    <workbookView xWindow="2868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<sst xmlns="http://schemas.openxmlformats.org/spreadsheetml/2006/main" count="1223" uniqueCount="410">
  <si>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</si>
  <si>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</si>
  <si>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</si>
  <si>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</si>
  <si>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</si>
  <si>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</si>
  <si>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</si>
  <si>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</si>
  <si>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</si>
  <si>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</si>
  <si>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</si>
  <si>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</si>
  <si>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</si>
  <si>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</si>
  <si>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</si>
  <si>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</si>
  <si>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</si>
  <si>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</si>
  <si>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</si>
  <si>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</si>
  <si>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</si>
  <si>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</si>
  <si>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</si>
  <si>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</si>
  <si>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</si>
  <si>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</si>
  <si>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</si>
  <si>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</si>
  <si>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</si>
  <si>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</si>
  <si>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</si>
  <si>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</si>
  <si>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</si>
  <si>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</si>
  <si>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</si>
  <si>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</si>
  <si>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</si>
  <si>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</si>
  <si>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</si>
  <si>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</si>
  <si>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</si>
  <si>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</si>
  <si>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</si>
  <si>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</si>
  <si>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</si>
  <si>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</si>
  <si>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</si>
  <si>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</si>
  <si>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</si>
  <si>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</si>
  <si>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</si>
  <si>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</si>
  <si>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</si>
  <si>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</si>
  <si>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</si>
  <si>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</si>
  <si>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</si>
  <si>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</si>
  <si>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</si>
  <si>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</si>
  <si>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</si>
  <si>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</si>
  <si>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</si>
  <si>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</si>
  <si>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</si>
  <si>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</si>
  <si>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</si>
  <si>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</si>
  <si>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</si>
  <si>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</si>
  <si>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</si>
  <si>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</si>
  <si>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</si>
  <si>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</si>
  <si>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</si>
  <si>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</si>
  <si>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</si>
  <si>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</si>
  <si>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</si>
  <si>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</si>
  <si>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</si>
  <si>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</si>
  <si>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</si>
  <si>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</si>
  <si>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</si>
  <si>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</si>
  <si>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</si>
  <si>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</si>
  <si>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</si>
  <si>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</si>
  <si>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</si>
  <si>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</si>
  <si>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</si>
  <si>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</si>
  <si>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</si>
  <si>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</si>
  <si>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</si>
  <si>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</si>
  <si>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</si>
  <si>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</si>
  <si>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</si>
  <si>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</si>
  <si>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</si>
  <si>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</si>
  <si>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</si>
  <si>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</si>
  <si>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</si>
  <si>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</si>
  <si>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</si>
  <si>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</si>
  <si>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</si>
  <si>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</si>
  <si>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</si>
  <si>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</si>
  <si>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</si>
  <si>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</si>
  <si>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</si>
  <si>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</si>
  <si>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</si>
  <si>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</si>
  <si>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</si>
  <si>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</si>
  <si>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</si>
  <si>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</si>
  <si>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</si>
  <si>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</si>
  <si>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</si>
  <si>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</si>
  <si>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</si>
  <si>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</si>
  <si>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</si>
  <si>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</si>
  <si>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</si>
  <si>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</si>
  <si>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</si>
  <si>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</si>
  <si>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</si>
  <si>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</si>
  <si>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</si>
  <si>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</si>
  <si>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</si>
  <si>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</si>
  <si>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</si>
  <si>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</si>
  <si>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</si>
  <si>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</si>
  <si>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</si>
  <si>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</si>
  <si>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</si>
  <si>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</si>
  <si>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</si>
  <si>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</si>
  <si>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</si>
  <si>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</si>
  <si>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</si>
  <si>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</si>
  <si>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</si>
  <si>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</si>
  <si>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</si>
  <si>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</si>
  <si>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</si>
  <si>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</si>
  <si>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</si>
  <si>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</si>
  <si>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</si>
  <si>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</si>
  <si>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</si>
  <si>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</si>
  <si>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</si>
  <si>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</si>
  <si>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</si>
  <si>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</si>
  <si>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</si>
  <si>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</si>
  <si>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</si>
  <si>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</si>
  <si>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</si>
  <si>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</si>
  <si>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</si>
  <si>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</si>
  <si>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</si>
  <si>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</si>
  <si>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</si>
  <si>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</si>
  <si>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</si>
  <si>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</si>
  <si>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</si>
  <si>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</si>
  <si>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</si>
  <si>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</si>
  <si>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</si>
  <si>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</si>
  <si>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</si>
  <si>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</si>
  <si>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</si>
  <si>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</si>
  <si>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</si>
  <si>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</si>
  <si>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</si>
  <si>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</si>
  <si>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</si>
  <si>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</si>
  <si>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</si>
  <si>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</si>
  <si>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</si>
  <si>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</si>
  <si>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</si>
  <si>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</si>
  <si>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</si>
  <si>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</si>
  <si>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</si>
  <si>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</si>
  <si>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</si>
  <si>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</si>
  <si>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</si>
  <si>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</si>
  <si>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</si>
  <si>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</si>
  <si>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</si>
  <si>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</si>
  <si>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</si>
  <si>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</si>
  <si>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</si>
  <si>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</si>
  <si>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</si>
  <si>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</si>
  <si>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</si>
  <si>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</si>
  <si>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</si>
  <si>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</si>
  <si>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</si>
  <si>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</si>
  <si>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</si>
  <si>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</si>
  <si>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</si>
  <si>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</si>
  <si>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</si>
  <si>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</si>
  <si>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</si>
  <si>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</si>
  <si>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</si>
  <si>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</si>
  <si>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</si>
  <si>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</si>
  <si>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</si>
  <si>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</si>
  <si>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</si>
  <si>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</si>
  <si>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</si>
  <si>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</si>
  <si>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</si>
  <si>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</si>
  <si>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</si>
  <si>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</si>
  <si>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</si>
  <si>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</si>
  <si>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</si>
  <si>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</si>
  <si>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</si>
  <si>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</si>
  <si>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</si>
  <si>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</si>
  <si>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</si>
  <si>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</si>
  <si>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</si>
  <si>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</si>
  <si>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</si>
  <si>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</si>
  <si>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</si>
  <si>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</si>
  <si>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</si>
  <si>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</si>
  <si>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</si>
  <si>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</si>
  <si>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</si>
  <si>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</si>
  <si>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</si>
  <si>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</si>
  <si>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</si>
  <si>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</si>
  <si>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</si>
  <si>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</si>
  <si>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</si>
  <si>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</si>
  <si>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</si>
  <si>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</si>
  <si>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</si>
  <si>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</si>
  <si>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</si>
  <si>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</si>
  <si>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</si>
  <si>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</si>
  <si>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</si>
  <si>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</si>
  <si>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</si>
  <si>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</si>
  <si>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</si>
  <si>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</si>
  <si>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</si>
  <si>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</si>
  <si>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</si>
  <si>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</si>
  <si>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</si>
  <si>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</si>
  <si>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</si>
  <si>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</si>
  <si>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</si>
  <si>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</si>
  <si>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</si>
  <si>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</si>
  <si>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</si>
  <si>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</si>
  <si>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</si>
  <si>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</si>
  <si>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</si>
  <si>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</si>
  <si>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</si>
  <si>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</si>
  <si>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</si>
  <si>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</si>
  <si>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</si>
  <si>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</si>
  <si>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</si>
  <si>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</si>
  <si>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</si>
  <si>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</si>
  <si>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</si>
  <si>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</si>
  <si>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</si>
  <si>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</si>
  <si>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</si>
  <si>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</si>
  <si>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</si>
  <si>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</si>
  <si>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</si>
  <si>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</si>
  <si>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</si>
  <si>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</si>
  <si>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</si>
  <si>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</si>
  <si>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</si>
  <si>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</si>
  <si>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</si>
  <si>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</si>
  <si>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</si>
  <si>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</si>
  <si>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</si>
  <si>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</si>
  <si>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</si>
  <si>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</si>
  <si>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</si>
  <si>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</si>
  <si>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</si>
  <si>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</si>
  <si>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</si>
  <si>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</si>
  <si>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</si>
  <si>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</si>
  <si>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</si>
  <si>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</si>
  <si>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</si>
  <si>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</si>
  <si>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</si>
  <si>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</si>
  <si>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</si>
  <si>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</si>
  <si>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</si>
  <si>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</si>
  <si>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</si>
  <si>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</si>
  <si>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</si>
  <si>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</si>
  <si>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</si>
  <si>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</si>
  <si>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</si>
  <si>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</si>
  <si>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</si>
  <si>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</si>
  <si>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</si>
  <si>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</si>
  <si>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</si>
  <si>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</si>
  <si>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</si>
  <si>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</si>
  <si>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</si>
  <si>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</si>
  <si>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</si>
  <si>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</si>
  <si>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</si>
  <si>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</si>
  <si>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</si>
  <si>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</si>
  <si>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</si>
  <si>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</si>
  <si>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</si>
  <si>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</si>
  <si>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</si>
  <si>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</si>
  <si>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</si>
  <si>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</si>
  <si>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</si>
  <si>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</si>
  <si>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</si>
  <si>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</si>
  <si>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</si>
  <si>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</si>
  <si>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</si>
  <si>
    <t>3.3.11</t>
  </si>
  <si>
    <t xml:space="preserve">-Removed line of code causing tool to be inoperable. </t>
  </si>
  <si>
    <t>IEM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</si>
</sst>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1">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X27" totalsRowShown="0">
  <autoFilter ref="A2:X27" xr:uid="{C43F7D1A-64D3-4A18-9625-956AAFCD8C5B}"/>
  <tableColumns count="24">
    <tableColumn id="1" xr3:uid="{22E418C5-C943-46D1-A927-AAC1E2DDD4E2}" name="Default Sheet Name"/>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5" t="s">
        <v>101</v>
      </c>
      <c r="C6" s="165"/>
      <c r="D6" s="165"/>
      <c r="E6" s="165"/>
      <c r="F6" s="165"/>
      <c r="G6" s="165"/>
      <c r="H6" s="165"/>
      <c r="I6" s="165"/>
      <c r="J6" s="165"/>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5" t="s">
        <v>102</v>
      </c>
      <c r="C11" s="165"/>
      <c r="D11" s="165"/>
      <c r="E11" s="165"/>
      <c r="F11" s="165"/>
      <c r="G11" s="165"/>
      <c r="H11" s="165"/>
      <c r="I11" s="165"/>
      <c r="J11" s="165"/>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5" t="s">
        <v>103</v>
      </c>
      <c r="C21" s="165"/>
      <c r="D21" s="165"/>
      <c r="E21" s="165"/>
      <c r="F21" s="165"/>
      <c r="G21" s="165"/>
      <c r="H21" s="165"/>
      <c r="I21" s="165"/>
      <c r="J21" s="165"/>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7" t="s">
        <v>266</v>
      </c>
      <c r="C40" s="167"/>
      <c r="D40" s="167"/>
      <c r="E40" s="167"/>
      <c r="F40" s="167"/>
      <c r="G40" s="167"/>
      <c r="H40" s="167"/>
      <c r="I40" s="167"/>
      <c r="J40" s="167"/>
    </row>
    <row r="41" spans="1:10" hidden="1" x14ac:dyDescent="0.25">
      <c r="B41" s="166" t="s">
        <v>267</v>
      </c>
      <c r="C41" s="166"/>
      <c r="D41" s="166"/>
      <c r="E41" s="166"/>
      <c r="F41" s="166"/>
      <c r="G41" s="166"/>
      <c r="H41" s="166"/>
      <c r="I41" s="166"/>
      <c r="J41" s="166"/>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5" t="s">
        <v>104</v>
      </c>
      <c r="C6" s="165"/>
      <c r="D6" s="165"/>
      <c r="E6" s="165"/>
      <c r="F6" s="165"/>
      <c r="G6" s="165"/>
      <c r="H6" s="165"/>
      <c r="I6" s="165"/>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8" t="s">
        <v>105</v>
      </c>
      <c r="C13" s="169"/>
      <c r="D13" s="169"/>
      <c r="E13" s="169"/>
      <c r="F13" s="169"/>
      <c r="G13" s="169"/>
      <c r="H13" s="169"/>
      <c r="I13" s="170"/>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8" t="s">
        <v>149</v>
      </c>
      <c r="C59" s="169"/>
      <c r="D59" s="169"/>
      <c r="E59" s="169"/>
      <c r="F59" s="169"/>
      <c r="G59" s="169"/>
      <c r="H59" s="169"/>
      <c r="I59" s="170"/>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1" t="s">
        <v>134</v>
      </c>
      <c r="C2" s="172"/>
      <c r="D2" s="172"/>
      <c r="E2" s="172"/>
      <c r="F2" s="172"/>
      <c r="G2" s="172"/>
      <c r="H2" s="172"/>
      <c r="I2" s="172"/>
      <c r="J2" s="172"/>
      <c r="K2" s="172"/>
      <c r="AB2" s="171" t="s">
        <v>0</v>
      </c>
      <c r="AC2" s="172"/>
      <c r="AD2" s="172"/>
      <c r="AE2" s="172"/>
      <c r="AF2" s="172"/>
      <c r="AG2" s="172"/>
      <c r="AH2" s="172"/>
      <c r="AI2" s="172"/>
      <c r="BB2" s="171" t="s">
        <v>97</v>
      </c>
      <c r="BC2" s="172"/>
      <c r="BD2" s="172"/>
      <c r="BE2" s="172"/>
      <c r="BF2" s="172"/>
      <c r="BG2" s="172"/>
      <c r="BH2" s="172"/>
      <c r="BI2" s="172"/>
      <c r="BJ2" s="172"/>
      <c r="BK2" s="172"/>
      <c r="CB2" s="171" t="s">
        <v>134</v>
      </c>
      <c r="CC2" s="172"/>
      <c r="CD2" s="172"/>
      <c r="CE2" s="172"/>
      <c r="CF2" s="172"/>
      <c r="CG2" s="172"/>
      <c r="CH2" s="172"/>
      <c r="CI2" s="172"/>
      <c r="DB2" s="173" t="s">
        <v>133</v>
      </c>
      <c r="DC2" s="173"/>
      <c r="DD2" s="173"/>
      <c r="DE2" s="173"/>
      <c r="DF2" s="173"/>
      <c r="DG2" s="173"/>
      <c r="DH2" s="174" t="s">
        <v>243</v>
      </c>
      <c r="DI2" s="175"/>
      <c r="DJ2" s="175"/>
      <c r="DK2" s="175"/>
      <c r="DL2" s="176"/>
      <c r="EB2" s="171" t="s">
        <v>0</v>
      </c>
      <c r="EC2" s="172"/>
      <c r="ED2" s="172"/>
      <c r="EE2" s="172"/>
      <c r="EF2" s="172"/>
      <c r="EG2" s="172"/>
      <c r="FB2" s="173" t="s">
        <v>97</v>
      </c>
      <c r="FC2" s="173"/>
      <c r="FD2" s="173"/>
      <c r="FE2" s="173"/>
      <c r="FF2" s="173"/>
      <c r="FG2" s="173"/>
      <c r="FH2" s="173"/>
      <c r="FI2" s="173"/>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S18" sqref="S1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7" t="s">
        <v>35</v>
      </c>
      <c r="D10" s="177"/>
      <c r="E10" s="177"/>
      <c r="F10" s="177"/>
      <c r="K10" s="177" t="s">
        <v>107</v>
      </c>
      <c r="L10" s="177"/>
      <c r="M10" s="177"/>
      <c r="N10" s="177"/>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9" t="s">
        <v>159</v>
      </c>
      <c r="Q1" s="179"/>
      <c r="R1" s="179"/>
      <c r="S1" s="179"/>
      <c r="T1" s="179"/>
      <c r="U1" s="179"/>
      <c r="V1" s="179"/>
      <c r="W1" s="179" t="s">
        <v>160</v>
      </c>
      <c r="X1" s="179"/>
      <c r="Y1" s="179"/>
      <c r="Z1" s="179"/>
      <c r="AA1" s="179"/>
      <c r="AB1" s="179"/>
      <c r="AC1" s="179"/>
    </row>
    <row r="2" spans="2:60" ht="17.25" customHeight="1" x14ac:dyDescent="0.25">
      <c r="C2" s="104" t="s">
        <v>187</v>
      </c>
      <c r="D2" s="122">
        <v>10</v>
      </c>
      <c r="P2" s="179" t="s">
        <v>176</v>
      </c>
      <c r="Q2" s="179"/>
      <c r="R2" s="179"/>
      <c r="S2" s="179" t="s">
        <v>161</v>
      </c>
      <c r="T2" s="179"/>
      <c r="U2" s="179"/>
      <c r="V2" s="112" t="s">
        <v>264</v>
      </c>
      <c r="W2" s="179" t="s">
        <v>176</v>
      </c>
      <c r="X2" s="179"/>
      <c r="Y2" s="179"/>
      <c r="Z2" s="179" t="s">
        <v>161</v>
      </c>
      <c r="AA2" s="179"/>
      <c r="AB2" s="179"/>
      <c r="AC2" s="112" t="s">
        <v>264</v>
      </c>
      <c r="AI2" s="178" t="s">
        <v>256</v>
      </c>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row>
    <row r="5" spans="2:60" x14ac:dyDescent="0.25">
      <c r="D5" s="132">
        <f>SUM(MonopoleSections[L])</f>
        <v>0</v>
      </c>
      <c r="E5" s="101"/>
      <c r="AG5" s="133">
        <f>SUM(MonopoleSections[IavgL])</f>
        <v>0</v>
      </c>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sheetPr>
  <dimension ref="A1:K31"/>
  <sheetViews>
    <sheetView showGridLines="0" showRowColHeaders="0" topLeftCell="A16" zoomScaleNormal="100" workbookViewId="0">
      <selection activeCell="A12" sqref="A12"/>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3.3.11</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t="s">
        <v>407</v>
      </c>
      <c r="B25" s="110">
        <v>45057</v>
      </c>
      <c r="C25" s="164" t="s">
        <v>408</v>
      </c>
      <c r="D25" s="112" t="s">
        <v>409</v>
      </c>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A31"/>
  <sheetViews>
    <sheetView workbookViewId="0">
      <selection activeCell="A12" sqref="A12"/>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7" x14ac:dyDescent="0.25">
      <c r="A1" s="156" t="s">
        <v>229</v>
      </c>
      <c r="H1" s="154" t="s">
        <v>348</v>
      </c>
      <c r="R1" s="156" t="s">
        <v>353</v>
      </c>
      <c r="S1" t="s">
        <v>354</v>
      </c>
    </row>
    <row r="2" spans="1:27" x14ac:dyDescent="0.25">
      <c r="A2" t="s">
        <v>350</v>
      </c>
      <c r="B2" t="s">
        <v>407</v>
      </c>
      <c r="C2" t="s">
        <v>404</v>
      </c>
      <c r="D2" t="s">
        <v>370</v>
      </c>
      <c r="E2" t="s">
        <v>369</v>
      </c>
      <c r="F2" t="s">
        <v>362</v>
      </c>
      <c r="G2" t="s">
        <v>360</v>
      </c>
      <c r="H2" t="s">
        <v>358</v>
      </c>
      <c r="I2" t="s">
        <v>356</v>
      </c>
      <c r="J2" t="s">
        <v>320</v>
      </c>
      <c r="K2" t="s">
        <v>318</v>
      </c>
      <c r="L2" t="s">
        <v>316</v>
      </c>
      <c r="M2" t="s">
        <v>298</v>
      </c>
      <c r="N2" t="s">
        <v>294</v>
      </c>
      <c r="O2" t="s">
        <v>291</v>
      </c>
      <c r="P2" t="s">
        <v>289</v>
      </c>
      <c r="Q2" t="s">
        <v>288</v>
      </c>
      <c r="R2" t="s">
        <v>284</v>
      </c>
      <c r="S2" t="s">
        <v>262</v>
      </c>
      <c r="T2" t="s">
        <v>258</v>
      </c>
      <c r="U2" t="s">
        <v>257</v>
      </c>
      <c r="V2" t="s">
        <v>252</v>
      </c>
      <c r="W2" t="s">
        <v>249</v>
      </c>
      <c r="X2" t="s">
        <v>244</v>
      </c>
      <c r="Y2" s="118" t="s">
        <v>347</v>
      </c>
      <c r="Z2" s="118" t="s">
        <v>344</v>
      </c>
      <c r="AA2" s="118" t="s">
        <v>345</v>
      </c>
    </row>
    <row r="3" spans="1:27"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t="s">
        <v>321</v>
      </c>
      <c r="Y3" s="155" t="s">
        <v>341</v>
      </c>
      <c r="Z3" s="155" t="s">
        <v>349</v>
      </c>
      <c r="AA3" s="118"/>
    </row>
    <row r="4" spans="1:27"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s="155" t="s">
        <v>343</v>
      </c>
      <c r="Z4" s="155" t="s">
        <v>372</v>
      </c>
      <c r="AA4" s="118"/>
    </row>
    <row r="5" spans="1:27"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s="118" t="s">
        <v>342</v>
      </c>
      <c r="Z5" s="118" t="s">
        <v>229</v>
      </c>
      <c r="AA5" s="118" t="s">
        <v>346</v>
      </c>
    </row>
    <row r="6" spans="1:27"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row>
    <row r="7" spans="1:27"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s="180" t="s">
        <v>352</v>
      </c>
      <c r="Z7" s="180"/>
      <c r="AA7" s="180"/>
    </row>
    <row r="8" spans="1:27"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s="180"/>
      <c r="Z8" s="180"/>
      <c r="AA8" s="180"/>
    </row>
    <row r="9" spans="1:27"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s="180"/>
      <c r="Z9" s="180"/>
      <c r="AA9" s="180"/>
    </row>
    <row r="10" spans="1:27"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s="180"/>
      <c r="Z10" s="180"/>
      <c r="AA10" s="180"/>
    </row>
    <row r="11" spans="1:27" x14ac:dyDescent="0.25">
      <c r="W11" t="s">
        <v>338</v>
      </c>
      <c r="X11" t="s">
        <v>338</v>
      </c>
    </row>
    <row r="12" spans="1:27" x14ac:dyDescent="0.25">
      <c r="B12" t="s">
        <v>329</v>
      </c>
      <c r="C12" t="s">
        <v>329</v>
      </c>
      <c r="D12" t="s">
        <v>329</v>
      </c>
      <c r="E12" t="s">
        <v>329</v>
      </c>
      <c r="F12" t="s">
        <v>329</v>
      </c>
      <c r="G12" t="s">
        <v>329</v>
      </c>
      <c r="H12" t="s">
        <v>329</v>
      </c>
      <c r="I12" t="s">
        <v>329</v>
      </c>
      <c r="J12" t="s">
        <v>329</v>
      </c>
      <c r="K12" t="s">
        <v>329</v>
      </c>
      <c r="L12" t="s">
        <v>329</v>
      </c>
      <c r="M12" t="s">
        <v>329</v>
      </c>
      <c r="N12" t="s">
        <v>351</v>
      </c>
      <c r="O12" t="s">
        <v>351</v>
      </c>
      <c r="P12" t="s">
        <v>351</v>
      </c>
      <c r="Q12" t="s">
        <v>351</v>
      </c>
      <c r="R12" t="s">
        <v>351</v>
      </c>
      <c r="S12" t="s">
        <v>329</v>
      </c>
      <c r="T12" t="s">
        <v>329</v>
      </c>
      <c r="U12" t="s">
        <v>329</v>
      </c>
      <c r="V12" t="s">
        <v>329</v>
      </c>
      <c r="W12" t="s">
        <v>329</v>
      </c>
      <c r="X12" t="s">
        <v>329</v>
      </c>
    </row>
    <row r="13" spans="1:27" x14ac:dyDescent="0.25">
      <c r="B13" t="s">
        <v>335</v>
      </c>
      <c r="C13" t="s">
        <v>335</v>
      </c>
      <c r="D13" t="s">
        <v>335</v>
      </c>
      <c r="E13" t="s">
        <v>335</v>
      </c>
      <c r="F13" t="s">
        <v>335</v>
      </c>
      <c r="G13" t="s">
        <v>335</v>
      </c>
      <c r="H13" t="s">
        <v>335</v>
      </c>
      <c r="I13" t="s">
        <v>335</v>
      </c>
      <c r="J13" t="s">
        <v>335</v>
      </c>
      <c r="K13" t="s">
        <v>335</v>
      </c>
      <c r="L13" t="s">
        <v>335</v>
      </c>
      <c r="M13" t="s">
        <v>335</v>
      </c>
    </row>
    <row r="14" spans="1:27"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row>
    <row r="15" spans="1:27"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row>
    <row r="16" spans="1:27"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row>
    <row r="17" spans="2:24"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row>
    <row r="18" spans="2:24"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row>
    <row r="19" spans="2:24"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row>
    <row r="20" spans="2:24"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row>
    <row r="21" spans="2:24" x14ac:dyDescent="0.25">
      <c r="B21" t="s">
        <v>337</v>
      </c>
      <c r="C21" t="s">
        <v>337</v>
      </c>
      <c r="D21" t="s">
        <v>337</v>
      </c>
      <c r="E21" t="s">
        <v>337</v>
      </c>
      <c r="F21" t="s">
        <v>337</v>
      </c>
      <c r="G21" t="s">
        <v>337</v>
      </c>
      <c r="H21" t="s">
        <v>337</v>
      </c>
      <c r="I21" t="s">
        <v>337</v>
      </c>
      <c r="J21" t="s">
        <v>337</v>
      </c>
      <c r="K21" t="s">
        <v>337</v>
      </c>
      <c r="L21" t="s">
        <v>337</v>
      </c>
      <c r="M21" t="s">
        <v>337</v>
      </c>
      <c r="N21" t="s">
        <v>339</v>
      </c>
      <c r="O21" t="s">
        <v>339</v>
      </c>
      <c r="P21" t="s">
        <v>339</v>
      </c>
      <c r="Q21" t="s">
        <v>339</v>
      </c>
      <c r="R21" t="s">
        <v>339</v>
      </c>
      <c r="S21" t="s">
        <v>339</v>
      </c>
      <c r="T21" t="s">
        <v>339</v>
      </c>
      <c r="U21" t="s">
        <v>339</v>
      </c>
      <c r="V21" t="s">
        <v>339</v>
      </c>
      <c r="W21" t="s">
        <v>339</v>
      </c>
      <c r="X21" t="s">
        <v>339</v>
      </c>
    </row>
    <row r="22" spans="2:24"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row>
    <row r="23" spans="2:24"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row>
    <row r="24" spans="2:24"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row>
    <row r="25" spans="2:24" x14ac:dyDescent="0.25">
      <c r="B25" t="s">
        <v>375</v>
      </c>
      <c r="C25" t="s">
        <v>375</v>
      </c>
      <c r="D25" t="s">
        <v>375</v>
      </c>
    </row>
    <row r="26" spans="2:24" x14ac:dyDescent="0.25">
      <c r="B26" t="s">
        <v>373</v>
      </c>
      <c r="C26" t="s">
        <v>373</v>
      </c>
      <c r="D26" t="s">
        <v>373</v>
      </c>
    </row>
    <row r="27" spans="2:24" x14ac:dyDescent="0.25">
      <c r="B27" t="s">
        <v>374</v>
      </c>
      <c r="C27" t="s">
        <v>374</v>
      </c>
      <c r="D27" t="s">
        <v>374</v>
      </c>
      <c r="I27" s="153"/>
    </row>
    <row r="31" spans="2:24" x14ac:dyDescent="0.25">
      <c r="N31" s="153"/>
    </row>
  </sheetData>
  <mergeCells count="1">
    <mergeCell ref="Y7:AA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3.3.11</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C3"/>
  <sheetViews>
    <sheetView workbookViewId="0">
      <selection activeCell="G10" sqref="G10"/>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29"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row>
    <row r="2" spans="1:29" x14ac:dyDescent="0.25">
      <c r="A2" s="163"/>
      <c r="B2" s="160" t="str">
        <f>IF(Revision="","",Revision)</f>
        <v>3.3.11</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row>
    <row r="3" spans="1:29"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2023-05-15T11:43:01Z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3.3.10</vt:lpwstr>
  </property>
</Properties>
</file>
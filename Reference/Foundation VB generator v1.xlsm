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smilowitz\source\repos\Datatransferer NuGet\Reference\"/>
    </mc:Choice>
  </mc:AlternateContent>
  <xr:revisionPtr revIDLastSave="0" documentId="13_ncr:1_{4722BC78-C4BD-4F03-9497-D2A4CA7EFCAE}" xr6:coauthVersionLast="46" xr6:coauthVersionMax="46" xr10:uidLastSave="{00000000-0000-0000-0000-000000000000}"/>
  <bookViews>
    <workbookView xWindow="13500" yWindow="5265" windowWidth="21600" windowHeight="11385" tabRatio="682" activeTab="2" xr2:uid="{3B5E26B6-3FAA-4B27-99E9-7DA999EB6B87}"/>
  </bookViews>
  <sheets>
    <sheet name="creating tool classes" sheetId="17" r:id="rId1"/>
    <sheet name="reference" sheetId="16" r:id="rId2"/>
    <sheet name="code" sheetId="15" r:id="rId3"/>
    <sheet name="Pier and Pad" sheetId="1" r:id="rId4"/>
  </sheets>
  <externalReferences>
    <externalReference r:id="rId5"/>
    <externalReference r:id="rId6"/>
  </externalReferences>
  <definedNames>
    <definedName name="app">'[1]Site SDC Data'!$H$4</definedName>
    <definedName name="As">'[1]Tower Data'!$G$11</definedName>
    <definedName name="ASCEDiscreteWx">'[1]ASCE 7-10 Loads'!$BD$5</definedName>
    <definedName name="ASCEDiscreteWxHxk">'[1]ASCE 7-10 Loads'!$BE$5</definedName>
    <definedName name="ASCEGuyKg">'[1]ASCE 7-10 Loads'!$AM$5</definedName>
    <definedName name="ASCEGuyWx">'[1]ASCE 7-10 Loads'!$AC$5</definedName>
    <definedName name="ASCEGuyWxHxk">'[1]ASCE 7-10 Loads'!$AE$5</definedName>
    <definedName name="ASCEHalfGuyWx">'[1]ASCE 7-10 Loads'!$AD$5</definedName>
    <definedName name="ASCELinearWx">'[1]ASCE 7-10 Loads'!$CF$5</definedName>
    <definedName name="ASCELinearWxHxk">'[1]ASCE 7-10 Loads'!$CG$5</definedName>
    <definedName name="ASCESectionWx">'[1]ASCE 7-10 Loads'!$F$5</definedName>
    <definedName name="ASCESectionWxHxk">'[1]ASCE 7-10 Loads'!$G$5</definedName>
    <definedName name="bu">'[1]Site SDC Data'!$H$2</definedName>
    <definedName name="Cg">'[1]Tower Data'!$G$36</definedName>
    <definedName name="cs">'[1]Tower Data'!$G$48</definedName>
    <definedName name="csc">'[1]Tower Data'!$G$55</definedName>
    <definedName name="csmax">'[1]Tower Data'!$G$51</definedName>
    <definedName name="csmax1">'[1]Tower Data'!$G$49</definedName>
    <definedName name="csmax2">'[1]Tower Data'!$G$50</definedName>
    <definedName name="csmin">'[1]Tower Data'!$G$54</definedName>
    <definedName name="csmin1">'[1]Tower Data'!$G$52</definedName>
    <definedName name="csmin2">'[1]Tower Data'!$G$53</definedName>
    <definedName name="D_mp">'[1]Tower Data'!$G$19</definedName>
    <definedName name="dcode">'[1]Site SDC Data'!$H$13</definedName>
    <definedName name="dcodes">[1]Reference!$M$2:$M$5</definedName>
    <definedName name="E">'[1]Tower Data'!$G$22</definedName>
    <definedName name="fa">'[1]Site SDC Data'!$H$25</definedName>
    <definedName name="fa_12">[1]Reference!$J$26</definedName>
    <definedName name="fa_18">[1]Reference!$V$26</definedName>
    <definedName name="Fa_GT">'[1]Tower Data'!$G$38</definedName>
    <definedName name="Fa_mp">'[1]Tower Data'!$G$25</definedName>
    <definedName name="Fa_SS">'[1]Tower Data'!$G$33</definedName>
    <definedName name="fv">'[1]Site SDC Data'!$H$26</definedName>
    <definedName name="fv_12">[1]Reference!$J$37</definedName>
    <definedName name="fv_18">[1]Reference!$V$37</definedName>
    <definedName name="g">'[1]Tower Data'!$G$23</definedName>
    <definedName name="h">'[1]Tower Data'!$G$9</definedName>
    <definedName name="Iavg">'[1]Tower Data'!$G$24</definedName>
    <definedName name="ie">'[1]Site SDC Data'!$H$22</definedName>
    <definedName name="ie_auto">'[1]Site SDC Data'!$H$23</definedName>
    <definedName name="ie_override">'[1]Site SDC Data'!$A$22</definedName>
    <definedName name="ie_user">'[1]Site SDC Data'!$H$24</definedName>
    <definedName name="k">'[1]Tower Data'!$G$61</definedName>
    <definedName name="Kf">'[1]Tower Data'!$G$32</definedName>
    <definedName name="Kg">'[1]Tower Data'!$G$37</definedName>
    <definedName name="latdeg">'[1]Site SDC Data'!$H$8</definedName>
    <definedName name="Latitude">[2]Sheet1!$B$1</definedName>
    <definedName name="latlongsign">'[1]Site SDC Data'!$G$8:$J$9</definedName>
    <definedName name="latmin">'[1]Site SDC Data'!$I$8</definedName>
    <definedName name="latsec">'[1]Site SDC Data'!$J$8</definedName>
    <definedName name="latsign">'[1]Site SDC Data'!$G$8</definedName>
    <definedName name="longdeg">'[1]Site SDC Data'!$H$9</definedName>
    <definedName name="Longitude">[2]Sheet1!$B$2</definedName>
    <definedName name="longmin">'[1]Site SDC Data'!$I$9</definedName>
    <definedName name="longsec">'[1]Site SDC Data'!$J$9</definedName>
    <definedName name="longsign">'[1]Site SDC Data'!$G$9</definedName>
    <definedName name="MP_SumIavgL">'[1]Monopole Sections'!$AG$5</definedName>
    <definedName name="MP_sumL">'[1]Monopole Sections'!$D$5</definedName>
    <definedName name="MRI">[2]Sheet1!$B$3</definedName>
    <definedName name="Note_2">'[1]Tower Data'!$A$64</definedName>
    <definedName name="Period">'[1]Tower Data'!$A$16</definedName>
    <definedName name="posneg">[1]Reference!$G$1:$G$2</definedName>
    <definedName name="re">'[1]Tower Data'!$G$15</definedName>
    <definedName name="rev">'[1]Site SDC Data'!$J$4</definedName>
    <definedName name="Revision">'[1]Revision History'!$E$1</definedName>
    <definedName name="risk">'[1]Site SDC Data'!$H$15</definedName>
    <definedName name="risks">[1]Reference!$B$12:$B$15</definedName>
    <definedName name="risktiaG">[1]Reference!$B$13:$B$14</definedName>
    <definedName name="risktiaH">[1]Reference!$B$13:$B$15</definedName>
    <definedName name="sa">'[1]Tower Data'!$G$41</definedName>
    <definedName name="sdc_s1">'[1]Site SDC Data'!$H$34</definedName>
    <definedName name="sdc_sds">[1]Reference!$H$43</definedName>
    <definedName name="sdc_sduno">[1]Reference!$H$50</definedName>
    <definedName name="sds">'[1]Site SDC Data'!$H$28</definedName>
    <definedName name="sduno">'[1]Site SDC Data'!$H$29</definedName>
    <definedName name="sheetName" localSheetId="2">code!$C$2</definedName>
    <definedName name="sheetNames">reference!$A$2:$A$57</definedName>
    <definedName name="siteinputs">'[1]Site SDC Data'!$H$2:$H$4,'[1]Site SDC Data'!$J$2,'[1]Site SDC Data'!$J$4</definedName>
    <definedName name="siteparameterinputs">'[1]Site SDC Data'!$H$13:$H$15</definedName>
    <definedName name="siteparameterinputs_complete">'[1]Site SDC Data'!$A$14</definedName>
    <definedName name="soil">'[1]Site SDC Data'!$H$14</definedName>
    <definedName name="soils">[1]Reference!$C$1:$C$6</definedName>
    <definedName name="soils2018">[1]Reference!$E$1:$E$7</definedName>
    <definedName name="ss">'[1]Site SDC Data'!$H$17</definedName>
    <definedName name="SS_w0">'[1]Tower Data'!$G$29</definedName>
    <definedName name="SS_W1">'[1]Tower Data'!$G$30</definedName>
    <definedName name="SS_W2">'[1]Tower Data'!$G$31</definedName>
    <definedName name="SS_wa">'[1]Tower Data'!$G$28</definedName>
    <definedName name="strc">'[1]Site SDC Data'!$J$2</definedName>
    <definedName name="sumwxhxk">'[1]Tower Data'!$G$62</definedName>
    <definedName name="suno">'[1]Site SDC Data'!$H$18</definedName>
    <definedName name="T">'[1]Tower Data'!$G$16</definedName>
    <definedName name="t_user">'[1]Tower Data'!$G$17</definedName>
    <definedName name="Ta_GT">'[1]Tower Data'!$G$39</definedName>
    <definedName name="Ta_mp">'[1]Tower Data'!$G$26</definedName>
    <definedName name="Ta_SS">'[1]Tower Data'!$G$34</definedName>
    <definedName name="TIAGDiscreteWx">'[1]TIA-222-G Loads'!$AD$5</definedName>
    <definedName name="TIAGGTDiscreteWx">'[1]TIA-222-G Loads'!$ED$5</definedName>
    <definedName name="TIAGGTDiscreteWxHXk">'[1]TIA-222-G Loads'!$EE$5</definedName>
    <definedName name="TIAGGTGuyKg">'[1]TIA-222-G Loads'!$DL$5</definedName>
    <definedName name="TIAGGTGuyWx">'[1]TIA-222-G Loads'!$DC$5</definedName>
    <definedName name="TIAGGTGuyWxHxk">'[1]TIA-222-G Loads'!$DE$5</definedName>
    <definedName name="TIAGGTHalfGuyWx">'[1]TIA-222-G Loads'!$DD$5</definedName>
    <definedName name="TIAGGTLinearWx">'[1]TIA-222-G Loads'!$FF$5</definedName>
    <definedName name="TIAGGTLinearWxHxk">'[1]TIA-222-G Loads'!$FG$5</definedName>
    <definedName name="TIAGGTSectionWx">'[1]TIA-222-G Loads'!$CF$5</definedName>
    <definedName name="TIAGGTSectionWxHxk">'[1]TIA-222-G Loads'!$CG$5</definedName>
    <definedName name="TIAGLinearWx">'[1]TIA-222-G Loads'!$BF$5</definedName>
    <definedName name="TIAGSectionWx">'[1]TIA-222-G Loads'!$F$5</definedName>
    <definedName name="TIAHDiscreteWx">'[1]TIA-222-H Loads'!$BD$5</definedName>
    <definedName name="TIAHDiscreteWxHxk">'[1]TIA-222-H Loads'!$BE$5</definedName>
    <definedName name="TIAHGuyKg">'[1]TIA-222-H Loads'!$AM$5</definedName>
    <definedName name="TIAHGuyWx">'[1]TIA-222-H Loads'!$AC$5</definedName>
    <definedName name="TIAHGuyWxHxk">'[1]TIA-222-H Loads'!$AE$5</definedName>
    <definedName name="TIAHHalfGuyWx">'[1]TIA-222-H Loads'!$AD$5</definedName>
    <definedName name="TIAHLinearWx">'[1]TIA-222-H Loads'!$CF$5</definedName>
    <definedName name="TIAHLinearWxHxk">'[1]TIA-222-H Loads'!$CG$5</definedName>
    <definedName name="TIAHSectionWx">'[1]TIA-222-H Loads'!$F$5</definedName>
    <definedName name="TIAHSectionWxHxk">'[1]TIA-222-H Loads'!$G$5</definedName>
    <definedName name="tl">'[1]Site SDC Data'!$H$19</definedName>
    <definedName name="tnx_import">'[1]Tower Data'!$A$10</definedName>
    <definedName name="ts">'[1]Site SDC Data'!$H$30</definedName>
    <definedName name="type">'[1]Tower Data'!$G$8</definedName>
    <definedName name="Use_ASCE">'[1]Site SDC Data'!$A$13</definedName>
    <definedName name="usgs_complete">'[1]Site SDC Data'!$A$18</definedName>
    <definedName name="usgsvalues">'[1]Site SDC Data'!$H$17:$H$19</definedName>
    <definedName name="usgsvaluesG">'[1]Site SDC Data'!$H$17:$H$18</definedName>
    <definedName name="V">'[1]Tower Data'!$G$57</definedName>
    <definedName name="Vs">'[1]Tower Data'!$G$43</definedName>
    <definedName name="Vsa">'[1]Tower Data'!$G$44</definedName>
    <definedName name="Vsamin1">'[1]Tower Data'!$G$45</definedName>
    <definedName name="Vsamin2">'[1]Tower Data'!$G$46</definedName>
    <definedName name="w">'[1]Tower Data'!$G$10</definedName>
    <definedName name="WL">'[1]Tower Data'!$G$21</definedName>
    <definedName name="wo">'[1]Site SDC Data'!$H$3</definedName>
    <definedName name="WU">'[1]Tower Data'!$G$20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1" l="1" a="1"/>
  <c r="C4" i="1" s="1"/>
  <c r="C5" i="1" a="1"/>
  <c r="C5" i="1" s="1"/>
  <c r="C6" i="1" l="1" a="1"/>
  <c r="C6" i="1" s="1"/>
  <c r="C7" i="1" a="1"/>
  <c r="C7" i="1" s="1"/>
  <c r="C8" i="1" a="1"/>
  <c r="C8" i="1" s="1"/>
  <c r="C9" i="1" a="1"/>
  <c r="C9" i="1" s="1"/>
  <c r="C10" i="1" a="1"/>
  <c r="C10" i="1" s="1"/>
  <c r="C11" i="1" a="1"/>
  <c r="C11" i="1" s="1"/>
  <c r="C12" i="1" a="1"/>
  <c r="C12" i="1" s="1"/>
  <c r="C13" i="1" a="1"/>
  <c r="C13" i="1" s="1"/>
  <c r="C14" i="1" a="1"/>
  <c r="C14" i="1" s="1"/>
  <c r="C15" i="1" a="1"/>
  <c r="C15" i="1" s="1"/>
  <c r="C16" i="1" a="1"/>
  <c r="C16" i="1" s="1"/>
  <c r="C17" i="1" a="1"/>
  <c r="C17" i="1"/>
  <c r="C18" i="1" a="1"/>
  <c r="C18" i="1" s="1"/>
  <c r="C19" i="1" a="1"/>
  <c r="C19" i="1" s="1"/>
  <c r="C20" i="1" a="1"/>
  <c r="C20" i="1" s="1"/>
  <c r="C21" i="1" a="1"/>
  <c r="C21" i="1" s="1"/>
  <c r="C22" i="1" a="1"/>
  <c r="C22" i="1" s="1"/>
  <c r="C23" i="1" a="1"/>
  <c r="C23" i="1" s="1"/>
  <c r="C24" i="1" a="1"/>
  <c r="C24" i="1" s="1"/>
  <c r="C25" i="1" a="1"/>
  <c r="C25" i="1" s="1"/>
  <c r="C26" i="1" a="1"/>
  <c r="C26" i="1" s="1"/>
  <c r="C27" i="1" a="1"/>
  <c r="C27" i="1" s="1"/>
  <c r="C28" i="1" a="1"/>
  <c r="C28" i="1" s="1"/>
  <c r="C29" i="1" a="1"/>
  <c r="C29" i="1" s="1"/>
  <c r="C30" i="1" a="1"/>
  <c r="C30" i="1" s="1"/>
  <c r="C31" i="1" a="1"/>
  <c r="C31" i="1" s="1"/>
  <c r="C32" i="1" a="1"/>
  <c r="C32" i="1" s="1"/>
  <c r="C33" i="1" a="1"/>
  <c r="C33" i="1" s="1"/>
  <c r="C34" i="1" a="1"/>
  <c r="C34" i="1" s="1"/>
  <c r="C35" i="1" a="1"/>
  <c r="C35" i="1" s="1"/>
  <c r="C36" i="1" a="1"/>
  <c r="C36" i="1" s="1"/>
  <c r="C37" i="1" a="1"/>
  <c r="C37" i="1" s="1"/>
  <c r="C38" i="1" a="1"/>
  <c r="C38" i="1" s="1"/>
  <c r="C39" i="1" a="1"/>
  <c r="C39" i="1" s="1"/>
  <c r="C40" i="1" a="1"/>
  <c r="C40" i="1" s="1"/>
  <c r="C41" i="1" a="1"/>
  <c r="C41" i="1" s="1"/>
  <c r="C42" i="1" a="1"/>
  <c r="C42" i="1" s="1"/>
  <c r="C43" i="1" a="1"/>
  <c r="C43" i="1" s="1"/>
  <c r="C44" i="1" a="1"/>
  <c r="C44" i="1" s="1"/>
  <c r="C45" i="1" a="1"/>
  <c r="C45" i="1" s="1"/>
  <c r="C46" i="1" a="1"/>
  <c r="C46" i="1" s="1"/>
  <c r="C47" i="1" a="1"/>
  <c r="C47" i="1" s="1"/>
  <c r="C48" i="1" a="1"/>
  <c r="C48" i="1" s="1"/>
  <c r="C49" i="1" a="1"/>
  <c r="C49" i="1" s="1"/>
  <c r="C50" i="1" a="1"/>
  <c r="C50" i="1" s="1"/>
  <c r="C51" i="1" a="1"/>
  <c r="C51" i="1" s="1"/>
  <c r="C52" i="1" a="1"/>
  <c r="C52" i="1" s="1"/>
  <c r="C3" i="1" a="1"/>
  <c r="C3" i="1" s="1"/>
  <c r="E2" i="15"/>
  <c r="D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Hall, Chris</author>
  </authors>
  <commentList>
    <comment ref="E8" authorId="0" shapeId="0" xr:uid="{596F8314-2E2D-4E43-A0A4-408B951F2BF4}">
      <text>
        <r>
          <rPr>
            <b/>
            <sz val="9"/>
            <color indexed="81"/>
            <rFont val="Tahoma"/>
            <family val="2"/>
          </rPr>
          <t>Hall, Chris:</t>
        </r>
        <r>
          <rPr>
            <sz val="9"/>
            <color indexed="81"/>
            <rFont val="Tahoma"/>
            <family val="2"/>
          </rPr>
          <t xml:space="preserve">
Should anything highlighted red be defaulted to a specific value?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<sst xmlns="http://schemas.openxmlformats.org/spreadsheetml/2006/main" count="235" uniqueCount="178">
  <si>
    <t>ID</t>
  </si>
  <si>
    <t>bolt_circle_bearing_plate_width</t>
  </si>
  <si>
    <t>foundation_depth</t>
  </si>
  <si>
    <t>pad_thickness</t>
  </si>
  <si>
    <t>pad_rebar_quantity_bottom_dir1</t>
  </si>
  <si>
    <t>pad_rebar_quantity_top_dir1</t>
  </si>
  <si>
    <t>pad_rebar_quantity_bottom_dir2</t>
  </si>
  <si>
    <t>pad_rebar_quantity_top_dir2</t>
  </si>
  <si>
    <t>pier_shape</t>
  </si>
  <si>
    <t>pier_diameter</t>
  </si>
  <si>
    <t>extension_above_grade</t>
  </si>
  <si>
    <t>pier_rebar_size</t>
  </si>
  <si>
    <t>pier_rebar_quantity</t>
  </si>
  <si>
    <t>pier_tie_size</t>
  </si>
  <si>
    <t>rebar_grade</t>
  </si>
  <si>
    <t>concrete_compressive_strength</t>
  </si>
  <si>
    <t>groundwater_depth</t>
  </si>
  <si>
    <t>total_soil_unit_weight</t>
  </si>
  <si>
    <t>cohesion</t>
  </si>
  <si>
    <t>friction_angle</t>
  </si>
  <si>
    <t>neglect_depth</t>
  </si>
  <si>
    <t>spt_blow_count</t>
  </si>
  <si>
    <t>top_and_bottom_rebar_different</t>
  </si>
  <si>
    <t>int</t>
  </si>
  <si>
    <t>decimal(9, 4)</t>
  </si>
  <si>
    <t>decimal(9, 5)</t>
  </si>
  <si>
    <t>nvarchar(15)</t>
  </si>
  <si>
    <t>decimal(9, 6)</t>
  </si>
  <si>
    <t>bit</t>
  </si>
  <si>
    <t>Column Name</t>
  </si>
  <si>
    <t>Data Type</t>
  </si>
  <si>
    <t>Property Name</t>
  </si>
  <si>
    <t>Table Name:</t>
  </si>
  <si>
    <t>[Code written below]</t>
  </si>
  <si>
    <t>Tab Reference:</t>
  </si>
  <si>
    <t>Default Parameters</t>
  </si>
  <si>
    <t>Excel Named Ranges</t>
  </si>
  <si>
    <t>Cell Range</t>
  </si>
  <si>
    <t>Sheet Name</t>
  </si>
  <si>
    <t>Input</t>
  </si>
  <si>
    <t>pier_tie_quantity</t>
  </si>
  <si>
    <t>pier_reinforcement_type</t>
  </si>
  <si>
    <t>pier_clear_cover</t>
  </si>
  <si>
    <t>pad_width_1</t>
  </si>
  <si>
    <t>pad_width_2</t>
  </si>
  <si>
    <t>pad_rebar_size_top_dir1</t>
  </si>
  <si>
    <t>pad_rebar_size_bottom_dir1</t>
  </si>
  <si>
    <t>pad_rebar_size_top_dir2</t>
  </si>
  <si>
    <t>pad_rebar_size_bottom_dir2</t>
  </si>
  <si>
    <t>pad_clear_cover</t>
  </si>
  <si>
    <t>dry_concrete_density</t>
  </si>
  <si>
    <t>bearing_type</t>
  </si>
  <si>
    <t>nominal_bearing_capacity</t>
  </si>
  <si>
    <t>base_friction_factor</t>
  </si>
  <si>
    <t>bearing_distribution_type</t>
  </si>
  <si>
    <t>block_foundation</t>
  </si>
  <si>
    <t>rectangular_foundation</t>
  </si>
  <si>
    <t>base_plate_distance_above_foundation</t>
  </si>
  <si>
    <t>basic_soil_check</t>
  </si>
  <si>
    <t>structural_check</t>
  </si>
  <si>
    <t>tool_version</t>
  </si>
  <si>
    <t>nvarchar(50)</t>
  </si>
  <si>
    <t>decimal(9, 8)</t>
  </si>
  <si>
    <t>nvarchar(10)</t>
  </si>
  <si>
    <t>modified_person_id</t>
  </si>
  <si>
    <t>process_stage</t>
  </si>
  <si>
    <t>valid_from</t>
  </si>
  <si>
    <t>valid_to</t>
  </si>
  <si>
    <t>datetime2(7)</t>
  </si>
  <si>
    <t>Pier and Pad</t>
  </si>
  <si>
    <t>pier_pad</t>
  </si>
  <si>
    <t>Data Type VB</t>
  </si>
  <si>
    <t>nvarchar</t>
  </si>
  <si>
    <t>decimal</t>
  </si>
  <si>
    <t>datetime</t>
  </si>
  <si>
    <t>SQL</t>
  </si>
  <si>
    <t>VB</t>
  </si>
  <si>
    <t>String</t>
  </si>
  <si>
    <t>Double?</t>
  </si>
  <si>
    <t>Boolean?</t>
  </si>
  <si>
    <t>Datetime?</t>
  </si>
  <si>
    <t>Integer?</t>
  </si>
  <si>
    <t>foundationType</t>
  </si>
  <si>
    <t>EDSTableName</t>
  </si>
  <si>
    <t>Object Type</t>
  </si>
  <si>
    <t>EDSObject</t>
  </si>
  <si>
    <t>bus_unit</t>
  </si>
  <si>
    <t>structure_id</t>
  </si>
  <si>
    <t>activeDatabase</t>
  </si>
  <si>
    <t>databaseIdentity</t>
  </si>
  <si>
    <t>differences</t>
  </si>
  <si>
    <t>Property or Member</t>
  </si>
  <si>
    <t>Description</t>
  </si>
  <si>
    <t>Database Primary Key</t>
  </si>
  <si>
    <t>database loaded from or saved to</t>
  </si>
  <si>
    <t>database user as WindowsIdentity</t>
  </si>
  <si>
    <t>List of ObjectComparer.difference</t>
  </si>
  <si>
    <t>EDSObjectwithQuery</t>
  </si>
  <si>
    <t>CompareMe(of T) As Boolean</t>
  </si>
  <si>
    <t>Generic comparison can be used by all child classes of EDSObject. Will return true is object properties are the same. Will populate the list of differences in that object.</t>
  </si>
  <si>
    <t>Absorb</t>
  </si>
  <si>
    <t>"Absorb" the main properties on an EDSObject if passed in from a parent. This allows us to avoid specifying the BU/StrID/Database for each EDSObject.</t>
  </si>
  <si>
    <t>CompareTo As Integer</t>
  </si>
  <si>
    <t>Implements Icomparable interface to allow sorting of EDSObjects by their ID.</t>
  </si>
  <si>
    <t>Equals</t>
  </si>
  <si>
    <t>Implements the Iequatable interface to allow checking if one EDS object is equal to another. Not currently used but could possibly replace the "CompareMe" function"</t>
  </si>
  <si>
    <t>Insert</t>
  </si>
  <si>
    <t>Update</t>
  </si>
  <si>
    <t>Delete</t>
  </si>
  <si>
    <t>Must Override?</t>
  </si>
  <si>
    <t>Yes</t>
  </si>
  <si>
    <t>SQLInsertValues</t>
  </si>
  <si>
    <t>SQLInsertFileds</t>
  </si>
  <si>
    <t>SQLUpdate</t>
  </si>
  <si>
    <t>EDSQuery</t>
  </si>
  <si>
    <t>Reads Insert query file and replaces the place holder variables. Returns a complete Insert Query</t>
  </si>
  <si>
    <t>Reads Update query file and replaces the place holder variables. Returns a complete Update Query</t>
  </si>
  <si>
    <t>Reads Delete query file and replaces the place holder variables. Returns a complete Delete Query</t>
  </si>
  <si>
    <t>EDSExcelObject</t>
  </si>
  <si>
    <t>workBookPath</t>
  </si>
  <si>
    <t>templatePath</t>
  </si>
  <si>
    <t>fileType</t>
  </si>
  <si>
    <t>excelDTParams</t>
  </si>
  <si>
    <t>EDSFoundation</t>
  </si>
  <si>
    <t>A string that represents the foundation name (i.e. "Pier and Pad") used to describe the differences for users.</t>
  </si>
  <si>
    <t>workBookFiller</t>
  </si>
  <si>
    <t>SavetoExcel</t>
  </si>
  <si>
    <t>Generates an excel file using the workbookfiller</t>
  </si>
  <si>
    <t>SQLUpdate = SQLUpdate.AddtoDBString("ID = " &amp; Me.ID?.ToString.FormatDBValue)</t>
  </si>
  <si>
    <t>SQLUpdate = SQLUpdate.AddtoDBString("bus_unit = " &amp; Me.bus_unit?.ToString.FormatDBValue)</t>
  </si>
  <si>
    <t>SQLUpdate = SQLUpdate.AddtoDBString("structure_id = " &amp; Me.structure_id?.ToString.FormatDBValue)</t>
  </si>
  <si>
    <t>SQLUpdate = SQLUpdate.AddtoDBString("pier_shape = " &amp; Me.pier_shape?.ToString.FormatDBValue)</t>
  </si>
  <si>
    <t>SQLUpdate = SQLUpdate.AddtoDBString("pier_diameter = " &amp; Me.pier_diameter?.ToString.FormatDBValue)</t>
  </si>
  <si>
    <t>SQLUpdate = SQLUpdate.AddtoDBString("extension_above_grade = " &amp; Me.extension_above_grade?.ToString.FormatDBValue)</t>
  </si>
  <si>
    <t>SQLUpdate = SQLUpdate.AddtoDBString("pier_rebar_size = " &amp; Me.pier_rebar_size?.ToString.FormatDBValue)</t>
  </si>
  <si>
    <t>SQLUpdate = SQLUpdate.AddtoDBString("pier_tie_size = " &amp; Me.pier_tie_size?.ToString.FormatDBValue)</t>
  </si>
  <si>
    <t>SQLUpdate = SQLUpdate.AddtoDBString("pier_tie_quantity = " &amp; Me.pier_tie_quantity?.ToString.FormatDBValue)</t>
  </si>
  <si>
    <t>SQLUpdate = SQLUpdate.AddtoDBString("pier_reinforcement_type = " &amp; Me.pier_reinforcement_type?.ToString.FormatDBValue)</t>
  </si>
  <si>
    <t>SQLUpdate = SQLUpdate.AddtoDBString("pier_clear_cover = " &amp; Me.pier_clear_cover?.ToString.FormatDBValue)</t>
  </si>
  <si>
    <t>SQLUpdate = SQLUpdate.AddtoDBString("foundation_depth = " &amp; Me.foundation_depth?.ToString.FormatDBValue)</t>
  </si>
  <si>
    <t>SQLUpdate = SQLUpdate.AddtoDBString("pad_width_1 = " &amp; Me.pad_width_1?.ToString.FormatDBValue)</t>
  </si>
  <si>
    <t>SQLUpdate = SQLUpdate.AddtoDBString("pad_width_2 = " &amp; Me.pad_width_2?.ToString.FormatDBValue)</t>
  </si>
  <si>
    <t>SQLUpdate = SQLUpdate.AddtoDBString("pad_thickness = " &amp; Me.pad_thickness?.ToString.FormatDBValue)</t>
  </si>
  <si>
    <t>SQLUpdate = SQLUpdate.AddtoDBString("pad_rebar_size_top_dir1 = " &amp; Me.pad_rebar_size_top_dir1?.ToString.FormatDBValue)</t>
  </si>
  <si>
    <t>SQLUpdate = SQLUpdate.AddtoDBString("pad_rebar_size_bottom_dir1 = " &amp; Me.pad_rebar_size_bottom_dir1?.ToString.FormatDBValue)</t>
  </si>
  <si>
    <t>SQLUpdate = SQLUpdate.AddtoDBString("pad_rebar_size_top_dir2 = " &amp; Me.pad_rebar_size_top_dir2?.ToString.FormatDBValue)</t>
  </si>
  <si>
    <t>SQLUpdate = SQLUpdate.AddtoDBString("pad_rebar_size_bottom_dir2 = " &amp; Me.pad_rebar_size_bottom_dir2?.ToString.FormatDBValue)</t>
  </si>
  <si>
    <t>SQLUpdate = SQLUpdate.AddtoDBString("pad_rebar_quantity_top_dir1 = " &amp; Me.pad_rebar_quantity_top_dir1?.ToString.FormatDBValue)</t>
  </si>
  <si>
    <t>SQLUpdate = SQLUpdate.AddtoDBString("pad_rebar_quantity_bottom_dir1 = " &amp; Me.pad_rebar_quantity_bottom_dir1?.ToString.FormatDBValue)</t>
  </si>
  <si>
    <t>SQLUpdate = SQLUpdate.AddtoDBString("pad_rebar_quantity_top_dir2 = " &amp; Me.pad_rebar_quantity_top_dir2?.ToString.FormatDBValue)</t>
  </si>
  <si>
    <t>SQLUpdate = SQLUpdate.AddtoDBString("pad_rebar_quantity_bottom_dir2 = " &amp; Me.pad_rebar_quantity_bottom_dir2?.ToString.FormatDBValue)</t>
  </si>
  <si>
    <t>SQLUpdate = SQLUpdate.AddtoDBString("pad_clear_cover = " &amp; Me.pad_clear_cover?.ToString.FormatDBValue)</t>
  </si>
  <si>
    <t>SQLUpdate = SQLUpdate.AddtoDBString("rebar_grade = " &amp; Me.rebar_grade?.ToString.FormatDBValue)</t>
  </si>
  <si>
    <t>SQLUpdate = SQLUpdate.AddtoDBString("concrete_compressive_strength = " &amp; Me.concrete_compressive_strength?.ToString.FormatDBValue)</t>
  </si>
  <si>
    <t>SQLUpdate = SQLUpdate.AddtoDBString("dry_concrete_density = " &amp; Me.dry_concrete_density?.ToString.FormatDBValue)</t>
  </si>
  <si>
    <t>SQLUpdate = SQLUpdate.AddtoDBString("total_soil_unit_weight = " &amp; Me.total_soil_unit_weight?.ToString.FormatDBValue)</t>
  </si>
  <si>
    <t>SQLUpdate = SQLUpdate.AddtoDBString("bearing_type = " &amp; Me.bearing_type?.ToString.FormatDBValue)</t>
  </si>
  <si>
    <t>SQLUpdate = SQLUpdate.AddtoDBString("nominal_bearing_capacity = " &amp; Me.nominal_bearing_capacity?.ToString.FormatDBValue)</t>
  </si>
  <si>
    <t>SQLUpdate = SQLUpdate.AddtoDBString("cohesion = " &amp; Me.cohesion?.ToString.FormatDBValue)</t>
  </si>
  <si>
    <t>SQLUpdate = SQLUpdate.AddtoDBString("friction_angle = " &amp; Me.friction_angle?.ToString.FormatDBValue)</t>
  </si>
  <si>
    <t>SQLUpdate = SQLUpdate.AddtoDBString("spt_blow_count = " &amp; Me.spt_blow_count?.ToString.FormatDBValue)</t>
  </si>
  <si>
    <t>SQLUpdate = SQLUpdate.AddtoDBString("base_friction_factor = " &amp; Me.base_friction_factor?.ToString.FormatDBValue)</t>
  </si>
  <si>
    <t>SQLUpdate = SQLUpdate.AddtoDBString("neglect_depth = " &amp; Me.neglect_depth?.ToString.FormatDBValue)</t>
  </si>
  <si>
    <t>SQLUpdate = SQLUpdate.AddtoDBString("bearing_distribution_type = " &amp; Me.bearing_distribution_type?.ToString.FormatDBValue)</t>
  </si>
  <si>
    <t>SQLUpdate = SQLUpdate.AddtoDBString("groundwater_depth = " &amp; Me.groundwater_depth?.ToString.FormatDBValue)</t>
  </si>
  <si>
    <t>SQLUpdate = SQLUpdate.AddtoDBString("top_and_bottom_rebar_different = " &amp; Me.top_and_bottom_rebar_different?.ToString.FormatDBValue)</t>
  </si>
  <si>
    <t>SQLUpdate = SQLUpdate.AddtoDBString("block_foundation = " &amp; Me.block_foundation?.ToString.FormatDBValue)</t>
  </si>
  <si>
    <t>SQLUpdate = SQLUpdate.AddtoDBString("rectangular_foundation = " &amp; Me.rectangular_foundation?.ToString.FormatDBValue)</t>
  </si>
  <si>
    <t>SQLUpdate = SQLUpdate.AddtoDBString("base_plate_distance_above_foundation = " &amp; Me.base_plate_distance_above_foundation?.ToString.FormatDBValue)</t>
  </si>
  <si>
    <t>SQLUpdate = SQLUpdate.AddtoDBString("bolt_circle_bearing_plate_width = " &amp; Me.bolt_circle_bearing_plate_width?.ToString.FormatDBValue)</t>
  </si>
  <si>
    <t>SQLUpdate = SQLUpdate.AddtoDBString("pier_rebar_quantity = " &amp; Me.pier_rebar_quantity?.ToString.FormatDBValue)</t>
  </si>
  <si>
    <t>SQLUpdate = SQLUpdate.AddtoDBString("basic_soil_check = " &amp; Me.basic_soil_check?.ToString.FormatDBValue)</t>
  </si>
  <si>
    <t>SQLUpdate = SQLUpdate.AddtoDBString("structural_check = " &amp; Me.structural_check?.ToString.FormatDBValue)</t>
  </si>
  <si>
    <t>SQLUpdate = SQLUpdate.AddtoDBString("tool_version = " &amp; Me.tool_version?.ToString.FormatDBValue)</t>
  </si>
  <si>
    <t>SQLUpdate = SQLUpdate.AddtoDBString("modified_person_id = " &amp; Me.modified_person_id?.ToString.FormatDBValue)</t>
  </si>
  <si>
    <t>SQLUpdate = SQLUpdate.AddtoDBString("process_stage = " &amp; Me.process_stage?.ToString.FormatDBValue)</t>
  </si>
  <si>
    <t>SQLUpdate = SQLUpdate.AddtoDBString("valid_from = " &amp; Me.valid_from?.ToString.FormatDBValue)</t>
  </si>
  <si>
    <t>SQLUpdate = SQLUpdate.AddtoDBString("valid_to = " &amp; Me.valid_to?.ToString.FormatDBValue)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</si>
</sst>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0" borderId="0" xfId="0" quotePrefix="1"/>
    <xf numFmtId="0" fontId="0" fillId="0" borderId="0" xfId="0" applyFill="1"/>
    <xf numFmtId="0" fontId="0" fillId="0" borderId="0" xfId="0" quotePrefix="1" applyFill="1"/>
    <xf numFmtId="0" fontId="0" fillId="2" borderId="2" xfId="0" applyFill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66675</xdr:rowOff>
        </xdr:from>
        <xdr:to>
          <xdr:col>4</xdr:col>
          <xdr:colOff>438150</xdr:colOff>
          <xdr:row>2</xdr:row>
          <xdr:rowOff>76200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1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104775</xdr:rowOff>
        </xdr:from>
        <xdr:to>
          <xdr:col>6</xdr:col>
          <xdr:colOff>228600</xdr:colOff>
          <xdr:row>2</xdr:row>
          <xdr:rowOff>114300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2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3</xdr:row>
          <xdr:rowOff>114300</xdr:rowOff>
        </xdr:from>
        <xdr:to>
          <xdr:col>9</xdr:col>
          <xdr:colOff>95250</xdr:colOff>
          <xdr:row>5</xdr:row>
          <xdr:rowOff>123825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2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Public Property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3</xdr:row>
          <xdr:rowOff>114300</xdr:rowOff>
        </xdr:from>
        <xdr:to>
          <xdr:col>12</xdr:col>
          <xdr:colOff>523875</xdr:colOff>
          <xdr:row>5</xdr:row>
          <xdr:rowOff>123825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2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Insert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3</xdr:row>
          <xdr:rowOff>38100</xdr:rowOff>
        </xdr:from>
        <xdr:to>
          <xdr:col>16</xdr:col>
          <xdr:colOff>190500</xdr:colOff>
          <xdr:row>4</xdr:row>
          <xdr:rowOff>180975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2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Constructor From DataRow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57150</xdr:rowOff>
        </xdr:from>
        <xdr:to>
          <xdr:col>19</xdr:col>
          <xdr:colOff>504825</xdr:colOff>
          <xdr:row>6</xdr:row>
          <xdr:rowOff>76200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2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Datatable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7</xdr:row>
          <xdr:rowOff>0</xdr:rowOff>
        </xdr:from>
        <xdr:to>
          <xdr:col>19</xdr:col>
          <xdr:colOff>476250</xdr:colOff>
          <xdr:row>10</xdr:row>
          <xdr:rowOff>19050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2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DataRow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11</xdr:row>
          <xdr:rowOff>133350</xdr:rowOff>
        </xdr:from>
        <xdr:to>
          <xdr:col>12</xdr:col>
          <xdr:colOff>476250</xdr:colOff>
          <xdr:row>14</xdr:row>
          <xdr:rowOff>152400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2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Query Params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16</xdr:row>
          <xdr:rowOff>133350</xdr:rowOff>
        </xdr:from>
        <xdr:to>
          <xdr:col>12</xdr:col>
          <xdr:colOff>476250</xdr:colOff>
          <xdr:row>19</xdr:row>
          <xdr:rowOff>152400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2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SQL Query Params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5</xdr:row>
          <xdr:rowOff>180975</xdr:rowOff>
        </xdr:from>
        <xdr:to>
          <xdr:col>12</xdr:col>
          <xdr:colOff>523875</xdr:colOff>
          <xdr:row>8</xdr:row>
          <xdr:rowOff>57150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2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Insert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Fields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8</xdr:row>
          <xdr:rowOff>114300</xdr:rowOff>
        </xdr:from>
        <xdr:to>
          <xdr:col>12</xdr:col>
          <xdr:colOff>504825</xdr:colOff>
          <xdr:row>10</xdr:row>
          <xdr:rowOff>123825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2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295275</xdr:colOff>
          <xdr:row>6</xdr:row>
          <xdr:rowOff>180975</xdr:rowOff>
        </xdr:from>
        <xdr:to>
          <xdr:col>16</xdr:col>
          <xdr:colOff>152400</xdr:colOff>
          <xdr:row>10</xdr:row>
          <xdr:rowOff>9525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2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CHeck1Change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smilowitz/OneDrive%20-%20Crown%20Castle%20USA%20Inc/Desktop/TNX%20to%20EDS/CCISeismic%20(3.3.6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etapp4\cad\SA%20Models%20-%20Letters\Work%20Area\DSmilowitz%20(R)\4%20-%20Seismic\ASCE%20Data%20Tool\ASCE%20Data%20Too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s"/>
      <sheetName val="Site SDC Data"/>
      <sheetName val="Tower Data"/>
      <sheetName val="ASCE 7-10 Loads"/>
      <sheetName val="TIA-222-G Loads"/>
      <sheetName val="TIA-222-H Loads"/>
      <sheetName val="Reference"/>
      <sheetName val="TNX Import"/>
      <sheetName val="TNX Export"/>
      <sheetName val="Linear Sorting"/>
      <sheetName val="Discrete Sorting"/>
      <sheetName val="Dish Sorting"/>
      <sheetName val="Section Database"/>
      <sheetName val="Monopole Sections"/>
      <sheetName val="Lattice Sections"/>
      <sheetName val="Guys"/>
      <sheetName val="UserForce Sorting"/>
      <sheetName val="Revision History"/>
      <sheetName val="Import Ranges"/>
      <sheetName val="Notes"/>
      <sheetName val="Error Log"/>
    </sheetNames>
    <sheetDataSet>
      <sheetData sheetId="0"/>
      <sheetData sheetId="1">
        <row r="2">
          <cell r="H2">
            <v>812524</v>
          </cell>
          <cell r="J2" t="str">
            <v>A</v>
          </cell>
        </row>
        <row r="3">
          <cell r="H3"/>
        </row>
        <row r="4">
          <cell r="H4"/>
          <cell r="J4"/>
        </row>
        <row r="8">
          <cell r="G8" t="str">
            <v>+</v>
          </cell>
          <cell r="H8">
            <v>36</v>
          </cell>
          <cell r="I8">
            <v>17</v>
          </cell>
          <cell r="J8">
            <v>35.1</v>
          </cell>
        </row>
        <row r="9">
          <cell r="G9" t="str">
            <v>-</v>
          </cell>
          <cell r="H9">
            <v>86</v>
          </cell>
          <cell r="I9">
            <v>26</v>
          </cell>
          <cell r="J9">
            <v>14.5</v>
          </cell>
        </row>
        <row r="13">
          <cell r="A13" t="b">
            <v>0</v>
          </cell>
          <cell r="H13" t="str">
            <v>TIA-222-H-1</v>
          </cell>
        </row>
        <row r="14">
          <cell r="A14" t="b">
            <v>1</v>
          </cell>
          <cell r="H14" t="str">
            <v>D (Determined)</v>
          </cell>
        </row>
        <row r="15">
          <cell r="H15" t="str">
            <v>II</v>
          </cell>
        </row>
        <row r="17">
          <cell r="H17">
            <v>0.247</v>
          </cell>
        </row>
        <row r="18">
          <cell r="A18" t="b">
            <v>1</v>
          </cell>
          <cell r="H18">
            <v>0.128</v>
          </cell>
        </row>
        <row r="19">
          <cell r="H19">
            <v>12</v>
          </cell>
        </row>
        <row r="22">
          <cell r="A22" t="b">
            <v>0</v>
          </cell>
          <cell r="H22">
            <v>1</v>
          </cell>
        </row>
        <row r="23">
          <cell r="H23">
            <v>1</v>
          </cell>
        </row>
        <row r="24">
          <cell r="H24"/>
        </row>
        <row r="25">
          <cell r="H25">
            <v>1.6</v>
          </cell>
        </row>
        <row r="26">
          <cell r="H26">
            <v>2.3439999999999999</v>
          </cell>
        </row>
        <row r="28">
          <cell r="H28">
            <v>0.26346666666666668</v>
          </cell>
        </row>
        <row r="29">
          <cell r="H29">
            <v>0.2000213333333333</v>
          </cell>
        </row>
        <row r="30">
          <cell r="H30">
            <v>0.75919028340080952</v>
          </cell>
        </row>
        <row r="34">
          <cell r="H34" t="str">
            <v>N/A</v>
          </cell>
        </row>
      </sheetData>
      <sheetData sheetId="2">
        <row r="8">
          <cell r="G8" t="str">
            <v>Self-Support</v>
          </cell>
        </row>
        <row r="9">
          <cell r="G9">
            <v>181.54166699999999</v>
          </cell>
        </row>
        <row r="10">
          <cell r="A10" t="b">
            <v>0</v>
          </cell>
          <cell r="G10" t="str">
            <v/>
          </cell>
        </row>
        <row r="11">
          <cell r="G11">
            <v>1</v>
          </cell>
        </row>
        <row r="15">
          <cell r="G15" t="str">
            <v/>
          </cell>
        </row>
        <row r="16">
          <cell r="A16" t="b">
            <v>1</v>
          </cell>
          <cell r="G16" t="str">
            <v/>
          </cell>
        </row>
        <row r="17">
          <cell r="G17"/>
        </row>
        <row r="19">
          <cell r="G19">
            <v>0.49</v>
          </cell>
        </row>
        <row r="20">
          <cell r="G20"/>
        </row>
        <row r="21">
          <cell r="G21" t="str">
            <v/>
          </cell>
        </row>
        <row r="22">
          <cell r="G22">
            <v>29000</v>
          </cell>
        </row>
        <row r="23">
          <cell r="G23">
            <v>386.08800000000002</v>
          </cell>
        </row>
        <row r="24">
          <cell r="G24" t="str">
            <v/>
          </cell>
        </row>
        <row r="25">
          <cell r="G25" t="str">
            <v/>
          </cell>
        </row>
        <row r="26">
          <cell r="G26" t="str">
            <v/>
          </cell>
        </row>
        <row r="28">
          <cell r="G28"/>
        </row>
        <row r="29">
          <cell r="G29"/>
        </row>
        <row r="30">
          <cell r="G30" t="str">
            <v/>
          </cell>
        </row>
        <row r="31">
          <cell r="G31"/>
        </row>
        <row r="32">
          <cell r="G32">
            <v>4540</v>
          </cell>
        </row>
        <row r="33">
          <cell r="G33" t="str">
            <v/>
          </cell>
        </row>
        <row r="34">
          <cell r="G34" t="str">
            <v/>
          </cell>
        </row>
        <row r="36">
          <cell r="G36">
            <v>176.5</v>
          </cell>
        </row>
        <row r="37">
          <cell r="G37" t="str">
            <v/>
          </cell>
        </row>
        <row r="38">
          <cell r="G38" t="str">
            <v/>
          </cell>
        </row>
        <row r="39">
          <cell r="G39" t="str">
            <v/>
          </cell>
        </row>
        <row r="41">
          <cell r="G41" t="str">
            <v/>
          </cell>
        </row>
        <row r="43">
          <cell r="G43" t="str">
            <v/>
          </cell>
        </row>
        <row r="44">
          <cell r="G44" t="str">
            <v/>
          </cell>
        </row>
        <row r="45">
          <cell r="G45" t="str">
            <v/>
          </cell>
        </row>
        <row r="46">
          <cell r="G46" t="str">
            <v/>
          </cell>
        </row>
        <row r="48">
          <cell r="G48" t="str">
            <v/>
          </cell>
        </row>
        <row r="49">
          <cell r="G49" t="str">
            <v/>
          </cell>
        </row>
        <row r="50">
          <cell r="G50" t="str">
            <v/>
          </cell>
        </row>
        <row r="51">
          <cell r="G51" t="str">
            <v/>
          </cell>
        </row>
        <row r="52">
          <cell r="G52" t="str">
            <v/>
          </cell>
        </row>
        <row r="53">
          <cell r="G53" t="str">
            <v/>
          </cell>
        </row>
        <row r="54">
          <cell r="G54" t="str">
            <v/>
          </cell>
        </row>
        <row r="55">
          <cell r="G55" t="str">
            <v/>
          </cell>
        </row>
        <row r="57">
          <cell r="G57" t="str">
            <v/>
          </cell>
        </row>
        <row r="61">
          <cell r="G61" t="str">
            <v/>
          </cell>
        </row>
        <row r="62">
          <cell r="G62" t="str">
            <v/>
          </cell>
        </row>
        <row r="64">
          <cell r="A64" t="b">
            <v>0</v>
          </cell>
        </row>
      </sheetData>
      <sheetData sheetId="3">
        <row r="5">
          <cell r="F5">
            <v>0</v>
          </cell>
          <cell r="G5">
            <v>0</v>
          </cell>
          <cell r="AC5">
            <v>0</v>
          </cell>
          <cell r="AD5">
            <v>0</v>
          </cell>
          <cell r="AE5">
            <v>0</v>
          </cell>
          <cell r="AM5">
            <v>0</v>
          </cell>
          <cell r="BD5">
            <v>0</v>
          </cell>
          <cell r="BE5">
            <v>0</v>
          </cell>
          <cell r="CF5">
            <v>0</v>
          </cell>
          <cell r="CG5">
            <v>0</v>
          </cell>
        </row>
      </sheetData>
      <sheetData sheetId="4">
        <row r="5">
          <cell r="F5">
            <v>0</v>
          </cell>
          <cell r="AD5">
            <v>0</v>
          </cell>
          <cell r="BF5">
            <v>0</v>
          </cell>
          <cell r="CF5">
            <v>0</v>
          </cell>
          <cell r="CG5">
            <v>0</v>
          </cell>
          <cell r="DC5">
            <v>0</v>
          </cell>
          <cell r="DD5">
            <v>0</v>
          </cell>
          <cell r="DE5">
            <v>0</v>
          </cell>
          <cell r="DL5">
            <v>0</v>
          </cell>
          <cell r="ED5">
            <v>0</v>
          </cell>
          <cell r="EE5">
            <v>0</v>
          </cell>
          <cell r="FF5">
            <v>0</v>
          </cell>
          <cell r="FG5">
            <v>0</v>
          </cell>
        </row>
      </sheetData>
      <sheetData sheetId="5">
        <row r="5">
          <cell r="F5">
            <v>0</v>
          </cell>
          <cell r="G5">
            <v>0</v>
          </cell>
          <cell r="AC5">
            <v>0</v>
          </cell>
          <cell r="AD5">
            <v>0</v>
          </cell>
          <cell r="AE5">
            <v>0</v>
          </cell>
          <cell r="AM5">
            <v>0</v>
          </cell>
          <cell r="BD5">
            <v>0</v>
          </cell>
          <cell r="BE5">
            <v>0</v>
          </cell>
          <cell r="CF5">
            <v>0</v>
          </cell>
          <cell r="CG5">
            <v>0</v>
          </cell>
        </row>
      </sheetData>
      <sheetData sheetId="6">
        <row r="1">
          <cell r="C1" t="str">
            <v>A</v>
          </cell>
          <cell r="E1" t="str">
            <v>A</v>
          </cell>
          <cell r="G1" t="str">
            <v>+</v>
          </cell>
        </row>
        <row r="2">
          <cell r="C2" t="str">
            <v>B</v>
          </cell>
          <cell r="E2" t="str">
            <v>B</v>
          </cell>
          <cell r="G2" t="str">
            <v>-</v>
          </cell>
          <cell r="M2" t="str">
            <v>TIA-222-G</v>
          </cell>
        </row>
        <row r="3">
          <cell r="C3" t="str">
            <v>C</v>
          </cell>
          <cell r="E3" t="str">
            <v>C</v>
          </cell>
          <cell r="M3" t="str">
            <v>ASCE 7-10</v>
          </cell>
        </row>
        <row r="4">
          <cell r="C4" t="str">
            <v>D</v>
          </cell>
          <cell r="E4" t="str">
            <v>D (Default)</v>
          </cell>
          <cell r="M4" t="str">
            <v>TIA-222-H</v>
          </cell>
        </row>
        <row r="5">
          <cell r="C5" t="str">
            <v>E</v>
          </cell>
          <cell r="E5" t="str">
            <v>D (Determined)</v>
          </cell>
          <cell r="M5" t="str">
            <v>TIA-222-H-1</v>
          </cell>
        </row>
        <row r="6">
          <cell r="C6" t="str">
            <v>F</v>
          </cell>
          <cell r="E6" t="str">
            <v>E</v>
          </cell>
        </row>
        <row r="7">
          <cell r="E7" t="str">
            <v>F</v>
          </cell>
        </row>
        <row r="12">
          <cell r="B12" t="str">
            <v>I</v>
          </cell>
        </row>
        <row r="13">
          <cell r="B13" t="str">
            <v>II</v>
          </cell>
        </row>
        <row r="14">
          <cell r="B14" t="str">
            <v>III</v>
          </cell>
        </row>
        <row r="15">
          <cell r="B15" t="str">
            <v>IV</v>
          </cell>
        </row>
        <row r="26">
          <cell r="J26">
            <v>1.6</v>
          </cell>
          <cell r="V26">
            <v>1.6</v>
          </cell>
        </row>
        <row r="37">
          <cell r="J37">
            <v>2.2880000000000003</v>
          </cell>
          <cell r="V37">
            <v>2.3439999999999999</v>
          </cell>
        </row>
        <row r="43">
          <cell r="H43" t="str">
            <v>B</v>
          </cell>
        </row>
        <row r="50">
          <cell r="H50" t="str">
            <v>D</v>
          </cell>
        </row>
      </sheetData>
      <sheetData sheetId="7"/>
      <sheetData sheetId="8"/>
      <sheetData sheetId="9"/>
      <sheetData sheetId="10"/>
      <sheetData sheetId="11"/>
      <sheetData sheetId="12"/>
      <sheetData sheetId="13">
        <row r="5">
          <cell r="D5">
            <v>0</v>
          </cell>
          <cell r="AG5">
            <v>0</v>
          </cell>
        </row>
      </sheetData>
      <sheetData sheetId="14"/>
      <sheetData sheetId="15"/>
      <sheetData sheetId="16"/>
      <sheetData sheetId="17">
        <row r="1">
          <cell r="E1" t="str">
            <v>3.3.6</v>
          </cell>
        </row>
      </sheetData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>
            <v>33.835610000000003</v>
          </cell>
        </row>
        <row r="2">
          <cell r="B2">
            <v>-117.49424999999999</v>
          </cell>
        </row>
        <row r="3">
          <cell r="B3" t="str">
            <v>wind2010_100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E8F63E-1E87-40D5-8EB8-59341727E018}" name="dataTypes" displayName="dataTypes" ref="H2:I7" totalsRowShown="0">
  <autoFilter ref="H2:I7" xr:uid="{44C0CAA9-164A-4469-90F2-7CC0A47855C4}"/>
  <tableColumns count="2">
    <tableColumn id="1" xr3:uid="{078A4125-E4C8-420C-9A01-2C258BADE6E2}" name="SQL"/>
    <tableColumn id="2" xr3:uid="{AE15AB63-D0A2-4BAE-A478-C1C173346E04}" name="VB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607C-DE34-45D7-9519-C144D32BFE98}">
  <sheetPr codeName="Sheet2"/>
  <dimension ref="B2:E27"/>
  <sheetViews>
    <sheetView workbookViewId="0">
      <selection activeCell="E39" sqref="E39"/>
    </sheetView>
  </sheetViews>
  <sheetFormatPr defaultRowHeight="15" x14ac:dyDescent="0.25"/>
  <cols>
    <col min="1" max="1" width="9.140625" customWidth="1"/>
    <col min="2" max="2" width="24.42578125" customWidth="1"/>
    <col min="3" max="4" width="27.42578125" customWidth="1"/>
    <col min="5" max="5" width="73.28515625" customWidth="1"/>
  </cols>
  <sheetData>
    <row r="2" spans="2:5" x14ac:dyDescent="0.25">
      <c r="B2" s="9" t="s">
        <v>84</v>
      </c>
      <c r="C2" s="9" t="s">
        <v>91</v>
      </c>
      <c r="D2" s="9" t="s">
        <v>109</v>
      </c>
      <c r="E2" s="9" t="s">
        <v>92</v>
      </c>
    </row>
    <row r="3" spans="2:5" x14ac:dyDescent="0.25">
      <c r="B3" s="9" t="s">
        <v>85</v>
      </c>
      <c r="C3" s="9" t="s">
        <v>0</v>
      </c>
      <c r="D3" s="9"/>
      <c r="E3" s="9" t="s">
        <v>93</v>
      </c>
    </row>
    <row r="4" spans="2:5" x14ac:dyDescent="0.25">
      <c r="B4" s="9"/>
      <c r="C4" s="9" t="s">
        <v>86</v>
      </c>
      <c r="D4" s="9"/>
      <c r="E4" s="9"/>
    </row>
    <row r="5" spans="2:5" x14ac:dyDescent="0.25">
      <c r="B5" s="9"/>
      <c r="C5" s="9" t="s">
        <v>87</v>
      </c>
      <c r="D5" s="9"/>
      <c r="E5" s="9"/>
    </row>
    <row r="6" spans="2:5" x14ac:dyDescent="0.25">
      <c r="B6" s="9"/>
      <c r="C6" s="9" t="s">
        <v>88</v>
      </c>
      <c r="D6" s="9"/>
      <c r="E6" s="9" t="s">
        <v>94</v>
      </c>
    </row>
    <row r="7" spans="2:5" x14ac:dyDescent="0.25">
      <c r="B7" s="9"/>
      <c r="C7" s="9" t="s">
        <v>89</v>
      </c>
      <c r="D7" s="9"/>
      <c r="E7" s="9" t="s">
        <v>95</v>
      </c>
    </row>
    <row r="8" spans="2:5" x14ac:dyDescent="0.25">
      <c r="B8" s="9"/>
      <c r="C8" s="9" t="s">
        <v>90</v>
      </c>
      <c r="D8" s="9"/>
      <c r="E8" s="9" t="s">
        <v>96</v>
      </c>
    </row>
    <row r="9" spans="2:5" x14ac:dyDescent="0.25">
      <c r="B9" s="9"/>
      <c r="C9" s="9" t="s">
        <v>98</v>
      </c>
      <c r="D9" s="9"/>
      <c r="E9" s="9" t="s">
        <v>99</v>
      </c>
    </row>
    <row r="10" spans="2:5" x14ac:dyDescent="0.25">
      <c r="B10" s="9"/>
      <c r="C10" s="9" t="s">
        <v>100</v>
      </c>
      <c r="D10" s="9"/>
      <c r="E10" s="9" t="s">
        <v>101</v>
      </c>
    </row>
    <row r="11" spans="2:5" x14ac:dyDescent="0.25">
      <c r="B11" s="9"/>
      <c r="C11" s="9" t="s">
        <v>102</v>
      </c>
      <c r="D11" s="9"/>
      <c r="E11" s="9" t="s">
        <v>103</v>
      </c>
    </row>
    <row r="12" spans="2:5" x14ac:dyDescent="0.25">
      <c r="B12" s="9"/>
      <c r="C12" s="9" t="s">
        <v>104</v>
      </c>
      <c r="D12" s="9"/>
      <c r="E12" s="9" t="s">
        <v>105</v>
      </c>
    </row>
    <row r="13" spans="2:5" x14ac:dyDescent="0.25">
      <c r="B13" s="9" t="s">
        <v>97</v>
      </c>
      <c r="C13" s="9" t="s">
        <v>106</v>
      </c>
      <c r="D13" s="9" t="s">
        <v>110</v>
      </c>
      <c r="E13" s="9" t="s">
        <v>115</v>
      </c>
    </row>
    <row r="14" spans="2:5" x14ac:dyDescent="0.25">
      <c r="B14" s="9"/>
      <c r="C14" s="9" t="s">
        <v>107</v>
      </c>
      <c r="D14" s="9" t="s">
        <v>110</v>
      </c>
      <c r="E14" s="9" t="s">
        <v>116</v>
      </c>
    </row>
    <row r="15" spans="2:5" x14ac:dyDescent="0.25">
      <c r="B15" s="9"/>
      <c r="C15" s="9" t="s">
        <v>108</v>
      </c>
      <c r="D15" s="9" t="s">
        <v>110</v>
      </c>
      <c r="E15" s="9" t="s">
        <v>117</v>
      </c>
    </row>
    <row r="16" spans="2:5" x14ac:dyDescent="0.25">
      <c r="B16" s="9"/>
      <c r="C16" s="9" t="s">
        <v>111</v>
      </c>
      <c r="D16" s="9" t="s">
        <v>110</v>
      </c>
      <c r="E16" s="9"/>
    </row>
    <row r="17" spans="2:5" x14ac:dyDescent="0.25">
      <c r="B17" s="9"/>
      <c r="C17" s="9" t="s">
        <v>112</v>
      </c>
      <c r="D17" s="9" t="s">
        <v>110</v>
      </c>
      <c r="E17" s="9"/>
    </row>
    <row r="18" spans="2:5" x14ac:dyDescent="0.25">
      <c r="B18" s="9"/>
      <c r="C18" s="9" t="s">
        <v>113</v>
      </c>
      <c r="D18" s="9" t="s">
        <v>110</v>
      </c>
      <c r="E18" s="9"/>
    </row>
    <row r="19" spans="2:5" x14ac:dyDescent="0.25">
      <c r="B19" s="9"/>
      <c r="C19" s="9" t="s">
        <v>114</v>
      </c>
      <c r="D19" s="9"/>
      <c r="E19" s="9"/>
    </row>
    <row r="20" spans="2:5" x14ac:dyDescent="0.25">
      <c r="B20" s="9" t="s">
        <v>118</v>
      </c>
      <c r="C20" s="9" t="s">
        <v>119</v>
      </c>
      <c r="D20" s="9"/>
      <c r="E20" s="9"/>
    </row>
    <row r="21" spans="2:5" x14ac:dyDescent="0.25">
      <c r="B21" s="9"/>
      <c r="C21" s="9" t="s">
        <v>120</v>
      </c>
      <c r="D21" s="9" t="s">
        <v>110</v>
      </c>
      <c r="E21" s="9"/>
    </row>
    <row r="22" spans="2:5" x14ac:dyDescent="0.25">
      <c r="B22" s="9"/>
      <c r="C22" s="9" t="s">
        <v>121</v>
      </c>
      <c r="D22" s="9"/>
      <c r="E22" s="9"/>
    </row>
    <row r="23" spans="2:5" x14ac:dyDescent="0.25">
      <c r="B23" s="9"/>
      <c r="C23" s="9" t="s">
        <v>83</v>
      </c>
      <c r="D23" s="9" t="s">
        <v>110</v>
      </c>
      <c r="E23" s="9"/>
    </row>
    <row r="24" spans="2:5" x14ac:dyDescent="0.25">
      <c r="B24" s="9"/>
      <c r="C24" s="9" t="s">
        <v>122</v>
      </c>
      <c r="D24" s="9" t="s">
        <v>110</v>
      </c>
      <c r="E24" s="9"/>
    </row>
    <row r="25" spans="2:5" x14ac:dyDescent="0.25">
      <c r="B25" s="9"/>
      <c r="C25" s="9" t="s">
        <v>125</v>
      </c>
      <c r="D25" s="9" t="s">
        <v>110</v>
      </c>
      <c r="E25" s="9"/>
    </row>
    <row r="26" spans="2:5" x14ac:dyDescent="0.25">
      <c r="B26" s="9"/>
      <c r="C26" s="9" t="s">
        <v>126</v>
      </c>
      <c r="D26" s="9"/>
      <c r="E26" s="9" t="s">
        <v>127</v>
      </c>
    </row>
    <row r="27" spans="2:5" x14ac:dyDescent="0.25">
      <c r="B27" s="9" t="s">
        <v>123</v>
      </c>
      <c r="C27" s="9" t="s">
        <v>82</v>
      </c>
      <c r="D27" s="9" t="s">
        <v>110</v>
      </c>
      <c r="E27" s="9" t="s">
        <v>124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56933-07AB-40A9-89A2-A327D1CC5E00}">
  <sheetPr codeName="Sheet3"/>
  <dimension ref="A2:I7"/>
  <sheetViews>
    <sheetView workbookViewId="0">
      <selection activeCell="A5" sqref="A5"/>
    </sheetView>
  </sheetViews>
  <sheetFormatPr defaultRowHeight="15" x14ac:dyDescent="0.25"/>
  <cols>
    <col min="8" max="8" width="14.28515625" customWidth="1"/>
    <col min="9" max="9" width="11" customWidth="1"/>
  </cols>
  <sheetData>
    <row r="2" spans="1:9" x14ac:dyDescent="0.25">
      <c r="A2" t="s">
        <v>69</v>
      </c>
      <c r="H2" t="s">
        <v>75</v>
      </c>
      <c r="I2" t="s">
        <v>76</v>
      </c>
    </row>
    <row r="3" spans="1:9" x14ac:dyDescent="0.25">
      <c r="H3" t="s">
        <v>23</v>
      </c>
      <c r="I3" t="s">
        <v>81</v>
      </c>
    </row>
    <row r="4" spans="1:9" x14ac:dyDescent="0.25">
      <c r="H4" t="s">
        <v>72</v>
      </c>
      <c r="I4" t="s">
        <v>77</v>
      </c>
    </row>
    <row r="5" spans="1:9" x14ac:dyDescent="0.25">
      <c r="H5" t="s">
        <v>73</v>
      </c>
      <c r="I5" t="s">
        <v>78</v>
      </c>
    </row>
    <row r="6" spans="1:9" x14ac:dyDescent="0.25">
      <c r="H6" t="s">
        <v>28</v>
      </c>
      <c r="I6" t="s">
        <v>79</v>
      </c>
    </row>
    <row r="7" spans="1:9" x14ac:dyDescent="0.25">
      <c r="H7" t="s">
        <v>74</v>
      </c>
      <c r="I7" t="s">
        <v>80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updateSheetNames">
                <anchor moveWithCells="1" sizeWithCells="1">
                  <from>
                    <xdr:col>1</xdr:col>
                    <xdr:colOff>581025</xdr:colOff>
                    <xdr:row>0</xdr:row>
                    <xdr:rowOff>66675</xdr:rowOff>
                  </from>
                  <to>
                    <xdr:col>4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74903-C600-4292-AFD4-0FC8E91C88AB}">
  <sheetPr codeName="Sheet35"/>
  <dimension ref="A2:E59"/>
  <sheetViews>
    <sheetView tabSelected="1" zoomScale="85" zoomScaleNormal="85" workbookViewId="0">
      <selection activeCell="U11" sqref="U11"/>
    </sheetView>
  </sheetViews>
  <sheetFormatPr defaultRowHeight="15" x14ac:dyDescent="0.25"/>
  <cols>
    <col min="1" max="1" width="11.5703125" customWidth="1"/>
    <col min="2" max="2" width="20.28515625" bestFit="1" customWidth="1"/>
    <col min="3" max="3" width="15.85546875" customWidth="1"/>
  </cols>
  <sheetData>
    <row r="2" spans="1:5" x14ac:dyDescent="0.25">
      <c r="B2" t="s">
        <v>34</v>
      </c>
      <c r="C2" s="1" t="s">
        <v>69</v>
      </c>
      <c r="E2" t="b">
        <f>ISNUMBER(FIND(" ",C2))</f>
        <v>1</v>
      </c>
    </row>
    <row r="8" spans="1:5" x14ac:dyDescent="0.25">
      <c r="B8" s="2" t="s">
        <v>33</v>
      </c>
    </row>
    <row r="10" spans="1:5" x14ac:dyDescent="0.25">
      <c r="A10" t="s">
        <v>128</v>
      </c>
    </row>
    <row r="11" spans="1:5" x14ac:dyDescent="0.25">
      <c r="A11" t="s">
        <v>129</v>
      </c>
    </row>
    <row r="12" spans="1:5" x14ac:dyDescent="0.25">
      <c r="A12" t="s">
        <v>130</v>
      </c>
    </row>
    <row r="13" spans="1:5" x14ac:dyDescent="0.25">
      <c r="A13" t="s">
        <v>131</v>
      </c>
    </row>
    <row r="14" spans="1:5" x14ac:dyDescent="0.25">
      <c r="A14" t="s">
        <v>132</v>
      </c>
    </row>
    <row r="15" spans="1:5" x14ac:dyDescent="0.25">
      <c r="A15" t="s">
        <v>133</v>
      </c>
    </row>
    <row r="16" spans="1:5" x14ac:dyDescent="0.25">
      <c r="A16" t="s">
        <v>134</v>
      </c>
    </row>
    <row r="17" spans="1:1" x14ac:dyDescent="0.25">
      <c r="A17" t="s">
        <v>135</v>
      </c>
    </row>
    <row r="18" spans="1:1" x14ac:dyDescent="0.25">
      <c r="A18" t="s">
        <v>136</v>
      </c>
    </row>
    <row r="19" spans="1:1" x14ac:dyDescent="0.25">
      <c r="A19" t="s">
        <v>137</v>
      </c>
    </row>
    <row r="20" spans="1:1" x14ac:dyDescent="0.25">
      <c r="A20" t="s">
        <v>138</v>
      </c>
    </row>
    <row r="21" spans="1:1" x14ac:dyDescent="0.25">
      <c r="A21" t="s">
        <v>139</v>
      </c>
    </row>
    <row r="22" spans="1:1" x14ac:dyDescent="0.25">
      <c r="A22" t="s">
        <v>140</v>
      </c>
    </row>
    <row r="23" spans="1:1" x14ac:dyDescent="0.25">
      <c r="A23" t="s">
        <v>141</v>
      </c>
    </row>
    <row r="24" spans="1:1" x14ac:dyDescent="0.25">
      <c r="A24" t="s">
        <v>142</v>
      </c>
    </row>
    <row r="25" spans="1:1" x14ac:dyDescent="0.25">
      <c r="A25" t="s">
        <v>143</v>
      </c>
    </row>
    <row r="26" spans="1:1" x14ac:dyDescent="0.25">
      <c r="A26" t="s">
        <v>144</v>
      </c>
    </row>
    <row r="27" spans="1:1" x14ac:dyDescent="0.25">
      <c r="A27" t="s">
        <v>145</v>
      </c>
    </row>
    <row r="28" spans="1:1" x14ac:dyDescent="0.25">
      <c r="A28" t="s">
        <v>146</v>
      </c>
    </row>
    <row r="29" spans="1:1" x14ac:dyDescent="0.25">
      <c r="A29" t="s">
        <v>147</v>
      </c>
    </row>
    <row r="30" spans="1:1" x14ac:dyDescent="0.25">
      <c r="A30" t="s">
        <v>148</v>
      </c>
    </row>
    <row r="31" spans="1:1" x14ac:dyDescent="0.25">
      <c r="A31" t="s">
        <v>149</v>
      </c>
    </row>
    <row r="32" spans="1:1" x14ac:dyDescent="0.25">
      <c r="A32" t="s">
        <v>150</v>
      </c>
    </row>
    <row r="33" spans="1:1" x14ac:dyDescent="0.25">
      <c r="A33" t="s">
        <v>151</v>
      </c>
    </row>
    <row r="34" spans="1:1" x14ac:dyDescent="0.25">
      <c r="A34" t="s">
        <v>152</v>
      </c>
    </row>
    <row r="35" spans="1:1" x14ac:dyDescent="0.25">
      <c r="A35" t="s">
        <v>153</v>
      </c>
    </row>
    <row r="36" spans="1:1" x14ac:dyDescent="0.25">
      <c r="A36" t="s">
        <v>154</v>
      </c>
    </row>
    <row r="37" spans="1:1" x14ac:dyDescent="0.25">
      <c r="A37" t="s">
        <v>155</v>
      </c>
    </row>
    <row r="38" spans="1:1" x14ac:dyDescent="0.25">
      <c r="A38" t="s">
        <v>156</v>
      </c>
    </row>
    <row r="39" spans="1:1" x14ac:dyDescent="0.25">
      <c r="A39" t="s">
        <v>157</v>
      </c>
    </row>
    <row r="40" spans="1:1" x14ac:dyDescent="0.25">
      <c r="A40" t="s">
        <v>158</v>
      </c>
    </row>
    <row r="41" spans="1:1" x14ac:dyDescent="0.25">
      <c r="A41" t="s">
        <v>159</v>
      </c>
    </row>
    <row r="42" spans="1:1" x14ac:dyDescent="0.25">
      <c r="A42" t="s">
        <v>160</v>
      </c>
    </row>
    <row r="43" spans="1:1" x14ac:dyDescent="0.25">
      <c r="A43" t="s">
        <v>161</v>
      </c>
    </row>
    <row r="44" spans="1:1" x14ac:dyDescent="0.25">
      <c r="A44" t="s">
        <v>162</v>
      </c>
    </row>
    <row r="45" spans="1:1" x14ac:dyDescent="0.25">
      <c r="A45" t="s">
        <v>163</v>
      </c>
    </row>
    <row r="46" spans="1:1" x14ac:dyDescent="0.25">
      <c r="A46" t="s">
        <v>164</v>
      </c>
    </row>
    <row r="47" spans="1:1" x14ac:dyDescent="0.25">
      <c r="A47" t="s">
        <v>165</v>
      </c>
    </row>
    <row r="48" spans="1:1" x14ac:dyDescent="0.25">
      <c r="A48" t="s">
        <v>166</v>
      </c>
    </row>
    <row r="49" spans="1:1" x14ac:dyDescent="0.25">
      <c r="A49" t="s">
        <v>167</v>
      </c>
    </row>
    <row r="50" spans="1:1" x14ac:dyDescent="0.25">
      <c r="A50" t="s">
        <v>168</v>
      </c>
    </row>
    <row r="51" spans="1:1" x14ac:dyDescent="0.25">
      <c r="A51" t="s">
        <v>169</v>
      </c>
    </row>
    <row r="52" spans="1:1" x14ac:dyDescent="0.25">
      <c r="A52" t="s">
        <v>170</v>
      </c>
    </row>
    <row r="53" spans="1:1" x14ac:dyDescent="0.25">
      <c r="A53" t="s">
        <v>171</v>
      </c>
    </row>
    <row r="54" spans="1:1" x14ac:dyDescent="0.25">
      <c r="A54" t="s">
        <v>172</v>
      </c>
    </row>
    <row r="55" spans="1:1" x14ac:dyDescent="0.25">
      <c r="A55" t="s">
        <v>173</v>
      </c>
    </row>
    <row r="56" spans="1:1" x14ac:dyDescent="0.25">
      <c r="A56" t="s">
        <v>174</v>
      </c>
    </row>
    <row r="57" spans="1:1" x14ac:dyDescent="0.25">
      <c r="A57" t="s">
        <v>175</v>
      </c>
    </row>
    <row r="58" spans="1:1" x14ac:dyDescent="0.25">
      <c r="A58" t="s">
        <v>176</v>
      </c>
    </row>
    <row r="59" spans="1:1" x14ac:dyDescent="0.25">
      <c r="A59" t="s">
        <v>177</v>
      </c>
    </row>
  </sheetData>
  <dataValidations count="1">
    <dataValidation type="list" allowBlank="1" showInputMessage="1" showErrorMessage="1" sqref="C2" xr:uid="{FF5CDC88-642A-43CF-A735-66A625C514BA}">
      <formula1>sheetNames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goToSheet">
                <anchor moveWithCells="1" sizeWithCells="1">
                  <from>
                    <xdr:col>3</xdr:col>
                    <xdr:colOff>371475</xdr:colOff>
                    <xdr:row>0</xdr:row>
                    <xdr:rowOff>104775</xdr:rowOff>
                  </from>
                  <to>
                    <xdr:col>6</xdr:col>
                    <xdr:colOff>228600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5" name="Button 4">
              <controlPr defaultSize="0" print="0" autoFill="0" autoPict="0" macro="[0]!formula_populate">
                <anchor moveWithCells="1" sizeWithCells="1">
                  <from>
                    <xdr:col>6</xdr:col>
                    <xdr:colOff>238125</xdr:colOff>
                    <xdr:row>3</xdr:row>
                    <xdr:rowOff>114300</xdr:rowOff>
                  </from>
                  <to>
                    <xdr:col>9</xdr:col>
                    <xdr:colOff>95250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6" name="Button 5">
              <controlPr defaultSize="0" print="0" autoFill="0" autoPict="0" macro="[0]!sql_string">
                <anchor moveWithCells="1" sizeWithCells="1">
                  <from>
                    <xdr:col>10</xdr:col>
                    <xdr:colOff>57150</xdr:colOff>
                    <xdr:row>3</xdr:row>
                    <xdr:rowOff>114300</xdr:rowOff>
                  </from>
                  <to>
                    <xdr:col>12</xdr:col>
                    <xdr:colOff>523875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7" name="Button 9">
              <controlPr defaultSize="0" print="0" autoFill="0" autoPict="0" macro="[0]!constructor_from_datarow">
                <anchor moveWithCells="1" sizeWithCells="1">
                  <from>
                    <xdr:col>13</xdr:col>
                    <xdr:colOff>323850</xdr:colOff>
                    <xdr:row>3</xdr:row>
                    <xdr:rowOff>38100</xdr:rowOff>
                  </from>
                  <to>
                    <xdr:col>16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8" name="Button 11">
              <controlPr defaultSize="0" print="0" autoFill="0" autoPict="0" macro="[0]!datatable_generator">
                <anchor moveWithCells="1" sizeWithCells="1">
                  <from>
                    <xdr:col>17</xdr:col>
                    <xdr:colOff>47625</xdr:colOff>
                    <xdr:row>3</xdr:row>
                    <xdr:rowOff>57150</xdr:rowOff>
                  </from>
                  <to>
                    <xdr:col>19</xdr:col>
                    <xdr:colOff>504825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9" name="Button 12">
              <controlPr defaultSize="0" print="0" autoFill="0" autoPict="0" macro="[0]!datarow_generator">
                <anchor moveWithCells="1" sizeWithCells="1">
                  <from>
                    <xdr:col>17</xdr:col>
                    <xdr:colOff>19050</xdr:colOff>
                    <xdr:row>7</xdr:row>
                    <xdr:rowOff>0</xdr:rowOff>
                  </from>
                  <to>
                    <xdr:col>19</xdr:col>
                    <xdr:colOff>476250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0" name="Button 13">
              <controlPr defaultSize="0" print="0" autoFill="0" autoPict="0" macro="[0]!sql_param_generator">
                <anchor moveWithCells="1" sizeWithCells="1">
                  <from>
                    <xdr:col>10</xdr:col>
                    <xdr:colOff>19050</xdr:colOff>
                    <xdr:row>11</xdr:row>
                    <xdr:rowOff>133350</xdr:rowOff>
                  </from>
                  <to>
                    <xdr:col>12</xdr:col>
                    <xdr:colOff>476250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1" name="Button 14">
              <controlPr defaultSize="0" print="0" autoFill="0" autoPict="0" macro="[0]!add_sql_param_generator">
                <anchor moveWithCells="1" sizeWithCells="1">
                  <from>
                    <xdr:col>10</xdr:col>
                    <xdr:colOff>19050</xdr:colOff>
                    <xdr:row>16</xdr:row>
                    <xdr:rowOff>133350</xdr:rowOff>
                  </from>
                  <to>
                    <xdr:col>12</xdr:col>
                    <xdr:colOff>476250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2" name="Button 15">
              <controlPr defaultSize="0" print="0" autoFill="0" autoPict="0" macro="[0]!sql_columns">
                <anchor moveWithCells="1" sizeWithCells="1">
                  <from>
                    <xdr:col>10</xdr:col>
                    <xdr:colOff>57150</xdr:colOff>
                    <xdr:row>5</xdr:row>
                    <xdr:rowOff>180975</xdr:rowOff>
                  </from>
                  <to>
                    <xdr:col>12</xdr:col>
                    <xdr:colOff>523875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13" name="Button 19">
              <controlPr defaultSize="0" print="0" autoFill="0" autoPict="0" macro="[0]!sql_update_string">
                <anchor moveWithCells="1" sizeWithCells="1">
                  <from>
                    <xdr:col>10</xdr:col>
                    <xdr:colOff>38100</xdr:colOff>
                    <xdr:row>8</xdr:row>
                    <xdr:rowOff>114300</xdr:rowOff>
                  </from>
                  <to>
                    <xdr:col>12</xdr:col>
                    <xdr:colOff>504825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14" name="Button 20">
              <controlPr defaultSize="0" print="0" autoFill="0" autoPict="0" macro="[0]!check_change">
                <anchor moveWithCells="1" sizeWithCells="1">
                  <from>
                    <xdr:col>13</xdr:col>
                    <xdr:colOff>295275</xdr:colOff>
                    <xdr:row>6</xdr:row>
                    <xdr:rowOff>180975</xdr:rowOff>
                  </from>
                  <to>
                    <xdr:col>16</xdr:col>
                    <xdr:colOff>152400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D147E-76C0-4F1F-8497-EDF93EECB37F}">
  <sheetPr codeName="Sheet1"/>
  <dimension ref="A1:J60"/>
  <sheetViews>
    <sheetView workbookViewId="0">
      <selection activeCell="D6" sqref="D6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customWidth="1"/>
    <col min="5" max="5" width="18.42578125" bestFit="1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10" x14ac:dyDescent="0.25">
      <c r="A1" t="s">
        <v>32</v>
      </c>
      <c r="B1" s="1" t="s">
        <v>70</v>
      </c>
      <c r="C1" s="1"/>
      <c r="J1" s="6"/>
    </row>
    <row r="2" spans="1:10" x14ac:dyDescent="0.25">
      <c r="A2" s="2" t="s">
        <v>29</v>
      </c>
      <c r="B2" s="2" t="s">
        <v>30</v>
      </c>
      <c r="C2" s="2" t="s">
        <v>71</v>
      </c>
      <c r="D2" s="2" t="s">
        <v>31</v>
      </c>
      <c r="E2" s="2" t="s">
        <v>35</v>
      </c>
      <c r="F2" s="2" t="s">
        <v>36</v>
      </c>
      <c r="G2" s="2" t="s">
        <v>37</v>
      </c>
      <c r="H2" s="2" t="s">
        <v>38</v>
      </c>
    </row>
    <row r="3" spans="1:10" x14ac:dyDescent="0.25">
      <c r="A3" s="3" t="s">
        <v>0</v>
      </c>
      <c r="B3" s="3" t="s">
        <v>23</v>
      </c>
      <c r="C3" s="3" t="str" cm="1">
        <f t="array" ref="C3">INDEX(dataTypes[VB],MATCH(LEFT(B3,3),LEFT(dataTypes[SQL],3),0))</f>
        <v>Integer?</v>
      </c>
      <c r="D3" s="6" t="str">
        <f t="shared" ref="D3" si="0">"Private prop_"&amp;A3&amp;IF(LEFT(B3,1)="i"," As Integer",IF(LEFT(B3,1)="d"," As Double",IF(LEFT(B3,1)="n"," As String",IF(LEFT(B3,1)="b"," As Boolean","N/A"))))</f>
        <v>Private prop_ID As Integer</v>
      </c>
      <c r="E3" s="3">
        <v>0</v>
      </c>
      <c r="F3" s="4" t="s">
        <v>0</v>
      </c>
      <c r="G3" s="3"/>
      <c r="H3" s="3" t="s">
        <v>39</v>
      </c>
      <c r="J3" s="5"/>
    </row>
    <row r="4" spans="1:10" x14ac:dyDescent="0.25">
      <c r="A4" s="3" t="s">
        <v>86</v>
      </c>
      <c r="B4" s="3" t="s">
        <v>26</v>
      </c>
      <c r="C4" s="3" t="str" cm="1">
        <f t="array" ref="C4">INDEX(dataTypes[VB],MATCH(LEFT(B4,3),LEFT(dataTypes[SQL],3),0))</f>
        <v>String</v>
      </c>
      <c r="D4" s="6"/>
      <c r="E4" s="3"/>
      <c r="F4" s="4"/>
      <c r="G4" s="3"/>
      <c r="H4" s="3"/>
      <c r="J4" s="5"/>
    </row>
    <row r="5" spans="1:10" x14ac:dyDescent="0.25">
      <c r="A5" s="3" t="s">
        <v>87</v>
      </c>
      <c r="B5" s="3" t="s">
        <v>26</v>
      </c>
      <c r="C5" s="3" t="str" cm="1">
        <f t="array" ref="C5">INDEX(dataTypes[VB],MATCH(LEFT(B5,3),LEFT(dataTypes[SQL],3),0))</f>
        <v>String</v>
      </c>
      <c r="D5" s="6"/>
      <c r="E5" s="3"/>
      <c r="F5" s="4"/>
      <c r="G5" s="3"/>
      <c r="H5" s="3"/>
      <c r="J5" s="5"/>
    </row>
    <row r="6" spans="1:10" x14ac:dyDescent="0.25">
      <c r="A6" s="3" t="s">
        <v>8</v>
      </c>
      <c r="B6" s="3" t="s">
        <v>26</v>
      </c>
      <c r="C6" s="3" t="str" cm="1">
        <f t="array" ref="C6">INDEX(dataTypes[VB],MATCH(LEFT(B6,3),LEFT(dataTypes[SQL],3),0))</f>
        <v>String</v>
      </c>
      <c r="E6" s="3"/>
      <c r="F6" s="3"/>
      <c r="G6" s="3"/>
      <c r="H6" s="3"/>
    </row>
    <row r="7" spans="1:10" x14ac:dyDescent="0.25">
      <c r="A7" s="3" t="s">
        <v>9</v>
      </c>
      <c r="B7" s="3" t="s">
        <v>24</v>
      </c>
      <c r="C7" s="3" t="str" cm="1">
        <f t="array" ref="C7">INDEX(dataTypes[VB],MATCH(LEFT(B7,3),LEFT(dataTypes[SQL],3),0))</f>
        <v>Double?</v>
      </c>
      <c r="E7" s="3"/>
      <c r="F7" s="3"/>
      <c r="G7" s="3"/>
      <c r="H7" s="3"/>
    </row>
    <row r="8" spans="1:10" x14ac:dyDescent="0.25">
      <c r="A8" s="3" t="s">
        <v>10</v>
      </c>
      <c r="B8" s="3" t="s">
        <v>24</v>
      </c>
      <c r="C8" s="3" t="str" cm="1">
        <f t="array" ref="C8">INDEX(dataTypes[VB],MATCH(LEFT(B8,3),LEFT(dataTypes[SQL],3),0))</f>
        <v>Double?</v>
      </c>
      <c r="E8" s="3"/>
      <c r="F8" s="3"/>
      <c r="G8" s="3"/>
      <c r="H8" s="3"/>
      <c r="J8" s="5"/>
    </row>
    <row r="9" spans="1:10" x14ac:dyDescent="0.25">
      <c r="A9" s="3" t="s">
        <v>11</v>
      </c>
      <c r="B9" s="3" t="s">
        <v>23</v>
      </c>
      <c r="C9" s="3" t="str" cm="1">
        <f t="array" ref="C9">INDEX(dataTypes[VB],MATCH(LEFT(B9,3),LEFT(dataTypes[SQL],3),0))</f>
        <v>Integer?</v>
      </c>
      <c r="E9" s="3"/>
      <c r="F9" s="3"/>
      <c r="G9" s="3"/>
      <c r="H9" s="3"/>
      <c r="J9" s="5"/>
    </row>
    <row r="10" spans="1:10" x14ac:dyDescent="0.25">
      <c r="A10" s="3" t="s">
        <v>13</v>
      </c>
      <c r="B10" s="3" t="s">
        <v>23</v>
      </c>
      <c r="C10" s="3" t="str" cm="1">
        <f t="array" ref="C10">INDEX(dataTypes[VB],MATCH(LEFT(B10,3),LEFT(dataTypes[SQL],3),0))</f>
        <v>Integer?</v>
      </c>
      <c r="E10" s="3"/>
      <c r="F10" s="3"/>
      <c r="G10" s="3"/>
      <c r="H10" s="3"/>
    </row>
    <row r="11" spans="1:10" x14ac:dyDescent="0.25">
      <c r="A11" s="3" t="s">
        <v>40</v>
      </c>
      <c r="B11" s="3" t="s">
        <v>27</v>
      </c>
      <c r="C11" s="3" t="str" cm="1">
        <f t="array" ref="C11">INDEX(dataTypes[VB],MATCH(LEFT(B11,3),LEFT(dataTypes[SQL],3),0))</f>
        <v>Double?</v>
      </c>
      <c r="E11" s="3"/>
      <c r="F11" s="3"/>
      <c r="G11" s="3"/>
      <c r="H11" s="3"/>
    </row>
    <row r="12" spans="1:10" x14ac:dyDescent="0.25">
      <c r="A12" s="3" t="s">
        <v>41</v>
      </c>
      <c r="B12" s="3" t="s">
        <v>26</v>
      </c>
      <c r="C12" s="3" t="str" cm="1">
        <f t="array" ref="C12">INDEX(dataTypes[VB],MATCH(LEFT(B12,3),LEFT(dataTypes[SQL],3),0))</f>
        <v>String</v>
      </c>
      <c r="E12" s="3"/>
      <c r="F12" s="3"/>
      <c r="G12" s="3"/>
      <c r="H12" s="3"/>
    </row>
    <row r="13" spans="1:10" x14ac:dyDescent="0.25">
      <c r="A13" s="3" t="s">
        <v>42</v>
      </c>
      <c r="B13" s="3" t="s">
        <v>27</v>
      </c>
      <c r="C13" s="3" t="str" cm="1">
        <f t="array" ref="C13">INDEX(dataTypes[VB],MATCH(LEFT(B13,3),LEFT(dataTypes[SQL],3),0))</f>
        <v>Double?</v>
      </c>
      <c r="E13" s="3"/>
      <c r="F13" s="3"/>
      <c r="G13" s="3"/>
      <c r="H13" s="3"/>
      <c r="J13" s="7"/>
    </row>
    <row r="14" spans="1:10" x14ac:dyDescent="0.25">
      <c r="A14" s="3" t="s">
        <v>2</v>
      </c>
      <c r="B14" s="3" t="s">
        <v>27</v>
      </c>
      <c r="C14" s="3" t="str" cm="1">
        <f t="array" ref="C14">INDEX(dataTypes[VB],MATCH(LEFT(B14,3),LEFT(dataTypes[SQL],3),0))</f>
        <v>Double?</v>
      </c>
      <c r="E14" s="3"/>
      <c r="F14" s="3"/>
      <c r="G14" s="3"/>
      <c r="H14" s="3"/>
    </row>
    <row r="15" spans="1:10" x14ac:dyDescent="0.25">
      <c r="A15" s="3" t="s">
        <v>43</v>
      </c>
      <c r="B15" s="3" t="s">
        <v>27</v>
      </c>
      <c r="C15" s="3" t="str" cm="1">
        <f t="array" ref="C15">INDEX(dataTypes[VB],MATCH(LEFT(B15,3),LEFT(dataTypes[SQL],3),0))</f>
        <v>Double?</v>
      </c>
      <c r="E15" s="3"/>
      <c r="F15" s="3"/>
      <c r="G15" s="3"/>
      <c r="H15" s="3"/>
      <c r="J15" s="5"/>
    </row>
    <row r="16" spans="1:10" x14ac:dyDescent="0.25">
      <c r="A16" s="3" t="s">
        <v>44</v>
      </c>
      <c r="B16" s="3" t="s">
        <v>27</v>
      </c>
      <c r="C16" s="3" t="str" cm="1">
        <f t="array" ref="C16">INDEX(dataTypes[VB],MATCH(LEFT(B16,3),LEFT(dataTypes[SQL],3),0))</f>
        <v>Double?</v>
      </c>
      <c r="E16" s="3"/>
      <c r="F16" s="3"/>
      <c r="G16" s="3"/>
      <c r="H16" s="3"/>
    </row>
    <row r="17" spans="1:10" x14ac:dyDescent="0.25">
      <c r="A17" s="3" t="s">
        <v>3</v>
      </c>
      <c r="B17" s="3" t="s">
        <v>27</v>
      </c>
      <c r="C17" s="3" t="str" cm="1">
        <f t="array" ref="C17">INDEX(dataTypes[VB],MATCH(LEFT(B17,3),LEFT(dataTypes[SQL],3),0))</f>
        <v>Double?</v>
      </c>
      <c r="E17" s="3"/>
      <c r="F17" s="3"/>
      <c r="G17" s="3"/>
      <c r="H17" s="3"/>
      <c r="J17" s="5"/>
    </row>
    <row r="18" spans="1:10" x14ac:dyDescent="0.25">
      <c r="A18" s="3" t="s">
        <v>45</v>
      </c>
      <c r="B18" s="3" t="s">
        <v>23</v>
      </c>
      <c r="C18" s="3" t="str" cm="1">
        <f t="array" ref="C18">INDEX(dataTypes[VB],MATCH(LEFT(B18,3),LEFT(dataTypes[SQL],3),0))</f>
        <v>Integer?</v>
      </c>
      <c r="E18" s="3"/>
      <c r="F18" s="3"/>
      <c r="G18" s="3"/>
      <c r="H18" s="3"/>
    </row>
    <row r="19" spans="1:10" x14ac:dyDescent="0.25">
      <c r="A19" s="3" t="s">
        <v>46</v>
      </c>
      <c r="B19" s="3" t="s">
        <v>23</v>
      </c>
      <c r="C19" s="3" t="str" cm="1">
        <f t="array" ref="C19">INDEX(dataTypes[VB],MATCH(LEFT(B19,3),LEFT(dataTypes[SQL],3),0))</f>
        <v>Integer?</v>
      </c>
      <c r="E19" s="3"/>
      <c r="F19" s="3"/>
      <c r="G19" s="3"/>
      <c r="H19" s="3"/>
    </row>
    <row r="20" spans="1:10" x14ac:dyDescent="0.25">
      <c r="A20" s="3" t="s">
        <v>47</v>
      </c>
      <c r="B20" s="3" t="s">
        <v>23</v>
      </c>
      <c r="C20" s="3" t="str" cm="1">
        <f t="array" ref="C20">INDEX(dataTypes[VB],MATCH(LEFT(B20,3),LEFT(dataTypes[SQL],3),0))</f>
        <v>Integer?</v>
      </c>
      <c r="E20" s="3"/>
      <c r="F20" s="3"/>
      <c r="G20" s="3"/>
      <c r="H20" s="3"/>
    </row>
    <row r="21" spans="1:10" x14ac:dyDescent="0.25">
      <c r="A21" s="3" t="s">
        <v>48</v>
      </c>
      <c r="B21" s="3" t="s">
        <v>23</v>
      </c>
      <c r="C21" s="3" t="str" cm="1">
        <f t="array" ref="C21">INDEX(dataTypes[VB],MATCH(LEFT(B21,3),LEFT(dataTypes[SQL],3),0))</f>
        <v>Integer?</v>
      </c>
      <c r="E21" s="3"/>
      <c r="F21" s="3"/>
      <c r="G21" s="3"/>
      <c r="H21" s="3"/>
    </row>
    <row r="22" spans="1:10" x14ac:dyDescent="0.25">
      <c r="A22" s="3" t="s">
        <v>5</v>
      </c>
      <c r="B22" s="3" t="s">
        <v>27</v>
      </c>
      <c r="C22" s="3" t="str" cm="1">
        <f t="array" ref="C22">INDEX(dataTypes[VB],MATCH(LEFT(B22,3),LEFT(dataTypes[SQL],3),0))</f>
        <v>Double?</v>
      </c>
      <c r="E22" s="3"/>
      <c r="F22" s="3"/>
      <c r="G22" s="3"/>
      <c r="H22" s="3"/>
    </row>
    <row r="23" spans="1:10" x14ac:dyDescent="0.25">
      <c r="A23" s="3" t="s">
        <v>4</v>
      </c>
      <c r="B23" s="3" t="s">
        <v>27</v>
      </c>
      <c r="C23" s="3" t="str" cm="1">
        <f t="array" ref="C23">INDEX(dataTypes[VB],MATCH(LEFT(B23,3),LEFT(dataTypes[SQL],3),0))</f>
        <v>Double?</v>
      </c>
      <c r="E23" s="3"/>
      <c r="F23" s="3"/>
      <c r="G23" s="3"/>
      <c r="H23" s="3"/>
    </row>
    <row r="24" spans="1:10" x14ac:dyDescent="0.25">
      <c r="A24" s="3" t="s">
        <v>7</v>
      </c>
      <c r="B24" s="3" t="s">
        <v>27</v>
      </c>
      <c r="C24" s="3" t="str" cm="1">
        <f t="array" ref="C24">INDEX(dataTypes[VB],MATCH(LEFT(B24,3),LEFT(dataTypes[SQL],3),0))</f>
        <v>Double?</v>
      </c>
      <c r="E24" s="3"/>
      <c r="F24" s="3"/>
      <c r="G24" s="3"/>
      <c r="H24" s="3"/>
    </row>
    <row r="25" spans="1:10" x14ac:dyDescent="0.25">
      <c r="A25" s="3" t="s">
        <v>6</v>
      </c>
      <c r="B25" s="3" t="s">
        <v>27</v>
      </c>
      <c r="C25" s="3" t="str" cm="1">
        <f t="array" ref="C25">INDEX(dataTypes[VB],MATCH(LEFT(B25,3),LEFT(dataTypes[SQL],3),0))</f>
        <v>Double?</v>
      </c>
      <c r="E25" s="3"/>
      <c r="F25" s="3"/>
      <c r="G25" s="3"/>
      <c r="H25" s="3"/>
    </row>
    <row r="26" spans="1:10" x14ac:dyDescent="0.25">
      <c r="A26" s="3" t="s">
        <v>49</v>
      </c>
      <c r="B26" s="3" t="s">
        <v>27</v>
      </c>
      <c r="C26" s="3" t="str" cm="1">
        <f t="array" ref="C26">INDEX(dataTypes[VB],MATCH(LEFT(B26,3),LEFT(dataTypes[SQL],3),0))</f>
        <v>Double?</v>
      </c>
      <c r="E26" s="3"/>
      <c r="F26" s="3"/>
      <c r="G26" s="3"/>
      <c r="H26" s="3"/>
    </row>
    <row r="27" spans="1:10" x14ac:dyDescent="0.25">
      <c r="A27" s="3" t="s">
        <v>14</v>
      </c>
      <c r="B27" s="3" t="s">
        <v>25</v>
      </c>
      <c r="C27" s="3" t="str" cm="1">
        <f t="array" ref="C27">INDEX(dataTypes[VB],MATCH(LEFT(B27,3),LEFT(dataTypes[SQL],3),0))</f>
        <v>Double?</v>
      </c>
      <c r="E27" s="3"/>
      <c r="F27" s="3"/>
      <c r="G27" s="3"/>
      <c r="H27" s="3"/>
    </row>
    <row r="28" spans="1:10" x14ac:dyDescent="0.25">
      <c r="A28" s="3" t="s">
        <v>15</v>
      </c>
      <c r="B28" s="3" t="s">
        <v>25</v>
      </c>
      <c r="C28" s="3" t="str" cm="1">
        <f t="array" ref="C28">INDEX(dataTypes[VB],MATCH(LEFT(B28,3),LEFT(dataTypes[SQL],3),0))</f>
        <v>Double?</v>
      </c>
      <c r="E28" s="3"/>
      <c r="F28" s="3"/>
      <c r="G28" s="3"/>
      <c r="H28" s="3"/>
      <c r="J28" s="5"/>
    </row>
    <row r="29" spans="1:10" x14ac:dyDescent="0.25">
      <c r="A29" s="3" t="s">
        <v>50</v>
      </c>
      <c r="B29" s="3" t="s">
        <v>25</v>
      </c>
      <c r="C29" s="3" t="str" cm="1">
        <f t="array" ref="C29">INDEX(dataTypes[VB],MATCH(LEFT(B29,3),LEFT(dataTypes[SQL],3),0))</f>
        <v>Double?</v>
      </c>
      <c r="E29" s="3"/>
      <c r="F29" s="3"/>
      <c r="G29" s="3"/>
      <c r="H29" s="3"/>
    </row>
    <row r="30" spans="1:10" x14ac:dyDescent="0.25">
      <c r="A30" s="3" t="s">
        <v>17</v>
      </c>
      <c r="B30" s="3" t="s">
        <v>25</v>
      </c>
      <c r="C30" s="3" t="str" cm="1">
        <f t="array" ref="C30">INDEX(dataTypes[VB],MATCH(LEFT(B30,3),LEFT(dataTypes[SQL],3),0))</f>
        <v>Double?</v>
      </c>
      <c r="E30" s="3"/>
      <c r="F30" s="3"/>
      <c r="G30" s="3"/>
      <c r="H30" s="3"/>
    </row>
    <row r="31" spans="1:10" x14ac:dyDescent="0.25">
      <c r="A31" s="3" t="s">
        <v>51</v>
      </c>
      <c r="B31" s="3" t="s">
        <v>61</v>
      </c>
      <c r="C31" s="3" t="str" cm="1">
        <f t="array" ref="C31">INDEX(dataTypes[VB],MATCH(LEFT(B31,3),LEFT(dataTypes[SQL],3),0))</f>
        <v>String</v>
      </c>
      <c r="E31" s="3"/>
      <c r="F31" s="3"/>
      <c r="G31" s="3"/>
      <c r="H31" s="3"/>
    </row>
    <row r="32" spans="1:10" x14ac:dyDescent="0.25">
      <c r="A32" s="3" t="s">
        <v>52</v>
      </c>
      <c r="B32" s="3" t="s">
        <v>25</v>
      </c>
      <c r="C32" s="3" t="str" cm="1">
        <f t="array" ref="C32">INDEX(dataTypes[VB],MATCH(LEFT(B32,3),LEFT(dataTypes[SQL],3),0))</f>
        <v>Double?</v>
      </c>
      <c r="E32" s="3"/>
      <c r="F32" s="3"/>
      <c r="G32" s="3"/>
      <c r="H32" s="3"/>
    </row>
    <row r="33" spans="1:10" x14ac:dyDescent="0.25">
      <c r="A33" s="3" t="s">
        <v>18</v>
      </c>
      <c r="B33" s="3" t="s">
        <v>25</v>
      </c>
      <c r="C33" s="3" t="str" cm="1">
        <f t="array" ref="C33">INDEX(dataTypes[VB],MATCH(LEFT(B33,3),LEFT(dataTypes[SQL],3),0))</f>
        <v>Double?</v>
      </c>
      <c r="E33" s="3"/>
      <c r="F33" s="3"/>
      <c r="G33" s="3"/>
      <c r="H33" s="3"/>
    </row>
    <row r="34" spans="1:10" x14ac:dyDescent="0.25">
      <c r="A34" s="3" t="s">
        <v>19</v>
      </c>
      <c r="B34" s="3" t="s">
        <v>27</v>
      </c>
      <c r="C34" s="3" t="str" cm="1">
        <f t="array" ref="C34">INDEX(dataTypes[VB],MATCH(LEFT(B34,3),LEFT(dataTypes[SQL],3),0))</f>
        <v>Double?</v>
      </c>
      <c r="E34" s="3"/>
      <c r="F34" s="3"/>
      <c r="G34" s="3"/>
      <c r="H34" s="3"/>
    </row>
    <row r="35" spans="1:10" x14ac:dyDescent="0.25">
      <c r="A35" s="3" t="s">
        <v>21</v>
      </c>
      <c r="B35" s="3" t="s">
        <v>27</v>
      </c>
      <c r="C35" s="3" t="str" cm="1">
        <f t="array" ref="C35">INDEX(dataTypes[VB],MATCH(LEFT(B35,3),LEFT(dataTypes[SQL],3),0))</f>
        <v>Double?</v>
      </c>
      <c r="E35" s="3"/>
      <c r="F35" s="3"/>
      <c r="G35" s="3"/>
      <c r="H35" s="3"/>
    </row>
    <row r="36" spans="1:10" x14ac:dyDescent="0.25">
      <c r="A36" s="3" t="s">
        <v>53</v>
      </c>
      <c r="B36" s="3" t="s">
        <v>62</v>
      </c>
      <c r="C36" s="3" t="str" cm="1">
        <f t="array" ref="C36">INDEX(dataTypes[VB],MATCH(LEFT(B36,3),LEFT(dataTypes[SQL],3),0))</f>
        <v>Double?</v>
      </c>
      <c r="E36" s="3"/>
      <c r="F36" s="3"/>
      <c r="G36" s="3"/>
      <c r="H36" s="3"/>
    </row>
    <row r="37" spans="1:10" x14ac:dyDescent="0.25">
      <c r="A37" s="3" t="s">
        <v>20</v>
      </c>
      <c r="B37" s="3" t="s">
        <v>27</v>
      </c>
      <c r="C37" s="3" t="str" cm="1">
        <f t="array" ref="C37">INDEX(dataTypes[VB],MATCH(LEFT(B37,3),LEFT(dataTypes[SQL],3),0))</f>
        <v>Double?</v>
      </c>
      <c r="E37" s="3"/>
      <c r="F37" s="3"/>
      <c r="G37" s="3"/>
      <c r="H37" s="3"/>
    </row>
    <row r="38" spans="1:10" x14ac:dyDescent="0.25">
      <c r="A38" s="3" t="s">
        <v>54</v>
      </c>
      <c r="B38" s="3" t="s">
        <v>28</v>
      </c>
      <c r="C38" s="3" t="str" cm="1">
        <f t="array" ref="C38">INDEX(dataTypes[VB],MATCH(LEFT(B38,3),LEFT(dataTypes[SQL],3),0))</f>
        <v>Boolean?</v>
      </c>
      <c r="E38" s="3"/>
      <c r="F38" s="3"/>
      <c r="G38" s="3"/>
      <c r="H38" s="3"/>
    </row>
    <row r="39" spans="1:10" x14ac:dyDescent="0.25">
      <c r="A39" s="3" t="s">
        <v>16</v>
      </c>
      <c r="B39" s="3" t="s">
        <v>27</v>
      </c>
      <c r="C39" s="3" t="str" cm="1">
        <f t="array" ref="C39">INDEX(dataTypes[VB],MATCH(LEFT(B39,3),LEFT(dataTypes[SQL],3),0))</f>
        <v>Double?</v>
      </c>
      <c r="E39" s="3"/>
      <c r="F39" s="3"/>
      <c r="G39" s="3"/>
      <c r="H39" s="3"/>
    </row>
    <row r="40" spans="1:10" x14ac:dyDescent="0.25">
      <c r="A40" s="3" t="s">
        <v>22</v>
      </c>
      <c r="B40" s="3" t="s">
        <v>28</v>
      </c>
      <c r="C40" s="3" t="str" cm="1">
        <f t="array" ref="C40">INDEX(dataTypes[VB],MATCH(LEFT(B40,3),LEFT(dataTypes[SQL],3),0))</f>
        <v>Boolean?</v>
      </c>
      <c r="E40" s="3"/>
      <c r="F40" s="3"/>
      <c r="G40" s="3"/>
      <c r="H40" s="3"/>
    </row>
    <row r="41" spans="1:10" x14ac:dyDescent="0.25">
      <c r="A41" s="3" t="s">
        <v>55</v>
      </c>
      <c r="B41" s="3" t="s">
        <v>28</v>
      </c>
      <c r="C41" s="3" t="str" cm="1">
        <f t="array" ref="C41">INDEX(dataTypes[VB],MATCH(LEFT(B41,3),LEFT(dataTypes[SQL],3),0))</f>
        <v>Boolean?</v>
      </c>
      <c r="E41" s="3"/>
      <c r="F41" s="3"/>
      <c r="G41" s="3"/>
      <c r="H41" s="3"/>
    </row>
    <row r="42" spans="1:10" x14ac:dyDescent="0.25">
      <c r="A42" s="3" t="s">
        <v>56</v>
      </c>
      <c r="B42" s="3" t="s">
        <v>28</v>
      </c>
      <c r="C42" s="3" t="str" cm="1">
        <f t="array" ref="C42">INDEX(dataTypes[VB],MATCH(LEFT(B42,3),LEFT(dataTypes[SQL],3),0))</f>
        <v>Boolean?</v>
      </c>
      <c r="E42" s="3"/>
      <c r="F42" s="3"/>
      <c r="G42" s="3"/>
      <c r="H42" s="3"/>
    </row>
    <row r="43" spans="1:10" x14ac:dyDescent="0.25">
      <c r="A43" s="3" t="s">
        <v>57</v>
      </c>
      <c r="B43" s="3" t="s">
        <v>27</v>
      </c>
      <c r="C43" s="3" t="str" cm="1">
        <f t="array" ref="C43">INDEX(dataTypes[VB],MATCH(LEFT(B43,3),LEFT(dataTypes[SQL],3),0))</f>
        <v>Double?</v>
      </c>
      <c r="E43" s="3"/>
      <c r="F43" s="3"/>
      <c r="G43" s="3"/>
      <c r="H43" s="3"/>
    </row>
    <row r="44" spans="1:10" x14ac:dyDescent="0.25">
      <c r="A44" s="3" t="s">
        <v>1</v>
      </c>
      <c r="B44" s="3" t="s">
        <v>25</v>
      </c>
      <c r="C44" s="3" t="str" cm="1">
        <f t="array" ref="C44">INDEX(dataTypes[VB],MATCH(LEFT(B44,3),LEFT(dataTypes[SQL],3),0))</f>
        <v>Double?</v>
      </c>
      <c r="E44" s="3"/>
      <c r="F44" s="3"/>
      <c r="G44" s="3"/>
      <c r="H44" s="3"/>
    </row>
    <row r="45" spans="1:10" x14ac:dyDescent="0.25">
      <c r="A45" s="3" t="s">
        <v>12</v>
      </c>
      <c r="B45" s="3" t="s">
        <v>27</v>
      </c>
      <c r="C45" s="3" t="str" cm="1">
        <f t="array" ref="C45">INDEX(dataTypes[VB],MATCH(LEFT(B45,3),LEFT(dataTypes[SQL],3),0))</f>
        <v>Double?</v>
      </c>
      <c r="E45" s="3"/>
      <c r="F45" s="3"/>
      <c r="G45" s="3"/>
      <c r="H45" s="3"/>
    </row>
    <row r="46" spans="1:10" x14ac:dyDescent="0.25">
      <c r="A46" s="3" t="s">
        <v>58</v>
      </c>
      <c r="B46" s="3" t="s">
        <v>28</v>
      </c>
      <c r="C46" s="3" t="str" cm="1">
        <f t="array" ref="C46">INDEX(dataTypes[VB],MATCH(LEFT(B46,3),LEFT(dataTypes[SQL],3),0))</f>
        <v>Boolean?</v>
      </c>
      <c r="E46" s="3"/>
      <c r="F46" s="3"/>
      <c r="G46" s="3"/>
      <c r="H46" s="3"/>
    </row>
    <row r="47" spans="1:10" x14ac:dyDescent="0.25">
      <c r="A47" s="3" t="s">
        <v>59</v>
      </c>
      <c r="B47" s="3" t="s">
        <v>28</v>
      </c>
      <c r="C47" s="3" t="str" cm="1">
        <f t="array" ref="C47">INDEX(dataTypes[VB],MATCH(LEFT(B47,3),LEFT(dataTypes[SQL],3),0))</f>
        <v>Boolean?</v>
      </c>
      <c r="E47" s="3"/>
      <c r="F47" s="3"/>
      <c r="G47" s="3"/>
      <c r="H47" s="3"/>
      <c r="J47" s="7"/>
    </row>
    <row r="48" spans="1:10" x14ac:dyDescent="0.25">
      <c r="A48" s="3" t="s">
        <v>60</v>
      </c>
      <c r="B48" s="3" t="s">
        <v>63</v>
      </c>
      <c r="C48" s="3" t="str" cm="1">
        <f t="array" ref="C48">INDEX(dataTypes[VB],MATCH(LEFT(B48,3),LEFT(dataTypes[SQL],3),0))</f>
        <v>String</v>
      </c>
      <c r="E48" s="3"/>
      <c r="F48" s="4"/>
      <c r="G48" s="4"/>
      <c r="H48" s="4"/>
      <c r="J48" s="5"/>
    </row>
    <row r="49" spans="1:10" x14ac:dyDescent="0.25">
      <c r="A49" s="3" t="s">
        <v>64</v>
      </c>
      <c r="B49" s="3" t="s">
        <v>28</v>
      </c>
      <c r="C49" s="3" t="str" cm="1">
        <f t="array" ref="C49">INDEX(dataTypes[VB],MATCH(LEFT(B49,3),LEFT(dataTypes[SQL],3),0))</f>
        <v>Boolean?</v>
      </c>
      <c r="E49" s="3"/>
      <c r="F49" s="4"/>
      <c r="G49" s="4"/>
      <c r="H49" s="4"/>
    </row>
    <row r="50" spans="1:10" x14ac:dyDescent="0.25">
      <c r="A50" s="3" t="s">
        <v>65</v>
      </c>
      <c r="B50" s="3" t="s">
        <v>23</v>
      </c>
      <c r="C50" s="3" t="str" cm="1">
        <f t="array" ref="C50">INDEX(dataTypes[VB],MATCH(LEFT(B50,3),LEFT(dataTypes[SQL],3),0))</f>
        <v>Integer?</v>
      </c>
      <c r="E50" s="3"/>
      <c r="F50" s="4"/>
      <c r="G50" s="4"/>
      <c r="H50" s="4"/>
    </row>
    <row r="51" spans="1:10" x14ac:dyDescent="0.25">
      <c r="A51" s="3" t="s">
        <v>66</v>
      </c>
      <c r="B51" s="3" t="s">
        <v>68</v>
      </c>
      <c r="C51" s="3" t="str" cm="1">
        <f t="array" ref="C51">INDEX(dataTypes[VB],MATCH(LEFT(B51,3),LEFT(dataTypes[SQL],3),0))</f>
        <v>Datetime?</v>
      </c>
      <c r="E51" s="3"/>
      <c r="F51" s="4"/>
      <c r="G51" s="4"/>
      <c r="H51" s="4"/>
    </row>
    <row r="52" spans="1:10" x14ac:dyDescent="0.25">
      <c r="A52" s="3" t="s">
        <v>67</v>
      </c>
      <c r="B52" s="3" t="s">
        <v>68</v>
      </c>
      <c r="C52" s="3" t="str" cm="1">
        <f t="array" ref="C52">INDEX(dataTypes[VB],MATCH(LEFT(B52,3),LEFT(dataTypes[SQL],3),0))</f>
        <v>Datetime?</v>
      </c>
      <c r="E52" s="3"/>
      <c r="F52" s="3"/>
      <c r="G52" s="3"/>
      <c r="H52" s="3"/>
    </row>
    <row r="53" spans="1:10" x14ac:dyDescent="0.25">
      <c r="A53" s="3"/>
      <c r="B53" s="3"/>
      <c r="C53" s="3"/>
      <c r="E53" s="3"/>
      <c r="F53" s="3"/>
      <c r="G53" s="3"/>
      <c r="H53" s="3"/>
    </row>
    <row r="54" spans="1:10" x14ac:dyDescent="0.25">
      <c r="A54" s="3"/>
      <c r="B54" s="3"/>
      <c r="C54" s="3"/>
      <c r="E54" s="3"/>
      <c r="F54" s="3"/>
      <c r="G54" s="3"/>
      <c r="H54" s="3"/>
      <c r="J54" s="7"/>
    </row>
    <row r="55" spans="1:10" x14ac:dyDescent="0.25">
      <c r="A55" s="3"/>
      <c r="B55" s="3"/>
      <c r="C55" s="3"/>
      <c r="E55" s="3"/>
      <c r="F55" s="3"/>
      <c r="G55" s="3"/>
      <c r="H55" s="3"/>
    </row>
    <row r="56" spans="1:10" x14ac:dyDescent="0.25">
      <c r="A56" s="3"/>
      <c r="B56" s="3"/>
      <c r="C56" s="3"/>
      <c r="E56" s="3"/>
      <c r="F56" s="3"/>
      <c r="G56" s="3"/>
      <c r="H56" s="3"/>
      <c r="J56" s="5"/>
    </row>
    <row r="57" spans="1:10" x14ac:dyDescent="0.25">
      <c r="A57" s="3"/>
      <c r="B57" s="3"/>
      <c r="C57" s="3"/>
      <c r="E57" s="3"/>
      <c r="F57" s="3"/>
      <c r="G57" s="3"/>
      <c r="H57" s="3"/>
    </row>
    <row r="58" spans="1:10" x14ac:dyDescent="0.25">
      <c r="A58" s="3"/>
      <c r="B58" s="3"/>
      <c r="C58" s="3"/>
      <c r="E58" s="3"/>
      <c r="F58" s="3"/>
      <c r="G58" s="3"/>
      <c r="H58" s="3"/>
    </row>
    <row r="59" spans="1:10" x14ac:dyDescent="0.25">
      <c r="A59" s="3"/>
      <c r="B59" s="3"/>
      <c r="C59" s="3"/>
      <c r="E59" s="3"/>
      <c r="F59" s="3"/>
      <c r="G59" s="3"/>
      <c r="H59" s="3"/>
    </row>
    <row r="60" spans="1:10" x14ac:dyDescent="0.25">
      <c r="A60" s="8"/>
      <c r="B60" s="3"/>
      <c r="C60" s="3"/>
      <c r="E60" s="8"/>
      <c r="G60" s="8"/>
      <c r="H60" s="8"/>
    </row>
  </sheetData>
  <phoneticPr fontId="3" type="noConversion"/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07D662DD72E34886A106F51B98EE9F" ma:contentTypeVersion="11" ma:contentTypeDescription="Create a new document." ma:contentTypeScope="" ma:versionID="a352dd59fee44fe2ed3189a6a571d7f4">
  <xsd:schema xmlns:xsd="http://www.w3.org/2001/XMLSchema" xmlns:xs="http://www.w3.org/2001/XMLSchema" xmlns:p="http://schemas.microsoft.com/office/2006/metadata/properties" xmlns:ns2="97c4c6ea-159e-4ce9-9920-7115b0ac4195" xmlns:ns3="1d11e471-79d0-4010-bb36-4b0f87abfbea" targetNamespace="http://schemas.microsoft.com/office/2006/metadata/properties" ma:root="true" ma:fieldsID="c5a614fc98a01841784f9ae5fa839eb0" ns2:_="" ns3:_="">
    <xsd:import namespace="97c4c6ea-159e-4ce9-9920-7115b0ac4195"/>
    <xsd:import namespace="1d11e471-79d0-4010-bb36-4b0f87abfbe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c4c6ea-159e-4ce9-9920-7115b0ac41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1e471-79d0-4010-bb36-4b0f87abfbe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434D8CA-7566-4356-BB95-6B20584AA098}">
  <ds:schemaRefs>
    <ds:schemaRef ds:uri="http://purl.org/dc/terms/"/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a1586a58-17e8-4c7c-9975-1b38036f20e0"/>
    <ds:schemaRef ds:uri="101ab57f-f4ee-4c1a-b19c-8c6c363b17ee"/>
  </ds:schemaRefs>
</ds:datastoreItem>
</file>

<file path=customXml/itemProps2.xml><?xml version="1.0" encoding="utf-8"?>
<ds:datastoreItem xmlns:ds="http://schemas.openxmlformats.org/officeDocument/2006/customXml" ds:itemID="{DF4C1DFB-D3EF-4D53-827F-A258FD23E14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5613117-ED98-42AA-8969-EA82522FFA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7c4c6ea-159e-4ce9-9920-7115b0ac4195"/>
    <ds:schemaRef ds:uri="1d11e471-79d0-4010-bb36-4b0f87abfb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creating tool classes</vt:lpstr>
      <vt:lpstr>reference</vt:lpstr>
      <vt:lpstr>code</vt:lpstr>
      <vt:lpstr>Pier and Pad</vt:lpstr>
      <vt:lpstr>code!sheetName</vt:lpstr>
      <vt:lpstr>sheetNames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Hall, Chris</dc:creator>
  <cp:lastModifiedBy>Smilowitz, Daniel</cp:lastModifiedBy>
  <dcterms:created xsi:type="dcterms:W3CDTF">2021-04-23T19:35:54Z</dcterms:created>
  <dcterms:modified xsi:type="dcterms:W3CDTF">2022-04-08T15:24:40Z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0x0101004907D662DD72E34886A106F51B98EE9F</vt:lpwstr>
  </property>
</Properties>
</file>
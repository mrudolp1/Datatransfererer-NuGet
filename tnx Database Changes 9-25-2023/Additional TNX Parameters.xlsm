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miller\source\repos\Datatransferer NuGet\tnx Database Changes 9-25-2023\"/>
    </mc:Choice>
  </mc:AlternateContent>
  <xr:revisionPtr revIDLastSave="0" documentId="13_ncr:1_{F336362B-9BD2-45C6-A81B-992B26638AD7}" xr6:coauthVersionLast="47" xr6:coauthVersionMax="47" xr10:uidLastSave="{00000000-0000-0000-0000-000000000000}"/>
  <bookViews>
    <workbookView xWindow="-120" yWindow="-120" windowWidth="29040" windowHeight="15990" firstSheet="1" activeTab="6" xr2:uid="{19B0ADA0-3AF6-49AC-954C-9755C1FD2A53}"/>
  </bookViews>
  <sheets>
    <sheet name="Base" sheetId="1" r:id="rId1"/>
    <sheet name="Base 2" sheetId="3" r:id="rId2"/>
    <sheet name="Upper" sheetId="2" r:id="rId3"/>
    <sheet name="Upper 2" sheetId="5" r:id="rId4"/>
    <sheet name="Sheet4" sheetId="4" r:id="rId5"/>
    <sheet name="Base Calculated" sheetId="6" r:id="rId6"/>
    <sheet name="Sheet2" sheetId="11" r:id="rId7"/>
    <sheet name="Upper Calculated" sheetId="9" r:id="rId8"/>
    <sheet name="Sheet1" sheetId="10" r:id="rId9"/>
    <sheet name="Sheet8" sheetId="8" r:id="rId10"/>
    <sheet name="Sheet3" sheetId="12" r:id="rId11"/>
  </sheets>
  <functionGroups builtInGroupCount="19"/>
  <definedNames>
    <definedName name="_xlnm._FilterDatabase" localSheetId="0" hidden="1">Base!$E$3:$I$418</definedName>
    <definedName name="_xlnm._FilterDatabase" localSheetId="6" hidden="1">Sheet2!$A$1:$M$1700</definedName>
    <definedName name="_xlnm._FilterDatabase" localSheetId="2" hidden="1">Upper!$E$3:$H$418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87" i="12" l="1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386" i="12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M461" i="11"/>
  <c r="M462" i="11"/>
  <c r="M463" i="11"/>
  <c r="M464" i="11"/>
  <c r="M465" i="11"/>
  <c r="M466" i="11"/>
  <c r="M467" i="11"/>
  <c r="M468" i="11"/>
  <c r="M469" i="11"/>
  <c r="M470" i="11"/>
  <c r="M471" i="11"/>
  <c r="M472" i="11"/>
  <c r="M473" i="11"/>
  <c r="M474" i="11"/>
  <c r="M475" i="11"/>
  <c r="M476" i="11"/>
  <c r="M477" i="11"/>
  <c r="M478" i="11"/>
  <c r="M479" i="11"/>
  <c r="M480" i="11"/>
  <c r="M481" i="11"/>
  <c r="M482" i="11"/>
  <c r="M483" i="11"/>
  <c r="M484" i="11"/>
  <c r="M485" i="11"/>
  <c r="M486" i="11"/>
  <c r="M487" i="11"/>
  <c r="M488" i="11"/>
  <c r="M489" i="11"/>
  <c r="M490" i="11"/>
  <c r="M491" i="11"/>
  <c r="M492" i="11"/>
  <c r="M493" i="11"/>
  <c r="M494" i="11"/>
  <c r="M495" i="11"/>
  <c r="M496" i="11"/>
  <c r="M497" i="11"/>
  <c r="M498" i="11"/>
  <c r="M499" i="11"/>
  <c r="M500" i="11"/>
  <c r="M501" i="11"/>
  <c r="M502" i="11"/>
  <c r="M503" i="11"/>
  <c r="M504" i="11"/>
  <c r="M505" i="11"/>
  <c r="M506" i="11"/>
  <c r="M507" i="11"/>
  <c r="M508" i="11"/>
  <c r="M509" i="11"/>
  <c r="M510" i="11"/>
  <c r="M511" i="11"/>
  <c r="M512" i="11"/>
  <c r="M513" i="11"/>
  <c r="M514" i="11"/>
  <c r="M515" i="11"/>
  <c r="M516" i="11"/>
  <c r="M517" i="11"/>
  <c r="M518" i="11"/>
  <c r="M519" i="11"/>
  <c r="M520" i="11"/>
  <c r="M521" i="11"/>
  <c r="M522" i="11"/>
  <c r="M523" i="11"/>
  <c r="M524" i="11"/>
  <c r="M525" i="11"/>
  <c r="M526" i="11"/>
  <c r="M527" i="11"/>
  <c r="M528" i="11"/>
  <c r="M529" i="11"/>
  <c r="M530" i="11"/>
  <c r="M531" i="11"/>
  <c r="M532" i="11"/>
  <c r="M533" i="11"/>
  <c r="M534" i="11"/>
  <c r="M535" i="11"/>
  <c r="M536" i="11"/>
  <c r="M537" i="11"/>
  <c r="M538" i="11"/>
  <c r="M539" i="11"/>
  <c r="M540" i="11"/>
  <c r="M541" i="11"/>
  <c r="M542" i="11"/>
  <c r="M543" i="11"/>
  <c r="M544" i="11"/>
  <c r="M545" i="11"/>
  <c r="M546" i="11"/>
  <c r="M547" i="11"/>
  <c r="M548" i="11"/>
  <c r="M549" i="11"/>
  <c r="M550" i="11"/>
  <c r="M551" i="11"/>
  <c r="M552" i="11"/>
  <c r="M553" i="11"/>
  <c r="M554" i="11"/>
  <c r="M555" i="11"/>
  <c r="M556" i="11"/>
  <c r="M557" i="11"/>
  <c r="M558" i="11"/>
  <c r="M559" i="11"/>
  <c r="M560" i="11"/>
  <c r="M561" i="11"/>
  <c r="M562" i="11"/>
  <c r="M563" i="11"/>
  <c r="M564" i="11"/>
  <c r="M565" i="11"/>
  <c r="M566" i="11"/>
  <c r="M567" i="11"/>
  <c r="M568" i="11"/>
  <c r="M569" i="11"/>
  <c r="M570" i="11"/>
  <c r="M571" i="11"/>
  <c r="M572" i="11"/>
  <c r="M573" i="11"/>
  <c r="M574" i="11"/>
  <c r="M575" i="11"/>
  <c r="M576" i="11"/>
  <c r="M577" i="11"/>
  <c r="M578" i="11"/>
  <c r="M579" i="11"/>
  <c r="M580" i="11"/>
  <c r="M581" i="11"/>
  <c r="M582" i="11"/>
  <c r="M583" i="11"/>
  <c r="M584" i="11"/>
  <c r="M585" i="11"/>
  <c r="M586" i="11"/>
  <c r="M587" i="11"/>
  <c r="M588" i="11"/>
  <c r="M589" i="11"/>
  <c r="M590" i="11"/>
  <c r="M591" i="11"/>
  <c r="M592" i="11"/>
  <c r="M593" i="11"/>
  <c r="M594" i="11"/>
  <c r="M595" i="11"/>
  <c r="M596" i="11"/>
  <c r="M597" i="11"/>
  <c r="M598" i="11"/>
  <c r="M599" i="11"/>
  <c r="M600" i="11"/>
  <c r="M601" i="11"/>
  <c r="M602" i="11"/>
  <c r="M603" i="11"/>
  <c r="M604" i="11"/>
  <c r="M605" i="11"/>
  <c r="M606" i="11"/>
  <c r="M607" i="11"/>
  <c r="M608" i="11"/>
  <c r="M609" i="11"/>
  <c r="M610" i="11"/>
  <c r="M611" i="11"/>
  <c r="M612" i="11"/>
  <c r="M613" i="11"/>
  <c r="M614" i="11"/>
  <c r="M615" i="11"/>
  <c r="M616" i="11"/>
  <c r="M617" i="11"/>
  <c r="M618" i="11"/>
  <c r="M619" i="11"/>
  <c r="M620" i="11"/>
  <c r="M621" i="11"/>
  <c r="M622" i="11"/>
  <c r="M623" i="11"/>
  <c r="M624" i="11"/>
  <c r="M625" i="11"/>
  <c r="M626" i="11"/>
  <c r="M627" i="11"/>
  <c r="M628" i="11"/>
  <c r="M629" i="11"/>
  <c r="M630" i="11"/>
  <c r="M631" i="11"/>
  <c r="M632" i="11"/>
  <c r="M633" i="11"/>
  <c r="M634" i="11"/>
  <c r="M635" i="11"/>
  <c r="M636" i="11"/>
  <c r="M637" i="11"/>
  <c r="M638" i="11"/>
  <c r="M639" i="11"/>
  <c r="M640" i="11"/>
  <c r="M641" i="11"/>
  <c r="M642" i="11"/>
  <c r="M643" i="11"/>
  <c r="M644" i="11"/>
  <c r="M645" i="11"/>
  <c r="M646" i="11"/>
  <c r="M647" i="11"/>
  <c r="M648" i="11"/>
  <c r="M649" i="11"/>
  <c r="M650" i="11"/>
  <c r="M651" i="11"/>
  <c r="M652" i="11"/>
  <c r="M653" i="11"/>
  <c r="M654" i="11"/>
  <c r="M655" i="11"/>
  <c r="M656" i="11"/>
  <c r="M657" i="11"/>
  <c r="M658" i="11"/>
  <c r="M659" i="11"/>
  <c r="M660" i="11"/>
  <c r="M661" i="11"/>
  <c r="M662" i="11"/>
  <c r="M663" i="11"/>
  <c r="M664" i="11"/>
  <c r="M665" i="11"/>
  <c r="M666" i="11"/>
  <c r="M667" i="11"/>
  <c r="M668" i="11"/>
  <c r="M669" i="11"/>
  <c r="M670" i="11"/>
  <c r="M671" i="11"/>
  <c r="M672" i="11"/>
  <c r="M673" i="11"/>
  <c r="M674" i="11"/>
  <c r="M675" i="11"/>
  <c r="M676" i="11"/>
  <c r="M677" i="11"/>
  <c r="M678" i="11"/>
  <c r="M679" i="11"/>
  <c r="M680" i="11"/>
  <c r="M681" i="11"/>
  <c r="M682" i="11"/>
  <c r="M683" i="11"/>
  <c r="M684" i="11"/>
  <c r="M685" i="11"/>
  <c r="M686" i="11"/>
  <c r="M687" i="11"/>
  <c r="M688" i="11"/>
  <c r="M689" i="11"/>
  <c r="M690" i="11"/>
  <c r="M691" i="11"/>
  <c r="M692" i="11"/>
  <c r="M693" i="11"/>
  <c r="M694" i="11"/>
  <c r="M695" i="11"/>
  <c r="M696" i="11"/>
  <c r="M697" i="11"/>
  <c r="M698" i="11"/>
  <c r="M699" i="11"/>
  <c r="M700" i="11"/>
  <c r="M701" i="11"/>
  <c r="M702" i="11"/>
  <c r="M703" i="11"/>
  <c r="M704" i="11"/>
  <c r="M705" i="11"/>
  <c r="M706" i="11"/>
  <c r="M707" i="11"/>
  <c r="M708" i="11"/>
  <c r="M709" i="11"/>
  <c r="M710" i="11"/>
  <c r="M711" i="11"/>
  <c r="M712" i="11"/>
  <c r="M713" i="11"/>
  <c r="M714" i="11"/>
  <c r="M715" i="11"/>
  <c r="M716" i="11"/>
  <c r="M717" i="11"/>
  <c r="M718" i="11"/>
  <c r="M719" i="11"/>
  <c r="M720" i="11"/>
  <c r="M721" i="11"/>
  <c r="M722" i="11"/>
  <c r="M723" i="11"/>
  <c r="M724" i="11"/>
  <c r="M725" i="11"/>
  <c r="M726" i="11"/>
  <c r="M727" i="11"/>
  <c r="M728" i="11"/>
  <c r="M729" i="11"/>
  <c r="M730" i="11"/>
  <c r="M731" i="11"/>
  <c r="M732" i="11"/>
  <c r="M733" i="11"/>
  <c r="M734" i="11"/>
  <c r="M735" i="11"/>
  <c r="M736" i="11"/>
  <c r="M737" i="11"/>
  <c r="M738" i="11"/>
  <c r="M739" i="11"/>
  <c r="M740" i="11"/>
  <c r="M741" i="11"/>
  <c r="M742" i="11"/>
  <c r="M743" i="11"/>
  <c r="M744" i="11"/>
  <c r="M745" i="11"/>
  <c r="M746" i="11"/>
  <c r="M747" i="11"/>
  <c r="M748" i="11"/>
  <c r="M749" i="11"/>
  <c r="M750" i="11"/>
  <c r="M751" i="11"/>
  <c r="M752" i="11"/>
  <c r="M753" i="11"/>
  <c r="M754" i="11"/>
  <c r="M755" i="11"/>
  <c r="M756" i="11"/>
  <c r="M757" i="11"/>
  <c r="M758" i="11"/>
  <c r="M759" i="11"/>
  <c r="M760" i="11"/>
  <c r="M761" i="11"/>
  <c r="M762" i="11"/>
  <c r="M763" i="11"/>
  <c r="M764" i="11"/>
  <c r="M765" i="11"/>
  <c r="M766" i="11"/>
  <c r="M767" i="11"/>
  <c r="M768" i="11"/>
  <c r="M769" i="11"/>
  <c r="M770" i="11"/>
  <c r="M771" i="11"/>
  <c r="M772" i="11"/>
  <c r="M773" i="11"/>
  <c r="M774" i="11"/>
  <c r="M775" i="11"/>
  <c r="M776" i="11"/>
  <c r="M777" i="11"/>
  <c r="M778" i="11"/>
  <c r="M779" i="11"/>
  <c r="M780" i="11"/>
  <c r="M781" i="11"/>
  <c r="M782" i="11"/>
  <c r="M783" i="11"/>
  <c r="M784" i="11"/>
  <c r="M785" i="11"/>
  <c r="M786" i="11"/>
  <c r="M787" i="11"/>
  <c r="M788" i="11"/>
  <c r="M789" i="11"/>
  <c r="M790" i="11"/>
  <c r="M791" i="11"/>
  <c r="M792" i="11"/>
  <c r="M793" i="11"/>
  <c r="M794" i="11"/>
  <c r="M795" i="11"/>
  <c r="M796" i="11"/>
  <c r="M797" i="11"/>
  <c r="M798" i="11"/>
  <c r="M799" i="11"/>
  <c r="M800" i="11"/>
  <c r="M801" i="11"/>
  <c r="M802" i="11"/>
  <c r="M803" i="11"/>
  <c r="M804" i="11"/>
  <c r="M805" i="11"/>
  <c r="M806" i="11"/>
  <c r="M807" i="11"/>
  <c r="M808" i="11"/>
  <c r="M809" i="11"/>
  <c r="M810" i="11"/>
  <c r="M811" i="11"/>
  <c r="M812" i="11"/>
  <c r="M813" i="11"/>
  <c r="M814" i="11"/>
  <c r="M815" i="11"/>
  <c r="M816" i="11"/>
  <c r="M817" i="11"/>
  <c r="M818" i="11"/>
  <c r="M819" i="11"/>
  <c r="M820" i="11"/>
  <c r="M821" i="11"/>
  <c r="M822" i="11"/>
  <c r="M823" i="11"/>
  <c r="M824" i="11"/>
  <c r="M825" i="11"/>
  <c r="M826" i="11"/>
  <c r="M827" i="11"/>
  <c r="M828" i="11"/>
  <c r="M829" i="11"/>
  <c r="M830" i="11"/>
  <c r="M831" i="11"/>
  <c r="M832" i="11"/>
  <c r="M833" i="11"/>
  <c r="M834" i="11"/>
  <c r="M835" i="11"/>
  <c r="M836" i="11"/>
  <c r="M837" i="11"/>
  <c r="M838" i="11"/>
  <c r="M839" i="11"/>
  <c r="M840" i="11"/>
  <c r="M841" i="11"/>
  <c r="M842" i="11"/>
  <c r="M843" i="11"/>
  <c r="M844" i="11"/>
  <c r="M845" i="11"/>
  <c r="M846" i="11"/>
  <c r="M847" i="11"/>
  <c r="M848" i="11"/>
  <c r="M849" i="11"/>
  <c r="M850" i="11"/>
  <c r="M851" i="11"/>
  <c r="M852" i="11"/>
  <c r="M853" i="11"/>
  <c r="M854" i="11"/>
  <c r="M855" i="11"/>
  <c r="M856" i="11"/>
  <c r="M857" i="11"/>
  <c r="M858" i="11"/>
  <c r="M859" i="11"/>
  <c r="M860" i="11"/>
  <c r="M861" i="11"/>
  <c r="M862" i="11"/>
  <c r="M863" i="11"/>
  <c r="M864" i="11"/>
  <c r="M865" i="11"/>
  <c r="M866" i="11"/>
  <c r="M867" i="11"/>
  <c r="M868" i="11"/>
  <c r="M869" i="11"/>
  <c r="M870" i="11"/>
  <c r="M871" i="11"/>
  <c r="M872" i="11"/>
  <c r="M873" i="11"/>
  <c r="M874" i="11"/>
  <c r="M875" i="11"/>
  <c r="M876" i="11"/>
  <c r="M877" i="11"/>
  <c r="M878" i="11"/>
  <c r="M879" i="11"/>
  <c r="M880" i="11"/>
  <c r="M881" i="11"/>
  <c r="M882" i="11"/>
  <c r="M883" i="11"/>
  <c r="M884" i="11"/>
  <c r="M885" i="11"/>
  <c r="M886" i="11"/>
  <c r="M887" i="11"/>
  <c r="M888" i="11"/>
  <c r="M889" i="11"/>
  <c r="M890" i="11"/>
  <c r="M891" i="11"/>
  <c r="M892" i="11"/>
  <c r="M893" i="11"/>
  <c r="M894" i="11"/>
  <c r="M895" i="11"/>
  <c r="M896" i="11"/>
  <c r="M897" i="11"/>
  <c r="M898" i="11"/>
  <c r="M899" i="11"/>
  <c r="M900" i="11"/>
  <c r="M901" i="11"/>
  <c r="M902" i="11"/>
  <c r="M903" i="11"/>
  <c r="M904" i="11"/>
  <c r="M905" i="11"/>
  <c r="M906" i="11"/>
  <c r="M907" i="11"/>
  <c r="M908" i="11"/>
  <c r="M909" i="11"/>
  <c r="M910" i="11"/>
  <c r="M911" i="11"/>
  <c r="M912" i="11"/>
  <c r="M913" i="11"/>
  <c r="M914" i="11"/>
  <c r="M915" i="11"/>
  <c r="M916" i="11"/>
  <c r="M917" i="11"/>
  <c r="M918" i="11"/>
  <c r="M919" i="11"/>
  <c r="M920" i="11"/>
  <c r="M921" i="11"/>
  <c r="M922" i="11"/>
  <c r="M923" i="11"/>
  <c r="M924" i="11"/>
  <c r="M925" i="11"/>
  <c r="M926" i="11"/>
  <c r="M927" i="11"/>
  <c r="M928" i="11"/>
  <c r="M929" i="11"/>
  <c r="M930" i="11"/>
  <c r="M931" i="11"/>
  <c r="M932" i="11"/>
  <c r="M933" i="11"/>
  <c r="M934" i="11"/>
  <c r="M935" i="11"/>
  <c r="M936" i="11"/>
  <c r="M937" i="11"/>
  <c r="M938" i="11"/>
  <c r="M939" i="11"/>
  <c r="M940" i="11"/>
  <c r="M941" i="11"/>
  <c r="M942" i="11"/>
  <c r="M943" i="11"/>
  <c r="M944" i="11"/>
  <c r="M945" i="11"/>
  <c r="M946" i="11"/>
  <c r="M947" i="11"/>
  <c r="M948" i="11"/>
  <c r="M949" i="11"/>
  <c r="M950" i="11"/>
  <c r="M951" i="11"/>
  <c r="M952" i="11"/>
  <c r="M953" i="11"/>
  <c r="M954" i="11"/>
  <c r="M955" i="11"/>
  <c r="M956" i="11"/>
  <c r="M957" i="11"/>
  <c r="M958" i="11"/>
  <c r="M959" i="11"/>
  <c r="M960" i="11"/>
  <c r="M961" i="11"/>
  <c r="M962" i="11"/>
  <c r="M963" i="11"/>
  <c r="M964" i="11"/>
  <c r="M965" i="11"/>
  <c r="M966" i="11"/>
  <c r="M967" i="11"/>
  <c r="M968" i="11"/>
  <c r="M969" i="11"/>
  <c r="M970" i="11"/>
  <c r="M971" i="11"/>
  <c r="M972" i="11"/>
  <c r="M973" i="11"/>
  <c r="M974" i="11"/>
  <c r="M975" i="11"/>
  <c r="M976" i="11"/>
  <c r="M977" i="11"/>
  <c r="M978" i="11"/>
  <c r="M979" i="11"/>
  <c r="M980" i="11"/>
  <c r="M981" i="11"/>
  <c r="M982" i="11"/>
  <c r="M983" i="11"/>
  <c r="M984" i="11"/>
  <c r="M985" i="11"/>
  <c r="M986" i="11"/>
  <c r="M987" i="11"/>
  <c r="M988" i="11"/>
  <c r="M989" i="11"/>
  <c r="M990" i="11"/>
  <c r="M991" i="11"/>
  <c r="M992" i="11"/>
  <c r="M993" i="11"/>
  <c r="M994" i="11"/>
  <c r="M995" i="11"/>
  <c r="M996" i="11"/>
  <c r="M997" i="11"/>
  <c r="M998" i="11"/>
  <c r="M999" i="11"/>
  <c r="M1000" i="11"/>
  <c r="M1001" i="11"/>
  <c r="M1002" i="11"/>
  <c r="M1003" i="11"/>
  <c r="M1004" i="11"/>
  <c r="M1005" i="11"/>
  <c r="M1006" i="11"/>
  <c r="M1007" i="11"/>
  <c r="M1008" i="11"/>
  <c r="M1009" i="11"/>
  <c r="M1010" i="11"/>
  <c r="M1011" i="11"/>
  <c r="M1012" i="11"/>
  <c r="M1013" i="11"/>
  <c r="M1014" i="11"/>
  <c r="M1015" i="11"/>
  <c r="M1016" i="11"/>
  <c r="M1017" i="11"/>
  <c r="M1018" i="11"/>
  <c r="M1019" i="11"/>
  <c r="M1020" i="11"/>
  <c r="M1021" i="11"/>
  <c r="M1022" i="11"/>
  <c r="M1023" i="11"/>
  <c r="M1024" i="11"/>
  <c r="M1025" i="11"/>
  <c r="M1026" i="11"/>
  <c r="M1027" i="11"/>
  <c r="M1028" i="11"/>
  <c r="M1029" i="11"/>
  <c r="M1030" i="11"/>
  <c r="M1031" i="11"/>
  <c r="M1032" i="11"/>
  <c r="M1033" i="11"/>
  <c r="M1034" i="11"/>
  <c r="M1035" i="11"/>
  <c r="M1036" i="11"/>
  <c r="M1037" i="11"/>
  <c r="M1038" i="11"/>
  <c r="M1039" i="11"/>
  <c r="M1040" i="11"/>
  <c r="M1041" i="11"/>
  <c r="M1042" i="11"/>
  <c r="M1043" i="11"/>
  <c r="M1044" i="11"/>
  <c r="M1045" i="11"/>
  <c r="M1046" i="11"/>
  <c r="M1047" i="11"/>
  <c r="M1048" i="11"/>
  <c r="M1049" i="11"/>
  <c r="M1050" i="11"/>
  <c r="M1051" i="11"/>
  <c r="M1052" i="11"/>
  <c r="M1053" i="11"/>
  <c r="M1054" i="11"/>
  <c r="M1055" i="11"/>
  <c r="M1056" i="11"/>
  <c r="M1057" i="11"/>
  <c r="M1058" i="11"/>
  <c r="M1059" i="11"/>
  <c r="M1060" i="11"/>
  <c r="M1061" i="11"/>
  <c r="M1062" i="11"/>
  <c r="M1063" i="11"/>
  <c r="M1064" i="11"/>
  <c r="M1065" i="11"/>
  <c r="M1066" i="11"/>
  <c r="M1067" i="11"/>
  <c r="M1068" i="11"/>
  <c r="M1069" i="11"/>
  <c r="M1070" i="11"/>
  <c r="M1071" i="11"/>
  <c r="M1072" i="11"/>
  <c r="M1073" i="11"/>
  <c r="M1074" i="11"/>
  <c r="M1075" i="11"/>
  <c r="M1076" i="11"/>
  <c r="M1077" i="11"/>
  <c r="M1078" i="11"/>
  <c r="M1079" i="11"/>
  <c r="M1080" i="11"/>
  <c r="M1081" i="11"/>
  <c r="M1082" i="11"/>
  <c r="M1083" i="11"/>
  <c r="M1084" i="11"/>
  <c r="M1085" i="11"/>
  <c r="M1086" i="11"/>
  <c r="M1087" i="11"/>
  <c r="M1088" i="11"/>
  <c r="M1089" i="11"/>
  <c r="M1090" i="11"/>
  <c r="M1091" i="11"/>
  <c r="M1092" i="11"/>
  <c r="M1093" i="11"/>
  <c r="M1094" i="11"/>
  <c r="M1095" i="11"/>
  <c r="M1096" i="11"/>
  <c r="M1097" i="11"/>
  <c r="M1098" i="11"/>
  <c r="M1099" i="11"/>
  <c r="M1100" i="11"/>
  <c r="M1101" i="11"/>
  <c r="M1102" i="11"/>
  <c r="M1103" i="11"/>
  <c r="M1104" i="11"/>
  <c r="M1105" i="11"/>
  <c r="M1106" i="11"/>
  <c r="M1107" i="11"/>
  <c r="M1108" i="11"/>
  <c r="M1109" i="11"/>
  <c r="M1110" i="11"/>
  <c r="M1111" i="11"/>
  <c r="M1112" i="11"/>
  <c r="M1113" i="11"/>
  <c r="M1114" i="11"/>
  <c r="M1115" i="11"/>
  <c r="M1116" i="11"/>
  <c r="M1117" i="11"/>
  <c r="M1118" i="11"/>
  <c r="M1119" i="11"/>
  <c r="M1120" i="11"/>
  <c r="M1121" i="11"/>
  <c r="M1122" i="11"/>
  <c r="M1123" i="11"/>
  <c r="M1124" i="11"/>
  <c r="M1125" i="11"/>
  <c r="M1126" i="11"/>
  <c r="M1127" i="11"/>
  <c r="M1128" i="11"/>
  <c r="M1129" i="11"/>
  <c r="M1130" i="11"/>
  <c r="M1131" i="11"/>
  <c r="M1132" i="11"/>
  <c r="M1133" i="11"/>
  <c r="M1134" i="11"/>
  <c r="M1135" i="11"/>
  <c r="M1136" i="11"/>
  <c r="M1137" i="11"/>
  <c r="M1138" i="11"/>
  <c r="M1139" i="11"/>
  <c r="M1140" i="11"/>
  <c r="M1141" i="11"/>
  <c r="M1142" i="11"/>
  <c r="M1143" i="11"/>
  <c r="M1144" i="11"/>
  <c r="M1145" i="11"/>
  <c r="M1146" i="11"/>
  <c r="M1147" i="11"/>
  <c r="M1148" i="11"/>
  <c r="M1149" i="11"/>
  <c r="M1150" i="11"/>
  <c r="M1151" i="11"/>
  <c r="M1152" i="11"/>
  <c r="M1153" i="11"/>
  <c r="M1154" i="11"/>
  <c r="M1155" i="11"/>
  <c r="M1156" i="11"/>
  <c r="M1157" i="11"/>
  <c r="M1158" i="11"/>
  <c r="M1159" i="11"/>
  <c r="M1160" i="11"/>
  <c r="M1161" i="11"/>
  <c r="M1162" i="11"/>
  <c r="M1163" i="11"/>
  <c r="M1164" i="11"/>
  <c r="M1165" i="11"/>
  <c r="M1166" i="11"/>
  <c r="M1167" i="11"/>
  <c r="M1168" i="11"/>
  <c r="M1169" i="11"/>
  <c r="M1170" i="11"/>
  <c r="M1171" i="11"/>
  <c r="M1172" i="11"/>
  <c r="M1173" i="11"/>
  <c r="M1174" i="11"/>
  <c r="M1175" i="11"/>
  <c r="M1176" i="11"/>
  <c r="M1177" i="11"/>
  <c r="M1178" i="11"/>
  <c r="M1179" i="11"/>
  <c r="M1180" i="11"/>
  <c r="M1181" i="11"/>
  <c r="M1182" i="11"/>
  <c r="M1183" i="11"/>
  <c r="M1184" i="11"/>
  <c r="M1185" i="11"/>
  <c r="M1186" i="11"/>
  <c r="M1187" i="11"/>
  <c r="M1188" i="11"/>
  <c r="M1189" i="11"/>
  <c r="M1190" i="11"/>
  <c r="M1191" i="11"/>
  <c r="M1192" i="11"/>
  <c r="M1193" i="11"/>
  <c r="M1194" i="11"/>
  <c r="M1195" i="11"/>
  <c r="M1196" i="11"/>
  <c r="M1197" i="11"/>
  <c r="M1198" i="11"/>
  <c r="M1199" i="11"/>
  <c r="M1200" i="11"/>
  <c r="M1201" i="11"/>
  <c r="M1202" i="11"/>
  <c r="M1203" i="11"/>
  <c r="M1204" i="11"/>
  <c r="M1205" i="11"/>
  <c r="M1206" i="11"/>
  <c r="M1207" i="11"/>
  <c r="M1208" i="11"/>
  <c r="M1209" i="11"/>
  <c r="M1210" i="11"/>
  <c r="M1211" i="11"/>
  <c r="M1212" i="11"/>
  <c r="M1213" i="11"/>
  <c r="M1214" i="11"/>
  <c r="M1215" i="11"/>
  <c r="M1216" i="11"/>
  <c r="M1217" i="11"/>
  <c r="M1218" i="11"/>
  <c r="M1219" i="11"/>
  <c r="M1220" i="11"/>
  <c r="M1221" i="11"/>
  <c r="M1222" i="11"/>
  <c r="M1223" i="11"/>
  <c r="M1224" i="11"/>
  <c r="M1225" i="11"/>
  <c r="M1226" i="11"/>
  <c r="M1227" i="11"/>
  <c r="M1228" i="11"/>
  <c r="M1229" i="11"/>
  <c r="M1230" i="11"/>
  <c r="M1231" i="11"/>
  <c r="M1232" i="11"/>
  <c r="M1233" i="11"/>
  <c r="M1234" i="11"/>
  <c r="M1235" i="11"/>
  <c r="M1236" i="11"/>
  <c r="M1237" i="11"/>
  <c r="M1238" i="11"/>
  <c r="M1239" i="11"/>
  <c r="M1240" i="11"/>
  <c r="M1241" i="11"/>
  <c r="M1242" i="11"/>
  <c r="M1243" i="11"/>
  <c r="M1244" i="11"/>
  <c r="M1245" i="11"/>
  <c r="M1246" i="11"/>
  <c r="M1247" i="11"/>
  <c r="M1248" i="11"/>
  <c r="M1249" i="11"/>
  <c r="M1250" i="11"/>
  <c r="M1251" i="11"/>
  <c r="M1252" i="11"/>
  <c r="M1253" i="11"/>
  <c r="M1254" i="11"/>
  <c r="M1255" i="11"/>
  <c r="M1256" i="11"/>
  <c r="M1257" i="11"/>
  <c r="M1258" i="11"/>
  <c r="M1259" i="11"/>
  <c r="M1260" i="11"/>
  <c r="M1261" i="11"/>
  <c r="M1262" i="11"/>
  <c r="M1263" i="11"/>
  <c r="M1264" i="11"/>
  <c r="M1265" i="11"/>
  <c r="M1266" i="11"/>
  <c r="M1267" i="11"/>
  <c r="M1268" i="11"/>
  <c r="M1269" i="11"/>
  <c r="M1270" i="11"/>
  <c r="M1271" i="11"/>
  <c r="M1272" i="11"/>
  <c r="M1273" i="11"/>
  <c r="M1274" i="11"/>
  <c r="M1275" i="11"/>
  <c r="M1276" i="11"/>
  <c r="M1277" i="11"/>
  <c r="M1278" i="11"/>
  <c r="M1279" i="11"/>
  <c r="M1280" i="11"/>
  <c r="M1281" i="11"/>
  <c r="M1282" i="11"/>
  <c r="M1283" i="11"/>
  <c r="M1284" i="11"/>
  <c r="M1285" i="11"/>
  <c r="M1286" i="11"/>
  <c r="M1287" i="11"/>
  <c r="M1288" i="11"/>
  <c r="M1289" i="11"/>
  <c r="M1290" i="11"/>
  <c r="M1291" i="11"/>
  <c r="M1292" i="11"/>
  <c r="M1293" i="11"/>
  <c r="M1294" i="11"/>
  <c r="M1295" i="11"/>
  <c r="M1296" i="11"/>
  <c r="M1297" i="11"/>
  <c r="M1298" i="11"/>
  <c r="M1299" i="11"/>
  <c r="M1300" i="11"/>
  <c r="M1301" i="11"/>
  <c r="M1302" i="11"/>
  <c r="M1303" i="11"/>
  <c r="M1304" i="11"/>
  <c r="M1305" i="11"/>
  <c r="M1306" i="11"/>
  <c r="M1307" i="11"/>
  <c r="M1308" i="11"/>
  <c r="M1309" i="11"/>
  <c r="M1310" i="11"/>
  <c r="M1311" i="11"/>
  <c r="M1312" i="11"/>
  <c r="M1313" i="11"/>
  <c r="M1314" i="11"/>
  <c r="M1315" i="11"/>
  <c r="M1316" i="11"/>
  <c r="M1317" i="11"/>
  <c r="M1318" i="11"/>
  <c r="M1319" i="11"/>
  <c r="M1320" i="11"/>
  <c r="M1321" i="11"/>
  <c r="M1322" i="11"/>
  <c r="M1323" i="11"/>
  <c r="M1324" i="11"/>
  <c r="M1325" i="11"/>
  <c r="M1326" i="11"/>
  <c r="M1327" i="11"/>
  <c r="M1328" i="11"/>
  <c r="M1329" i="11"/>
  <c r="M1330" i="11"/>
  <c r="M1331" i="11"/>
  <c r="M1332" i="11"/>
  <c r="M1333" i="11"/>
  <c r="M1334" i="11"/>
  <c r="M1335" i="11"/>
  <c r="M1336" i="11"/>
  <c r="M1337" i="11"/>
  <c r="M1338" i="11"/>
  <c r="M1339" i="11"/>
  <c r="M1340" i="11"/>
  <c r="M1341" i="11"/>
  <c r="M1342" i="11"/>
  <c r="M1343" i="11"/>
  <c r="M1344" i="11"/>
  <c r="M1345" i="11"/>
  <c r="M1346" i="11"/>
  <c r="M1347" i="11"/>
  <c r="M1348" i="11"/>
  <c r="M1349" i="11"/>
  <c r="M1350" i="11"/>
  <c r="M1351" i="11"/>
  <c r="M1352" i="11"/>
  <c r="M1353" i="11"/>
  <c r="M1354" i="11"/>
  <c r="M1355" i="11"/>
  <c r="M1356" i="11"/>
  <c r="M1357" i="11"/>
  <c r="M1358" i="11"/>
  <c r="M1359" i="11"/>
  <c r="M1360" i="11"/>
  <c r="M1361" i="11"/>
  <c r="M1362" i="11"/>
  <c r="M1363" i="11"/>
  <c r="M1364" i="11"/>
  <c r="M1365" i="11"/>
  <c r="M1366" i="11"/>
  <c r="M1367" i="11"/>
  <c r="M1368" i="11"/>
  <c r="M1369" i="11"/>
  <c r="M1370" i="11"/>
  <c r="M1371" i="11"/>
  <c r="M1372" i="11"/>
  <c r="M1373" i="11"/>
  <c r="M1374" i="11"/>
  <c r="M1375" i="11"/>
  <c r="M1376" i="11"/>
  <c r="M1377" i="11"/>
  <c r="M1378" i="11"/>
  <c r="M1379" i="11"/>
  <c r="M1380" i="11"/>
  <c r="M1381" i="11"/>
  <c r="M1382" i="11"/>
  <c r="M1383" i="11"/>
  <c r="M1384" i="11"/>
  <c r="M1385" i="11"/>
  <c r="M1386" i="11"/>
  <c r="M1387" i="11"/>
  <c r="M1388" i="11"/>
  <c r="M1389" i="11"/>
  <c r="M1390" i="11"/>
  <c r="M1391" i="11"/>
  <c r="M1392" i="11"/>
  <c r="M1393" i="11"/>
  <c r="M1394" i="11"/>
  <c r="M1395" i="11"/>
  <c r="M1396" i="11"/>
  <c r="M1397" i="11"/>
  <c r="M1398" i="11"/>
  <c r="M1399" i="11"/>
  <c r="M1400" i="11"/>
  <c r="M1401" i="11"/>
  <c r="M1402" i="11"/>
  <c r="M1403" i="11"/>
  <c r="M1404" i="11"/>
  <c r="M1405" i="11"/>
  <c r="M1406" i="11"/>
  <c r="M1407" i="11"/>
  <c r="M1408" i="11"/>
  <c r="M1409" i="11"/>
  <c r="M1410" i="11"/>
  <c r="M1411" i="11"/>
  <c r="M1412" i="11"/>
  <c r="M1413" i="11"/>
  <c r="M1414" i="11"/>
  <c r="M1415" i="11"/>
  <c r="M1416" i="11"/>
  <c r="M1417" i="11"/>
  <c r="M1418" i="11"/>
  <c r="M1419" i="11"/>
  <c r="M1420" i="11"/>
  <c r="M1421" i="11"/>
  <c r="M1422" i="11"/>
  <c r="M1423" i="11"/>
  <c r="M1424" i="11"/>
  <c r="M1425" i="11"/>
  <c r="M1426" i="11"/>
  <c r="M1427" i="11"/>
  <c r="M1428" i="11"/>
  <c r="M1429" i="11"/>
  <c r="M1430" i="11"/>
  <c r="M1431" i="11"/>
  <c r="M1432" i="11"/>
  <c r="M1433" i="11"/>
  <c r="M1434" i="11"/>
  <c r="M1435" i="11"/>
  <c r="M1436" i="11"/>
  <c r="M1437" i="11"/>
  <c r="M1438" i="11"/>
  <c r="M1439" i="11"/>
  <c r="M1440" i="11"/>
  <c r="M1441" i="11"/>
  <c r="M1442" i="11"/>
  <c r="M1443" i="11"/>
  <c r="M1444" i="11"/>
  <c r="M1445" i="11"/>
  <c r="M1446" i="11"/>
  <c r="M1447" i="11"/>
  <c r="M1448" i="11"/>
  <c r="M1449" i="11"/>
  <c r="M1450" i="11"/>
  <c r="M1451" i="11"/>
  <c r="M1452" i="11"/>
  <c r="M1453" i="11"/>
  <c r="M1454" i="11"/>
  <c r="M1455" i="11"/>
  <c r="M1456" i="11"/>
  <c r="M1457" i="11"/>
  <c r="M1458" i="11"/>
  <c r="M1459" i="11"/>
  <c r="M1460" i="11"/>
  <c r="M1461" i="11"/>
  <c r="M1462" i="11"/>
  <c r="M1463" i="11"/>
  <c r="M1464" i="11"/>
  <c r="M1465" i="11"/>
  <c r="M1466" i="11"/>
  <c r="M1467" i="11"/>
  <c r="M1468" i="11"/>
  <c r="M1469" i="11"/>
  <c r="M1470" i="11"/>
  <c r="M1471" i="11"/>
  <c r="M1472" i="11"/>
  <c r="M1473" i="11"/>
  <c r="M1474" i="11"/>
  <c r="M1475" i="11"/>
  <c r="M1476" i="11"/>
  <c r="M1477" i="11"/>
  <c r="M1478" i="11"/>
  <c r="M1479" i="11"/>
  <c r="M1480" i="11"/>
  <c r="M1481" i="11"/>
  <c r="M1482" i="11"/>
  <c r="M1483" i="11"/>
  <c r="M1484" i="11"/>
  <c r="M1485" i="11"/>
  <c r="M1486" i="11"/>
  <c r="M1487" i="11"/>
  <c r="M1488" i="11"/>
  <c r="M1489" i="11"/>
  <c r="M1490" i="11"/>
  <c r="M1491" i="11"/>
  <c r="M1492" i="11"/>
  <c r="M1493" i="11"/>
  <c r="M1494" i="11"/>
  <c r="M1495" i="11"/>
  <c r="M1496" i="11"/>
  <c r="M1497" i="11"/>
  <c r="M1498" i="11"/>
  <c r="M1499" i="11"/>
  <c r="M1500" i="11"/>
  <c r="M1501" i="11"/>
  <c r="M1502" i="11"/>
  <c r="M1503" i="11"/>
  <c r="M1504" i="11"/>
  <c r="M1505" i="11"/>
  <c r="M1506" i="11"/>
  <c r="M1507" i="11"/>
  <c r="M1508" i="11"/>
  <c r="M1509" i="11"/>
  <c r="M1510" i="11"/>
  <c r="M1511" i="11"/>
  <c r="M1512" i="11"/>
  <c r="M1513" i="11"/>
  <c r="M1514" i="11"/>
  <c r="M1515" i="11"/>
  <c r="M1516" i="11"/>
  <c r="M1517" i="11"/>
  <c r="M1518" i="11"/>
  <c r="M1519" i="11"/>
  <c r="M1520" i="11"/>
  <c r="M1521" i="11"/>
  <c r="M1522" i="11"/>
  <c r="M1523" i="11"/>
  <c r="M1524" i="11"/>
  <c r="M1525" i="11"/>
  <c r="M1526" i="11"/>
  <c r="M1527" i="11"/>
  <c r="M1528" i="11"/>
  <c r="M1529" i="11"/>
  <c r="M1530" i="11"/>
  <c r="M1531" i="11"/>
  <c r="M1532" i="11"/>
  <c r="M1533" i="11"/>
  <c r="M1534" i="11"/>
  <c r="M1535" i="11"/>
  <c r="M1536" i="11"/>
  <c r="M1537" i="11"/>
  <c r="M1538" i="11"/>
  <c r="M1539" i="11"/>
  <c r="M1540" i="11"/>
  <c r="M1541" i="11"/>
  <c r="M1542" i="11"/>
  <c r="M1543" i="11"/>
  <c r="M1544" i="11"/>
  <c r="M1545" i="11"/>
  <c r="M1546" i="11"/>
  <c r="M2" i="11"/>
  <c r="R168" i="9"/>
  <c r="Q168" i="9"/>
  <c r="P168" i="9"/>
  <c r="O168" i="9"/>
  <c r="N168" i="9"/>
  <c r="L168" i="9"/>
  <c r="K168" i="9"/>
  <c r="H168" i="9"/>
  <c r="F168" i="9"/>
  <c r="I168" i="9" s="1"/>
  <c r="D168" i="9"/>
  <c r="R167" i="9"/>
  <c r="Q167" i="9"/>
  <c r="P167" i="9"/>
  <c r="O167" i="9"/>
  <c r="N167" i="9"/>
  <c r="L167" i="9"/>
  <c r="K167" i="9"/>
  <c r="F167" i="9"/>
  <c r="I167" i="9" s="1"/>
  <c r="D167" i="9"/>
  <c r="H167" i="9" s="1"/>
  <c r="R166" i="9"/>
  <c r="Q166" i="9"/>
  <c r="P166" i="9"/>
  <c r="O166" i="9"/>
  <c r="N166" i="9"/>
  <c r="L166" i="9"/>
  <c r="K166" i="9"/>
  <c r="F166" i="9"/>
  <c r="I166" i="9" s="1"/>
  <c r="D166" i="9"/>
  <c r="H166" i="9" s="1"/>
  <c r="R165" i="9"/>
  <c r="Q165" i="9"/>
  <c r="P165" i="9"/>
  <c r="O165" i="9"/>
  <c r="N165" i="9"/>
  <c r="L165" i="9"/>
  <c r="K165" i="9"/>
  <c r="F165" i="9"/>
  <c r="I165" i="9" s="1"/>
  <c r="D165" i="9"/>
  <c r="H165" i="9" s="1"/>
  <c r="R168" i="6"/>
  <c r="Q168" i="6"/>
  <c r="P168" i="6"/>
  <c r="O168" i="6"/>
  <c r="N168" i="6"/>
  <c r="L168" i="6"/>
  <c r="K168" i="6"/>
  <c r="F168" i="6"/>
  <c r="I168" i="6" s="1"/>
  <c r="D168" i="6"/>
  <c r="H168" i="6" s="1"/>
  <c r="R167" i="6"/>
  <c r="Q167" i="6"/>
  <c r="P167" i="6"/>
  <c r="O167" i="6"/>
  <c r="N167" i="6"/>
  <c r="L167" i="6"/>
  <c r="K167" i="6"/>
  <c r="F167" i="6"/>
  <c r="I167" i="6" s="1"/>
  <c r="D167" i="6"/>
  <c r="H167" i="6" s="1"/>
  <c r="R166" i="6"/>
  <c r="Q166" i="6"/>
  <c r="P166" i="6"/>
  <c r="O166" i="6"/>
  <c r="N166" i="6"/>
  <c r="L166" i="6"/>
  <c r="K166" i="6"/>
  <c r="F166" i="6"/>
  <c r="I166" i="6" s="1"/>
  <c r="D166" i="6"/>
  <c r="H166" i="6" s="1"/>
  <c r="R165" i="6"/>
  <c r="Q165" i="6"/>
  <c r="P165" i="6"/>
  <c r="O165" i="6"/>
  <c r="N165" i="6"/>
  <c r="L165" i="6"/>
  <c r="K165" i="6"/>
  <c r="F165" i="6"/>
  <c r="I165" i="6" s="1"/>
  <c r="D165" i="6"/>
  <c r="H165" i="6" s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2" i="11"/>
  <c r="B168" i="9" a="1"/>
  <c r="B165" i="9" a="1"/>
  <c r="B167" i="9" a="1"/>
  <c r="B166" i="9" a="1"/>
  <c r="B168" i="6" a="1"/>
  <c r="B167" i="6" a="1"/>
  <c r="B166" i="6" a="1"/>
  <c r="B165" i="6" a="1"/>
  <c r="B166" i="9" l="1"/>
  <c r="B167" i="9"/>
  <c r="B165" i="9"/>
  <c r="B168" i="9"/>
  <c r="B165" i="6"/>
  <c r="B166" i="6"/>
  <c r="B167" i="6"/>
  <c r="B168" i="6"/>
  <c r="M168" i="9" l="1"/>
  <c r="J168" i="9"/>
  <c r="J167" i="9"/>
  <c r="M167" i="9"/>
  <c r="M165" i="9"/>
  <c r="J165" i="9"/>
  <c r="J166" i="9"/>
  <c r="M166" i="9"/>
  <c r="M168" i="6"/>
  <c r="J168" i="6"/>
  <c r="M167" i="6"/>
  <c r="J167" i="6"/>
  <c r="J166" i="6"/>
  <c r="M166" i="6"/>
  <c r="J165" i="6"/>
  <c r="M165" i="6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2" i="9"/>
  <c r="R3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85" i="6"/>
  <c r="O86" i="6"/>
  <c r="O87" i="6"/>
  <c r="O88" i="6"/>
  <c r="O89" i="6"/>
  <c r="O90" i="6"/>
  <c r="O91" i="6"/>
  <c r="O92" i="6"/>
  <c r="O93" i="6"/>
  <c r="O94" i="6"/>
  <c r="O95" i="6"/>
  <c r="O96" i="6"/>
  <c r="O97" i="6"/>
  <c r="O98" i="6"/>
  <c r="O99" i="6"/>
  <c r="O100" i="6"/>
  <c r="O101" i="6"/>
  <c r="O102" i="6"/>
  <c r="O103" i="6"/>
  <c r="O104" i="6"/>
  <c r="O105" i="6"/>
  <c r="O106" i="6"/>
  <c r="O107" i="6"/>
  <c r="O108" i="6"/>
  <c r="O109" i="6"/>
  <c r="O110" i="6"/>
  <c r="O111" i="6"/>
  <c r="O112" i="6"/>
  <c r="O113" i="6"/>
  <c r="O114" i="6"/>
  <c r="O115" i="6"/>
  <c r="O116" i="6"/>
  <c r="O117" i="6"/>
  <c r="O118" i="6"/>
  <c r="O119" i="6"/>
  <c r="O120" i="6"/>
  <c r="O121" i="6"/>
  <c r="O122" i="6"/>
  <c r="O123" i="6"/>
  <c r="O124" i="6"/>
  <c r="O125" i="6"/>
  <c r="O126" i="6"/>
  <c r="O127" i="6"/>
  <c r="O128" i="6"/>
  <c r="O129" i="6"/>
  <c r="O130" i="6"/>
  <c r="O131" i="6"/>
  <c r="O132" i="6"/>
  <c r="O133" i="6"/>
  <c r="O134" i="6"/>
  <c r="O135" i="6"/>
  <c r="O136" i="6"/>
  <c r="O137" i="6"/>
  <c r="O138" i="6"/>
  <c r="O139" i="6"/>
  <c r="O140" i="6"/>
  <c r="O141" i="6"/>
  <c r="O142" i="6"/>
  <c r="O143" i="6"/>
  <c r="O144" i="6"/>
  <c r="O145" i="6"/>
  <c r="O146" i="6"/>
  <c r="O147" i="6"/>
  <c r="O148" i="6"/>
  <c r="O149" i="6"/>
  <c r="O150" i="6"/>
  <c r="O151" i="6"/>
  <c r="O152" i="6"/>
  <c r="O153" i="6"/>
  <c r="O154" i="6"/>
  <c r="O155" i="6"/>
  <c r="O156" i="6"/>
  <c r="O157" i="6"/>
  <c r="O158" i="6"/>
  <c r="O159" i="6"/>
  <c r="O160" i="6"/>
  <c r="O161" i="6"/>
  <c r="O162" i="6"/>
  <c r="O163" i="6"/>
  <c r="O164" i="6"/>
  <c r="O2" i="6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2" i="9"/>
  <c r="Q164" i="6"/>
  <c r="P164" i="6"/>
  <c r="Q163" i="6"/>
  <c r="P163" i="6"/>
  <c r="Q162" i="6"/>
  <c r="P162" i="6"/>
  <c r="Q161" i="6"/>
  <c r="P161" i="6"/>
  <c r="Q160" i="6"/>
  <c r="P160" i="6"/>
  <c r="Q159" i="6"/>
  <c r="P159" i="6"/>
  <c r="Q158" i="6"/>
  <c r="P158" i="6"/>
  <c r="Q157" i="6"/>
  <c r="P157" i="6"/>
  <c r="Q156" i="6"/>
  <c r="P156" i="6"/>
  <c r="Q155" i="6"/>
  <c r="P155" i="6"/>
  <c r="Q154" i="6"/>
  <c r="P154" i="6"/>
  <c r="Q153" i="6"/>
  <c r="P153" i="6"/>
  <c r="Q152" i="6"/>
  <c r="P152" i="6"/>
  <c r="Q151" i="6"/>
  <c r="P151" i="6"/>
  <c r="Q150" i="6"/>
  <c r="P150" i="6"/>
  <c r="Q149" i="6"/>
  <c r="P149" i="6"/>
  <c r="Q148" i="6"/>
  <c r="P148" i="6"/>
  <c r="Q147" i="6"/>
  <c r="P147" i="6"/>
  <c r="Q146" i="6"/>
  <c r="P146" i="6"/>
  <c r="Q145" i="6"/>
  <c r="P145" i="6"/>
  <c r="Q144" i="6"/>
  <c r="P144" i="6"/>
  <c r="Q143" i="6"/>
  <c r="P143" i="6"/>
  <c r="Q142" i="6"/>
  <c r="P142" i="6"/>
  <c r="Q141" i="6"/>
  <c r="P141" i="6"/>
  <c r="Q140" i="6"/>
  <c r="P140" i="6"/>
  <c r="Q139" i="6"/>
  <c r="P139" i="6"/>
  <c r="Q138" i="6"/>
  <c r="P138" i="6"/>
  <c r="Q137" i="6"/>
  <c r="P137" i="6"/>
  <c r="Q136" i="6"/>
  <c r="P136" i="6"/>
  <c r="Q135" i="6"/>
  <c r="P135" i="6"/>
  <c r="Q134" i="6"/>
  <c r="P134" i="6"/>
  <c r="Q133" i="6"/>
  <c r="P133" i="6"/>
  <c r="Q132" i="6"/>
  <c r="P132" i="6"/>
  <c r="Q131" i="6"/>
  <c r="P131" i="6"/>
  <c r="Q130" i="6"/>
  <c r="P130" i="6"/>
  <c r="Q129" i="6"/>
  <c r="P129" i="6"/>
  <c r="Q128" i="6"/>
  <c r="P128" i="6"/>
  <c r="Q127" i="6"/>
  <c r="P127" i="6"/>
  <c r="Q126" i="6"/>
  <c r="P126" i="6"/>
  <c r="Q125" i="6"/>
  <c r="P125" i="6"/>
  <c r="Q124" i="6"/>
  <c r="P124" i="6"/>
  <c r="Q123" i="6"/>
  <c r="P123" i="6"/>
  <c r="Q122" i="6"/>
  <c r="P122" i="6"/>
  <c r="Q121" i="6"/>
  <c r="P121" i="6"/>
  <c r="Q120" i="6"/>
  <c r="P120" i="6"/>
  <c r="Q119" i="6"/>
  <c r="P119" i="6"/>
  <c r="Q118" i="6"/>
  <c r="P118" i="6"/>
  <c r="Q117" i="6"/>
  <c r="P117" i="6"/>
  <c r="Q116" i="6"/>
  <c r="P116" i="6"/>
  <c r="Q115" i="6"/>
  <c r="P115" i="6"/>
  <c r="Q114" i="6"/>
  <c r="P114" i="6"/>
  <c r="Q113" i="6"/>
  <c r="P113" i="6"/>
  <c r="Q112" i="6"/>
  <c r="P112" i="6"/>
  <c r="Q111" i="6"/>
  <c r="P111" i="6"/>
  <c r="Q110" i="6"/>
  <c r="P110" i="6"/>
  <c r="Q109" i="6"/>
  <c r="P109" i="6"/>
  <c r="Q108" i="6"/>
  <c r="P108" i="6"/>
  <c r="Q107" i="6"/>
  <c r="P107" i="6"/>
  <c r="Q106" i="6"/>
  <c r="P106" i="6"/>
  <c r="Q105" i="6"/>
  <c r="P105" i="6"/>
  <c r="Q104" i="6"/>
  <c r="P104" i="6"/>
  <c r="Q103" i="6"/>
  <c r="P103" i="6"/>
  <c r="Q102" i="6"/>
  <c r="P102" i="6"/>
  <c r="Q101" i="6"/>
  <c r="P101" i="6"/>
  <c r="Q100" i="6"/>
  <c r="P100" i="6"/>
  <c r="Q99" i="6"/>
  <c r="P99" i="6"/>
  <c r="Q98" i="6"/>
  <c r="P98" i="6"/>
  <c r="Q97" i="6"/>
  <c r="P97" i="6"/>
  <c r="Q96" i="6"/>
  <c r="P96" i="6"/>
  <c r="Q95" i="6"/>
  <c r="P95" i="6"/>
  <c r="Q94" i="6"/>
  <c r="P94" i="6"/>
  <c r="Q93" i="6"/>
  <c r="P93" i="6"/>
  <c r="Q92" i="6"/>
  <c r="P92" i="6"/>
  <c r="Q91" i="6"/>
  <c r="P91" i="6"/>
  <c r="Q90" i="6"/>
  <c r="P90" i="6"/>
  <c r="Q89" i="6"/>
  <c r="P89" i="6"/>
  <c r="Q88" i="6"/>
  <c r="P88" i="6"/>
  <c r="Q87" i="6"/>
  <c r="P87" i="6"/>
  <c r="Q86" i="6"/>
  <c r="P86" i="6"/>
  <c r="Q85" i="6"/>
  <c r="P85" i="6"/>
  <c r="Q84" i="6"/>
  <c r="P84" i="6"/>
  <c r="Q83" i="6"/>
  <c r="P83" i="6"/>
  <c r="Q82" i="6"/>
  <c r="P82" i="6"/>
  <c r="Q81" i="6"/>
  <c r="P81" i="6"/>
  <c r="Q80" i="6"/>
  <c r="P80" i="6"/>
  <c r="Q79" i="6"/>
  <c r="P79" i="6"/>
  <c r="Q78" i="6"/>
  <c r="P78" i="6"/>
  <c r="Q77" i="6"/>
  <c r="P77" i="6"/>
  <c r="Q76" i="6"/>
  <c r="P76" i="6"/>
  <c r="Q75" i="6"/>
  <c r="P75" i="6"/>
  <c r="Q74" i="6"/>
  <c r="P74" i="6"/>
  <c r="Q73" i="6"/>
  <c r="P73" i="6"/>
  <c r="Q72" i="6"/>
  <c r="P72" i="6"/>
  <c r="Q71" i="6"/>
  <c r="P71" i="6"/>
  <c r="Q70" i="6"/>
  <c r="P70" i="6"/>
  <c r="Q69" i="6"/>
  <c r="P69" i="6"/>
  <c r="Q68" i="6"/>
  <c r="P68" i="6"/>
  <c r="Q67" i="6"/>
  <c r="P67" i="6"/>
  <c r="Q66" i="6"/>
  <c r="P66" i="6"/>
  <c r="Q65" i="6"/>
  <c r="P65" i="6"/>
  <c r="Q64" i="6"/>
  <c r="P64" i="6"/>
  <c r="Q63" i="6"/>
  <c r="P63" i="6"/>
  <c r="Q62" i="6"/>
  <c r="P62" i="6"/>
  <c r="Q61" i="6"/>
  <c r="P61" i="6"/>
  <c r="Q60" i="6"/>
  <c r="P60" i="6"/>
  <c r="Q59" i="6"/>
  <c r="P59" i="6"/>
  <c r="Q58" i="6"/>
  <c r="P58" i="6"/>
  <c r="Q57" i="6"/>
  <c r="P57" i="6"/>
  <c r="Q56" i="6"/>
  <c r="P56" i="6"/>
  <c r="Q55" i="6"/>
  <c r="P55" i="6"/>
  <c r="Q54" i="6"/>
  <c r="P54" i="6"/>
  <c r="Q53" i="6"/>
  <c r="P53" i="6"/>
  <c r="Q52" i="6"/>
  <c r="P52" i="6"/>
  <c r="Q51" i="6"/>
  <c r="P51" i="6"/>
  <c r="Q50" i="6"/>
  <c r="P50" i="6"/>
  <c r="Q49" i="6"/>
  <c r="P49" i="6"/>
  <c r="Q48" i="6"/>
  <c r="P48" i="6"/>
  <c r="Q47" i="6"/>
  <c r="P47" i="6"/>
  <c r="Q46" i="6"/>
  <c r="P46" i="6"/>
  <c r="Q45" i="6"/>
  <c r="P45" i="6"/>
  <c r="Q44" i="6"/>
  <c r="P44" i="6"/>
  <c r="Q43" i="6"/>
  <c r="P43" i="6"/>
  <c r="Q42" i="6"/>
  <c r="P42" i="6"/>
  <c r="Q41" i="6"/>
  <c r="P41" i="6"/>
  <c r="Q40" i="6"/>
  <c r="P40" i="6"/>
  <c r="Q39" i="6"/>
  <c r="P39" i="6"/>
  <c r="Q38" i="6"/>
  <c r="P38" i="6"/>
  <c r="Q37" i="6"/>
  <c r="P37" i="6"/>
  <c r="Q36" i="6"/>
  <c r="P36" i="6"/>
  <c r="Q35" i="6"/>
  <c r="P35" i="6"/>
  <c r="Q34" i="6"/>
  <c r="P34" i="6"/>
  <c r="Q33" i="6"/>
  <c r="P33" i="6"/>
  <c r="Q32" i="6"/>
  <c r="P32" i="6"/>
  <c r="Q31" i="6"/>
  <c r="P31" i="6"/>
  <c r="Q30" i="6"/>
  <c r="P30" i="6"/>
  <c r="Q29" i="6"/>
  <c r="P29" i="6"/>
  <c r="Q28" i="6"/>
  <c r="P28" i="6"/>
  <c r="Q27" i="6"/>
  <c r="P27" i="6"/>
  <c r="Q26" i="6"/>
  <c r="P26" i="6"/>
  <c r="Q25" i="6"/>
  <c r="P25" i="6"/>
  <c r="Q24" i="6"/>
  <c r="P24" i="6"/>
  <c r="Q23" i="6"/>
  <c r="P23" i="6"/>
  <c r="Q22" i="6"/>
  <c r="P22" i="6"/>
  <c r="Q21" i="6"/>
  <c r="P21" i="6"/>
  <c r="Q20" i="6"/>
  <c r="P20" i="6"/>
  <c r="Q19" i="6"/>
  <c r="P19" i="6"/>
  <c r="Q18" i="6"/>
  <c r="P18" i="6"/>
  <c r="Q17" i="6"/>
  <c r="P17" i="6"/>
  <c r="Q16" i="6"/>
  <c r="P16" i="6"/>
  <c r="Q15" i="6"/>
  <c r="P15" i="6"/>
  <c r="Q14" i="6"/>
  <c r="P14" i="6"/>
  <c r="Q13" i="6"/>
  <c r="P13" i="6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Q4" i="6"/>
  <c r="P4" i="6"/>
  <c r="Q3" i="6"/>
  <c r="P3" i="6"/>
  <c r="Q2" i="6"/>
  <c r="P2" i="6"/>
  <c r="P3" i="9"/>
  <c r="Q3" i="9"/>
  <c r="P4" i="9"/>
  <c r="Q4" i="9"/>
  <c r="P5" i="9"/>
  <c r="Q5" i="9"/>
  <c r="P6" i="9"/>
  <c r="Q6" i="9"/>
  <c r="P7" i="9"/>
  <c r="Q7" i="9"/>
  <c r="P8" i="9"/>
  <c r="Q8" i="9"/>
  <c r="P9" i="9"/>
  <c r="Q9" i="9"/>
  <c r="P10" i="9"/>
  <c r="Q10" i="9"/>
  <c r="P11" i="9"/>
  <c r="Q11" i="9"/>
  <c r="P12" i="9"/>
  <c r="Q12" i="9"/>
  <c r="P13" i="9"/>
  <c r="Q13" i="9"/>
  <c r="P14" i="9"/>
  <c r="Q14" i="9"/>
  <c r="P15" i="9"/>
  <c r="Q15" i="9"/>
  <c r="P16" i="9"/>
  <c r="Q16" i="9"/>
  <c r="P17" i="9"/>
  <c r="Q17" i="9"/>
  <c r="P18" i="9"/>
  <c r="Q18" i="9"/>
  <c r="P19" i="9"/>
  <c r="Q19" i="9"/>
  <c r="P20" i="9"/>
  <c r="Q20" i="9"/>
  <c r="P21" i="9"/>
  <c r="Q21" i="9"/>
  <c r="P22" i="9"/>
  <c r="Q22" i="9"/>
  <c r="P23" i="9"/>
  <c r="Q23" i="9"/>
  <c r="P24" i="9"/>
  <c r="Q24" i="9"/>
  <c r="P25" i="9"/>
  <c r="Q25" i="9"/>
  <c r="P26" i="9"/>
  <c r="Q26" i="9"/>
  <c r="P27" i="9"/>
  <c r="Q27" i="9"/>
  <c r="P28" i="9"/>
  <c r="Q28" i="9"/>
  <c r="P29" i="9"/>
  <c r="Q29" i="9"/>
  <c r="P30" i="9"/>
  <c r="Q30" i="9"/>
  <c r="P31" i="9"/>
  <c r="Q31" i="9"/>
  <c r="P32" i="9"/>
  <c r="Q32" i="9"/>
  <c r="P33" i="9"/>
  <c r="Q33" i="9"/>
  <c r="P34" i="9"/>
  <c r="Q34" i="9"/>
  <c r="P35" i="9"/>
  <c r="Q35" i="9"/>
  <c r="P36" i="9"/>
  <c r="Q36" i="9"/>
  <c r="P37" i="9"/>
  <c r="Q37" i="9"/>
  <c r="P38" i="9"/>
  <c r="Q38" i="9"/>
  <c r="P39" i="9"/>
  <c r="Q39" i="9"/>
  <c r="P40" i="9"/>
  <c r="Q40" i="9"/>
  <c r="P41" i="9"/>
  <c r="Q41" i="9"/>
  <c r="P42" i="9"/>
  <c r="Q42" i="9"/>
  <c r="P43" i="9"/>
  <c r="Q43" i="9"/>
  <c r="P44" i="9"/>
  <c r="Q44" i="9"/>
  <c r="P45" i="9"/>
  <c r="Q45" i="9"/>
  <c r="P46" i="9"/>
  <c r="Q46" i="9"/>
  <c r="P47" i="9"/>
  <c r="Q47" i="9"/>
  <c r="P48" i="9"/>
  <c r="Q48" i="9"/>
  <c r="P49" i="9"/>
  <c r="Q49" i="9"/>
  <c r="P50" i="9"/>
  <c r="Q50" i="9"/>
  <c r="P51" i="9"/>
  <c r="Q51" i="9"/>
  <c r="P52" i="9"/>
  <c r="Q52" i="9"/>
  <c r="P53" i="9"/>
  <c r="Q53" i="9"/>
  <c r="P54" i="9"/>
  <c r="Q54" i="9"/>
  <c r="P55" i="9"/>
  <c r="Q55" i="9"/>
  <c r="P56" i="9"/>
  <c r="Q56" i="9"/>
  <c r="P57" i="9"/>
  <c r="Q57" i="9"/>
  <c r="P58" i="9"/>
  <c r="Q58" i="9"/>
  <c r="P59" i="9"/>
  <c r="Q59" i="9"/>
  <c r="P60" i="9"/>
  <c r="Q60" i="9"/>
  <c r="P61" i="9"/>
  <c r="Q61" i="9"/>
  <c r="P62" i="9"/>
  <c r="Q62" i="9"/>
  <c r="P63" i="9"/>
  <c r="Q63" i="9"/>
  <c r="P64" i="9"/>
  <c r="Q64" i="9"/>
  <c r="P65" i="9"/>
  <c r="Q65" i="9"/>
  <c r="P66" i="9"/>
  <c r="Q66" i="9"/>
  <c r="P67" i="9"/>
  <c r="Q67" i="9"/>
  <c r="P68" i="9"/>
  <c r="Q68" i="9"/>
  <c r="P69" i="9"/>
  <c r="Q69" i="9"/>
  <c r="P70" i="9"/>
  <c r="Q70" i="9"/>
  <c r="P71" i="9"/>
  <c r="Q71" i="9"/>
  <c r="P72" i="9"/>
  <c r="Q72" i="9"/>
  <c r="P73" i="9"/>
  <c r="Q73" i="9"/>
  <c r="P74" i="9"/>
  <c r="Q74" i="9"/>
  <c r="P75" i="9"/>
  <c r="Q75" i="9"/>
  <c r="P76" i="9"/>
  <c r="Q76" i="9"/>
  <c r="P77" i="9"/>
  <c r="Q77" i="9"/>
  <c r="P78" i="9"/>
  <c r="Q78" i="9"/>
  <c r="P79" i="9"/>
  <c r="Q79" i="9"/>
  <c r="P80" i="9"/>
  <c r="Q80" i="9"/>
  <c r="P81" i="9"/>
  <c r="Q81" i="9"/>
  <c r="P82" i="9"/>
  <c r="Q82" i="9"/>
  <c r="P83" i="9"/>
  <c r="Q83" i="9"/>
  <c r="P84" i="9"/>
  <c r="Q84" i="9"/>
  <c r="P85" i="9"/>
  <c r="Q85" i="9"/>
  <c r="P86" i="9"/>
  <c r="Q86" i="9"/>
  <c r="P87" i="9"/>
  <c r="Q87" i="9"/>
  <c r="P88" i="9"/>
  <c r="Q88" i="9"/>
  <c r="P89" i="9"/>
  <c r="Q89" i="9"/>
  <c r="P90" i="9"/>
  <c r="Q90" i="9"/>
  <c r="P91" i="9"/>
  <c r="Q91" i="9"/>
  <c r="P92" i="9"/>
  <c r="Q92" i="9"/>
  <c r="P93" i="9"/>
  <c r="Q93" i="9"/>
  <c r="P94" i="9"/>
  <c r="Q94" i="9"/>
  <c r="P95" i="9"/>
  <c r="Q95" i="9"/>
  <c r="P96" i="9"/>
  <c r="Q96" i="9"/>
  <c r="P97" i="9"/>
  <c r="Q97" i="9"/>
  <c r="P98" i="9"/>
  <c r="Q98" i="9"/>
  <c r="P99" i="9"/>
  <c r="Q99" i="9"/>
  <c r="P100" i="9"/>
  <c r="Q100" i="9"/>
  <c r="P101" i="9"/>
  <c r="Q101" i="9"/>
  <c r="P102" i="9"/>
  <c r="Q102" i="9"/>
  <c r="P103" i="9"/>
  <c r="Q103" i="9"/>
  <c r="P104" i="9"/>
  <c r="Q104" i="9"/>
  <c r="P105" i="9"/>
  <c r="Q105" i="9"/>
  <c r="P106" i="9"/>
  <c r="Q106" i="9"/>
  <c r="P107" i="9"/>
  <c r="Q107" i="9"/>
  <c r="P108" i="9"/>
  <c r="Q108" i="9"/>
  <c r="P109" i="9"/>
  <c r="Q109" i="9"/>
  <c r="P110" i="9"/>
  <c r="Q110" i="9"/>
  <c r="P111" i="9"/>
  <c r="Q111" i="9"/>
  <c r="P112" i="9"/>
  <c r="Q112" i="9"/>
  <c r="P113" i="9"/>
  <c r="Q113" i="9"/>
  <c r="P114" i="9"/>
  <c r="Q114" i="9"/>
  <c r="P115" i="9"/>
  <c r="Q115" i="9"/>
  <c r="P116" i="9"/>
  <c r="Q116" i="9"/>
  <c r="P117" i="9"/>
  <c r="Q117" i="9"/>
  <c r="P118" i="9"/>
  <c r="Q118" i="9"/>
  <c r="P119" i="9"/>
  <c r="Q119" i="9"/>
  <c r="P120" i="9"/>
  <c r="Q120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P129" i="9"/>
  <c r="Q129" i="9"/>
  <c r="P130" i="9"/>
  <c r="Q130" i="9"/>
  <c r="P131" i="9"/>
  <c r="Q131" i="9"/>
  <c r="P132" i="9"/>
  <c r="Q132" i="9"/>
  <c r="P133" i="9"/>
  <c r="Q133" i="9"/>
  <c r="P134" i="9"/>
  <c r="Q134" i="9"/>
  <c r="P135" i="9"/>
  <c r="Q135" i="9"/>
  <c r="P136" i="9"/>
  <c r="Q136" i="9"/>
  <c r="P137" i="9"/>
  <c r="Q137" i="9"/>
  <c r="P138" i="9"/>
  <c r="Q138" i="9"/>
  <c r="P139" i="9"/>
  <c r="Q139" i="9"/>
  <c r="P140" i="9"/>
  <c r="Q140" i="9"/>
  <c r="P141" i="9"/>
  <c r="Q141" i="9"/>
  <c r="P142" i="9"/>
  <c r="Q142" i="9"/>
  <c r="P143" i="9"/>
  <c r="Q143" i="9"/>
  <c r="P144" i="9"/>
  <c r="Q144" i="9"/>
  <c r="P145" i="9"/>
  <c r="Q145" i="9"/>
  <c r="P146" i="9"/>
  <c r="Q146" i="9"/>
  <c r="P147" i="9"/>
  <c r="Q147" i="9"/>
  <c r="P148" i="9"/>
  <c r="Q148" i="9"/>
  <c r="P149" i="9"/>
  <c r="Q149" i="9"/>
  <c r="P150" i="9"/>
  <c r="Q150" i="9"/>
  <c r="P151" i="9"/>
  <c r="Q151" i="9"/>
  <c r="P152" i="9"/>
  <c r="Q152" i="9"/>
  <c r="P153" i="9"/>
  <c r="Q153" i="9"/>
  <c r="P154" i="9"/>
  <c r="Q154" i="9"/>
  <c r="P155" i="9"/>
  <c r="Q155" i="9"/>
  <c r="P156" i="9"/>
  <c r="Q156" i="9"/>
  <c r="P157" i="9"/>
  <c r="Q157" i="9"/>
  <c r="P158" i="9"/>
  <c r="Q158" i="9"/>
  <c r="P159" i="9"/>
  <c r="Q159" i="9"/>
  <c r="P160" i="9"/>
  <c r="Q160" i="9"/>
  <c r="P161" i="9"/>
  <c r="Q161" i="9"/>
  <c r="P162" i="9"/>
  <c r="Q162" i="9"/>
  <c r="P163" i="9"/>
  <c r="Q163" i="9"/>
  <c r="P164" i="9"/>
  <c r="Q164" i="9"/>
  <c r="Q2" i="9"/>
  <c r="P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2" i="9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" i="2"/>
  <c r="L164" i="9"/>
  <c r="K164" i="9"/>
  <c r="F164" i="9"/>
  <c r="I164" i="9" s="1"/>
  <c r="D164" i="9"/>
  <c r="H164" i="9" s="1"/>
  <c r="L163" i="9"/>
  <c r="K163" i="9"/>
  <c r="F163" i="9"/>
  <c r="I163" i="9" s="1"/>
  <c r="D163" i="9"/>
  <c r="H163" i="9" s="1"/>
  <c r="L162" i="9"/>
  <c r="K162" i="9"/>
  <c r="F162" i="9"/>
  <c r="I162" i="9" s="1"/>
  <c r="D162" i="9"/>
  <c r="H162" i="9" s="1"/>
  <c r="L161" i="9"/>
  <c r="K161" i="9"/>
  <c r="F161" i="9"/>
  <c r="I161" i="9" s="1"/>
  <c r="D161" i="9"/>
  <c r="H161" i="9" s="1"/>
  <c r="L160" i="9"/>
  <c r="K160" i="9"/>
  <c r="F160" i="9"/>
  <c r="I160" i="9" s="1"/>
  <c r="D160" i="9"/>
  <c r="H160" i="9" s="1"/>
  <c r="L159" i="9"/>
  <c r="K159" i="9"/>
  <c r="F159" i="9"/>
  <c r="I159" i="9" s="1"/>
  <c r="D159" i="9"/>
  <c r="H159" i="9" s="1"/>
  <c r="L158" i="9"/>
  <c r="K158" i="9"/>
  <c r="F158" i="9"/>
  <c r="I158" i="9" s="1"/>
  <c r="D158" i="9"/>
  <c r="H158" i="9" s="1"/>
  <c r="L157" i="9"/>
  <c r="K157" i="9"/>
  <c r="F157" i="9"/>
  <c r="I157" i="9" s="1"/>
  <c r="D157" i="9"/>
  <c r="H157" i="9" s="1"/>
  <c r="L156" i="9"/>
  <c r="K156" i="9"/>
  <c r="F156" i="9"/>
  <c r="I156" i="9" s="1"/>
  <c r="D156" i="9"/>
  <c r="H156" i="9" s="1"/>
  <c r="L155" i="9"/>
  <c r="K155" i="9"/>
  <c r="F155" i="9"/>
  <c r="I155" i="9" s="1"/>
  <c r="D155" i="9"/>
  <c r="H155" i="9" s="1"/>
  <c r="L154" i="9"/>
  <c r="K154" i="9"/>
  <c r="F154" i="9"/>
  <c r="I154" i="9" s="1"/>
  <c r="D154" i="9"/>
  <c r="H154" i="9" s="1"/>
  <c r="L153" i="9"/>
  <c r="K153" i="9"/>
  <c r="F153" i="9"/>
  <c r="I153" i="9" s="1"/>
  <c r="D153" i="9"/>
  <c r="H153" i="9" s="1"/>
  <c r="L152" i="9"/>
  <c r="K152" i="9"/>
  <c r="F152" i="9"/>
  <c r="I152" i="9" s="1"/>
  <c r="D152" i="9"/>
  <c r="H152" i="9" s="1"/>
  <c r="L151" i="9"/>
  <c r="K151" i="9"/>
  <c r="F151" i="9"/>
  <c r="I151" i="9" s="1"/>
  <c r="D151" i="9"/>
  <c r="H151" i="9" s="1"/>
  <c r="L150" i="9"/>
  <c r="K150" i="9"/>
  <c r="F150" i="9"/>
  <c r="I150" i="9" s="1"/>
  <c r="D150" i="9"/>
  <c r="H150" i="9" s="1"/>
  <c r="L149" i="9"/>
  <c r="K149" i="9"/>
  <c r="F149" i="9"/>
  <c r="I149" i="9" s="1"/>
  <c r="D149" i="9"/>
  <c r="H149" i="9" s="1"/>
  <c r="L148" i="9"/>
  <c r="K148" i="9"/>
  <c r="F148" i="9"/>
  <c r="I148" i="9" s="1"/>
  <c r="D148" i="9"/>
  <c r="H148" i="9" s="1"/>
  <c r="L147" i="9"/>
  <c r="K147" i="9"/>
  <c r="F147" i="9"/>
  <c r="I147" i="9" s="1"/>
  <c r="D147" i="9"/>
  <c r="H147" i="9" s="1"/>
  <c r="L146" i="9"/>
  <c r="K146" i="9"/>
  <c r="F146" i="9"/>
  <c r="I146" i="9" s="1"/>
  <c r="D146" i="9"/>
  <c r="H146" i="9" s="1"/>
  <c r="L145" i="9"/>
  <c r="K145" i="9"/>
  <c r="F145" i="9"/>
  <c r="I145" i="9" s="1"/>
  <c r="D145" i="9"/>
  <c r="H145" i="9" s="1"/>
  <c r="L144" i="9"/>
  <c r="K144" i="9"/>
  <c r="F144" i="9"/>
  <c r="I144" i="9" s="1"/>
  <c r="D144" i="9"/>
  <c r="H144" i="9" s="1"/>
  <c r="L143" i="9"/>
  <c r="K143" i="9"/>
  <c r="F143" i="9"/>
  <c r="I143" i="9" s="1"/>
  <c r="D143" i="9"/>
  <c r="H143" i="9" s="1"/>
  <c r="L142" i="9"/>
  <c r="K142" i="9"/>
  <c r="F142" i="9"/>
  <c r="I142" i="9" s="1"/>
  <c r="D142" i="9"/>
  <c r="H142" i="9" s="1"/>
  <c r="L141" i="9"/>
  <c r="K141" i="9"/>
  <c r="F141" i="9"/>
  <c r="I141" i="9" s="1"/>
  <c r="D141" i="9"/>
  <c r="H141" i="9" s="1"/>
  <c r="L140" i="9"/>
  <c r="K140" i="9"/>
  <c r="F140" i="9"/>
  <c r="I140" i="9" s="1"/>
  <c r="D140" i="9"/>
  <c r="H140" i="9" s="1"/>
  <c r="L139" i="9"/>
  <c r="K139" i="9"/>
  <c r="F139" i="9"/>
  <c r="I139" i="9" s="1"/>
  <c r="D139" i="9"/>
  <c r="H139" i="9" s="1"/>
  <c r="L138" i="9"/>
  <c r="K138" i="9"/>
  <c r="F138" i="9"/>
  <c r="I138" i="9" s="1"/>
  <c r="D138" i="9"/>
  <c r="H138" i="9" s="1"/>
  <c r="L137" i="9"/>
  <c r="K137" i="9"/>
  <c r="F137" i="9"/>
  <c r="I137" i="9" s="1"/>
  <c r="D137" i="9"/>
  <c r="H137" i="9" s="1"/>
  <c r="L136" i="9"/>
  <c r="K136" i="9"/>
  <c r="F136" i="9"/>
  <c r="I136" i="9" s="1"/>
  <c r="D136" i="9"/>
  <c r="H136" i="9" s="1"/>
  <c r="L135" i="9"/>
  <c r="K135" i="9"/>
  <c r="F135" i="9"/>
  <c r="I135" i="9" s="1"/>
  <c r="D135" i="9"/>
  <c r="H135" i="9" s="1"/>
  <c r="L134" i="9"/>
  <c r="K134" i="9"/>
  <c r="F134" i="9"/>
  <c r="I134" i="9" s="1"/>
  <c r="D134" i="9"/>
  <c r="H134" i="9" s="1"/>
  <c r="L133" i="9"/>
  <c r="K133" i="9"/>
  <c r="F133" i="9"/>
  <c r="I133" i="9" s="1"/>
  <c r="D133" i="9"/>
  <c r="H133" i="9" s="1"/>
  <c r="L132" i="9"/>
  <c r="K132" i="9"/>
  <c r="F132" i="9"/>
  <c r="I132" i="9" s="1"/>
  <c r="D132" i="9"/>
  <c r="H132" i="9" s="1"/>
  <c r="L131" i="9"/>
  <c r="K131" i="9"/>
  <c r="F131" i="9"/>
  <c r="I131" i="9" s="1"/>
  <c r="D131" i="9"/>
  <c r="H131" i="9" s="1"/>
  <c r="L130" i="9"/>
  <c r="K130" i="9"/>
  <c r="F130" i="9"/>
  <c r="I130" i="9" s="1"/>
  <c r="D130" i="9"/>
  <c r="H130" i="9" s="1"/>
  <c r="L129" i="9"/>
  <c r="K129" i="9"/>
  <c r="F129" i="9"/>
  <c r="I129" i="9" s="1"/>
  <c r="D129" i="9"/>
  <c r="H129" i="9" s="1"/>
  <c r="L128" i="9"/>
  <c r="K128" i="9"/>
  <c r="F128" i="9"/>
  <c r="I128" i="9" s="1"/>
  <c r="D128" i="9"/>
  <c r="H128" i="9" s="1"/>
  <c r="L127" i="9"/>
  <c r="K127" i="9"/>
  <c r="F127" i="9"/>
  <c r="I127" i="9" s="1"/>
  <c r="D127" i="9"/>
  <c r="H127" i="9" s="1"/>
  <c r="L126" i="9"/>
  <c r="K126" i="9"/>
  <c r="F126" i="9"/>
  <c r="I126" i="9" s="1"/>
  <c r="D126" i="9"/>
  <c r="H126" i="9" s="1"/>
  <c r="L125" i="9"/>
  <c r="K125" i="9"/>
  <c r="F125" i="9"/>
  <c r="I125" i="9" s="1"/>
  <c r="D125" i="9"/>
  <c r="H125" i="9" s="1"/>
  <c r="L124" i="9"/>
  <c r="K124" i="9"/>
  <c r="F124" i="9"/>
  <c r="I124" i="9" s="1"/>
  <c r="D124" i="9"/>
  <c r="H124" i="9" s="1"/>
  <c r="L123" i="9"/>
  <c r="K123" i="9"/>
  <c r="F123" i="9"/>
  <c r="I123" i="9" s="1"/>
  <c r="D123" i="9"/>
  <c r="H123" i="9" s="1"/>
  <c r="L122" i="9"/>
  <c r="K122" i="9"/>
  <c r="F122" i="9"/>
  <c r="I122" i="9" s="1"/>
  <c r="D122" i="9"/>
  <c r="H122" i="9" s="1"/>
  <c r="L121" i="9"/>
  <c r="K121" i="9"/>
  <c r="F121" i="9"/>
  <c r="I121" i="9" s="1"/>
  <c r="D121" i="9"/>
  <c r="H121" i="9" s="1"/>
  <c r="L120" i="9"/>
  <c r="K120" i="9"/>
  <c r="F120" i="9"/>
  <c r="I120" i="9" s="1"/>
  <c r="D120" i="9"/>
  <c r="H120" i="9" s="1"/>
  <c r="L119" i="9"/>
  <c r="K119" i="9"/>
  <c r="F119" i="9"/>
  <c r="I119" i="9" s="1"/>
  <c r="D119" i="9"/>
  <c r="H119" i="9" s="1"/>
  <c r="L118" i="9"/>
  <c r="K118" i="9"/>
  <c r="F118" i="9"/>
  <c r="I118" i="9" s="1"/>
  <c r="D118" i="9"/>
  <c r="H118" i="9" s="1"/>
  <c r="L117" i="9"/>
  <c r="K117" i="9"/>
  <c r="F117" i="9"/>
  <c r="I117" i="9" s="1"/>
  <c r="D117" i="9"/>
  <c r="H117" i="9" s="1"/>
  <c r="L116" i="9"/>
  <c r="K116" i="9"/>
  <c r="F116" i="9"/>
  <c r="I116" i="9" s="1"/>
  <c r="D116" i="9"/>
  <c r="H116" i="9" s="1"/>
  <c r="L115" i="9"/>
  <c r="K115" i="9"/>
  <c r="F115" i="9"/>
  <c r="I115" i="9" s="1"/>
  <c r="D115" i="9"/>
  <c r="H115" i="9" s="1"/>
  <c r="L114" i="9"/>
  <c r="K114" i="9"/>
  <c r="F114" i="9"/>
  <c r="I114" i="9" s="1"/>
  <c r="D114" i="9"/>
  <c r="H114" i="9" s="1"/>
  <c r="L113" i="9"/>
  <c r="K113" i="9"/>
  <c r="F113" i="9"/>
  <c r="I113" i="9" s="1"/>
  <c r="D113" i="9"/>
  <c r="H113" i="9" s="1"/>
  <c r="L112" i="9"/>
  <c r="K112" i="9"/>
  <c r="F112" i="9"/>
  <c r="I112" i="9" s="1"/>
  <c r="D112" i="9"/>
  <c r="H112" i="9" s="1"/>
  <c r="L111" i="9"/>
  <c r="K111" i="9"/>
  <c r="F111" i="9"/>
  <c r="I111" i="9" s="1"/>
  <c r="D111" i="9"/>
  <c r="H111" i="9" s="1"/>
  <c r="L110" i="9"/>
  <c r="K110" i="9"/>
  <c r="F110" i="9"/>
  <c r="I110" i="9" s="1"/>
  <c r="D110" i="9"/>
  <c r="H110" i="9" s="1"/>
  <c r="L109" i="9"/>
  <c r="K109" i="9"/>
  <c r="F109" i="9"/>
  <c r="I109" i="9" s="1"/>
  <c r="D109" i="9"/>
  <c r="H109" i="9" s="1"/>
  <c r="L108" i="9"/>
  <c r="K108" i="9"/>
  <c r="F108" i="9"/>
  <c r="I108" i="9" s="1"/>
  <c r="D108" i="9"/>
  <c r="H108" i="9" s="1"/>
  <c r="L107" i="9"/>
  <c r="K107" i="9"/>
  <c r="F107" i="9"/>
  <c r="I107" i="9" s="1"/>
  <c r="D107" i="9"/>
  <c r="H107" i="9" s="1"/>
  <c r="L106" i="9"/>
  <c r="K106" i="9"/>
  <c r="F106" i="9"/>
  <c r="I106" i="9" s="1"/>
  <c r="D106" i="9"/>
  <c r="H106" i="9" s="1"/>
  <c r="L105" i="9"/>
  <c r="K105" i="9"/>
  <c r="F105" i="9"/>
  <c r="I105" i="9" s="1"/>
  <c r="D105" i="9"/>
  <c r="H105" i="9" s="1"/>
  <c r="L104" i="9"/>
  <c r="K104" i="9"/>
  <c r="F104" i="9"/>
  <c r="I104" i="9" s="1"/>
  <c r="D104" i="9"/>
  <c r="H104" i="9" s="1"/>
  <c r="L103" i="9"/>
  <c r="K103" i="9"/>
  <c r="F103" i="9"/>
  <c r="I103" i="9" s="1"/>
  <c r="D103" i="9"/>
  <c r="H103" i="9" s="1"/>
  <c r="L102" i="9"/>
  <c r="K102" i="9"/>
  <c r="F102" i="9"/>
  <c r="I102" i="9" s="1"/>
  <c r="D102" i="9"/>
  <c r="H102" i="9" s="1"/>
  <c r="L101" i="9"/>
  <c r="K101" i="9"/>
  <c r="F101" i="9"/>
  <c r="I101" i="9" s="1"/>
  <c r="D101" i="9"/>
  <c r="H101" i="9" s="1"/>
  <c r="L100" i="9"/>
  <c r="K100" i="9"/>
  <c r="F100" i="9"/>
  <c r="I100" i="9" s="1"/>
  <c r="D100" i="9"/>
  <c r="H100" i="9" s="1"/>
  <c r="L99" i="9"/>
  <c r="K99" i="9"/>
  <c r="F99" i="9"/>
  <c r="I99" i="9" s="1"/>
  <c r="D99" i="9"/>
  <c r="H99" i="9" s="1"/>
  <c r="L98" i="9"/>
  <c r="K98" i="9"/>
  <c r="F98" i="9"/>
  <c r="I98" i="9" s="1"/>
  <c r="D98" i="9"/>
  <c r="H98" i="9" s="1"/>
  <c r="L97" i="9"/>
  <c r="K97" i="9"/>
  <c r="F97" i="9"/>
  <c r="I97" i="9" s="1"/>
  <c r="D97" i="9"/>
  <c r="H97" i="9" s="1"/>
  <c r="L96" i="9"/>
  <c r="K96" i="9"/>
  <c r="F96" i="9"/>
  <c r="I96" i="9" s="1"/>
  <c r="D96" i="9"/>
  <c r="H96" i="9" s="1"/>
  <c r="L95" i="9"/>
  <c r="K95" i="9"/>
  <c r="F95" i="9"/>
  <c r="I95" i="9" s="1"/>
  <c r="D95" i="9"/>
  <c r="H95" i="9" s="1"/>
  <c r="L94" i="9"/>
  <c r="K94" i="9"/>
  <c r="F94" i="9"/>
  <c r="I94" i="9" s="1"/>
  <c r="D94" i="9"/>
  <c r="H94" i="9" s="1"/>
  <c r="L93" i="9"/>
  <c r="K93" i="9"/>
  <c r="F93" i="9"/>
  <c r="I93" i="9" s="1"/>
  <c r="D93" i="9"/>
  <c r="H93" i="9" s="1"/>
  <c r="L92" i="9"/>
  <c r="K92" i="9"/>
  <c r="F92" i="9"/>
  <c r="I92" i="9" s="1"/>
  <c r="D92" i="9"/>
  <c r="H92" i="9" s="1"/>
  <c r="L91" i="9"/>
  <c r="K91" i="9"/>
  <c r="F91" i="9"/>
  <c r="I91" i="9" s="1"/>
  <c r="D91" i="9"/>
  <c r="H91" i="9" s="1"/>
  <c r="L90" i="9"/>
  <c r="K90" i="9"/>
  <c r="F90" i="9"/>
  <c r="I90" i="9" s="1"/>
  <c r="D90" i="9"/>
  <c r="H90" i="9" s="1"/>
  <c r="L89" i="9"/>
  <c r="K89" i="9"/>
  <c r="F89" i="9"/>
  <c r="I89" i="9" s="1"/>
  <c r="D89" i="9"/>
  <c r="H89" i="9" s="1"/>
  <c r="L88" i="9"/>
  <c r="K88" i="9"/>
  <c r="F88" i="9"/>
  <c r="I88" i="9" s="1"/>
  <c r="D88" i="9"/>
  <c r="H88" i="9" s="1"/>
  <c r="L87" i="9"/>
  <c r="K87" i="9"/>
  <c r="F87" i="9"/>
  <c r="I87" i="9" s="1"/>
  <c r="D87" i="9"/>
  <c r="H87" i="9" s="1"/>
  <c r="L86" i="9"/>
  <c r="K86" i="9"/>
  <c r="F86" i="9"/>
  <c r="I86" i="9" s="1"/>
  <c r="D86" i="9"/>
  <c r="H86" i="9" s="1"/>
  <c r="L85" i="9"/>
  <c r="K85" i="9"/>
  <c r="F85" i="9"/>
  <c r="I85" i="9" s="1"/>
  <c r="D85" i="9"/>
  <c r="H85" i="9" s="1"/>
  <c r="L84" i="9"/>
  <c r="K84" i="9"/>
  <c r="F84" i="9"/>
  <c r="I84" i="9" s="1"/>
  <c r="D84" i="9"/>
  <c r="H84" i="9" s="1"/>
  <c r="L83" i="9"/>
  <c r="K83" i="9"/>
  <c r="F83" i="9"/>
  <c r="I83" i="9" s="1"/>
  <c r="D83" i="9"/>
  <c r="H83" i="9" s="1"/>
  <c r="L82" i="9"/>
  <c r="K82" i="9"/>
  <c r="F82" i="9"/>
  <c r="I82" i="9" s="1"/>
  <c r="D82" i="9"/>
  <c r="H82" i="9" s="1"/>
  <c r="L81" i="9"/>
  <c r="K81" i="9"/>
  <c r="F81" i="9"/>
  <c r="I81" i="9" s="1"/>
  <c r="D81" i="9"/>
  <c r="H81" i="9" s="1"/>
  <c r="L80" i="9"/>
  <c r="K80" i="9"/>
  <c r="F80" i="9"/>
  <c r="I80" i="9" s="1"/>
  <c r="D80" i="9"/>
  <c r="H80" i="9" s="1"/>
  <c r="L79" i="9"/>
  <c r="K79" i="9"/>
  <c r="F79" i="9"/>
  <c r="I79" i="9" s="1"/>
  <c r="D79" i="9"/>
  <c r="H79" i="9" s="1"/>
  <c r="L78" i="9"/>
  <c r="K78" i="9"/>
  <c r="F78" i="9"/>
  <c r="I78" i="9" s="1"/>
  <c r="D78" i="9"/>
  <c r="H78" i="9" s="1"/>
  <c r="L77" i="9"/>
  <c r="K77" i="9"/>
  <c r="F77" i="9"/>
  <c r="I77" i="9" s="1"/>
  <c r="D77" i="9"/>
  <c r="H77" i="9" s="1"/>
  <c r="L76" i="9"/>
  <c r="K76" i="9"/>
  <c r="F76" i="9"/>
  <c r="I76" i="9" s="1"/>
  <c r="D76" i="9"/>
  <c r="H76" i="9" s="1"/>
  <c r="L75" i="9"/>
  <c r="K75" i="9"/>
  <c r="F75" i="9"/>
  <c r="I75" i="9" s="1"/>
  <c r="D75" i="9"/>
  <c r="H75" i="9" s="1"/>
  <c r="L74" i="9"/>
  <c r="K74" i="9"/>
  <c r="F74" i="9"/>
  <c r="I74" i="9" s="1"/>
  <c r="D74" i="9"/>
  <c r="H74" i="9" s="1"/>
  <c r="L73" i="9"/>
  <c r="K73" i="9"/>
  <c r="F73" i="9"/>
  <c r="I73" i="9" s="1"/>
  <c r="D73" i="9"/>
  <c r="H73" i="9" s="1"/>
  <c r="L72" i="9"/>
  <c r="K72" i="9"/>
  <c r="F72" i="9"/>
  <c r="I72" i="9" s="1"/>
  <c r="D72" i="9"/>
  <c r="H72" i="9" s="1"/>
  <c r="L71" i="9"/>
  <c r="K71" i="9"/>
  <c r="F71" i="9"/>
  <c r="I71" i="9" s="1"/>
  <c r="D71" i="9"/>
  <c r="H71" i="9" s="1"/>
  <c r="L70" i="9"/>
  <c r="K70" i="9"/>
  <c r="F70" i="9"/>
  <c r="I70" i="9" s="1"/>
  <c r="D70" i="9"/>
  <c r="H70" i="9" s="1"/>
  <c r="L69" i="9"/>
  <c r="K69" i="9"/>
  <c r="F69" i="9"/>
  <c r="I69" i="9" s="1"/>
  <c r="D69" i="9"/>
  <c r="H69" i="9" s="1"/>
  <c r="L68" i="9"/>
  <c r="K68" i="9"/>
  <c r="F68" i="9"/>
  <c r="I68" i="9" s="1"/>
  <c r="D68" i="9"/>
  <c r="H68" i="9" s="1"/>
  <c r="L67" i="9"/>
  <c r="K67" i="9"/>
  <c r="F67" i="9"/>
  <c r="I67" i="9" s="1"/>
  <c r="D67" i="9"/>
  <c r="H67" i="9" s="1"/>
  <c r="L66" i="9"/>
  <c r="K66" i="9"/>
  <c r="F66" i="9"/>
  <c r="I66" i="9" s="1"/>
  <c r="D66" i="9"/>
  <c r="H66" i="9" s="1"/>
  <c r="L65" i="9"/>
  <c r="K65" i="9"/>
  <c r="F65" i="9"/>
  <c r="I65" i="9" s="1"/>
  <c r="D65" i="9"/>
  <c r="H65" i="9" s="1"/>
  <c r="L64" i="9"/>
  <c r="K64" i="9"/>
  <c r="F64" i="9"/>
  <c r="I64" i="9" s="1"/>
  <c r="D64" i="9"/>
  <c r="H64" i="9" s="1"/>
  <c r="L63" i="9"/>
  <c r="K63" i="9"/>
  <c r="F63" i="9"/>
  <c r="I63" i="9" s="1"/>
  <c r="D63" i="9"/>
  <c r="H63" i="9" s="1"/>
  <c r="L62" i="9"/>
  <c r="K62" i="9"/>
  <c r="F62" i="9"/>
  <c r="I62" i="9" s="1"/>
  <c r="D62" i="9"/>
  <c r="H62" i="9" s="1"/>
  <c r="L61" i="9"/>
  <c r="K61" i="9"/>
  <c r="F61" i="9"/>
  <c r="I61" i="9" s="1"/>
  <c r="D61" i="9"/>
  <c r="H61" i="9" s="1"/>
  <c r="L60" i="9"/>
  <c r="K60" i="9"/>
  <c r="F60" i="9"/>
  <c r="I60" i="9" s="1"/>
  <c r="D60" i="9"/>
  <c r="H60" i="9" s="1"/>
  <c r="L59" i="9"/>
  <c r="K59" i="9"/>
  <c r="F59" i="9"/>
  <c r="I59" i="9" s="1"/>
  <c r="D59" i="9"/>
  <c r="H59" i="9" s="1"/>
  <c r="L58" i="9"/>
  <c r="K58" i="9"/>
  <c r="F58" i="9"/>
  <c r="I58" i="9" s="1"/>
  <c r="D58" i="9"/>
  <c r="H58" i="9" s="1"/>
  <c r="L57" i="9"/>
  <c r="K57" i="9"/>
  <c r="F57" i="9"/>
  <c r="I57" i="9" s="1"/>
  <c r="D57" i="9"/>
  <c r="H57" i="9" s="1"/>
  <c r="L56" i="9"/>
  <c r="K56" i="9"/>
  <c r="F56" i="9"/>
  <c r="I56" i="9" s="1"/>
  <c r="D56" i="9"/>
  <c r="H56" i="9" s="1"/>
  <c r="L55" i="9"/>
  <c r="K55" i="9"/>
  <c r="F55" i="9"/>
  <c r="I55" i="9" s="1"/>
  <c r="D55" i="9"/>
  <c r="H55" i="9" s="1"/>
  <c r="L54" i="9"/>
  <c r="K54" i="9"/>
  <c r="F54" i="9"/>
  <c r="I54" i="9" s="1"/>
  <c r="D54" i="9"/>
  <c r="H54" i="9" s="1"/>
  <c r="L53" i="9"/>
  <c r="K53" i="9"/>
  <c r="F53" i="9"/>
  <c r="I53" i="9" s="1"/>
  <c r="D53" i="9"/>
  <c r="H53" i="9" s="1"/>
  <c r="L52" i="9"/>
  <c r="K52" i="9"/>
  <c r="F52" i="9"/>
  <c r="I52" i="9" s="1"/>
  <c r="D52" i="9"/>
  <c r="H52" i="9" s="1"/>
  <c r="L51" i="9"/>
  <c r="K51" i="9"/>
  <c r="F51" i="9"/>
  <c r="I51" i="9" s="1"/>
  <c r="D51" i="9"/>
  <c r="H51" i="9" s="1"/>
  <c r="L50" i="9"/>
  <c r="K50" i="9"/>
  <c r="F50" i="9"/>
  <c r="I50" i="9" s="1"/>
  <c r="D50" i="9"/>
  <c r="H50" i="9" s="1"/>
  <c r="L49" i="9"/>
  <c r="K49" i="9"/>
  <c r="F49" i="9"/>
  <c r="I49" i="9" s="1"/>
  <c r="D49" i="9"/>
  <c r="H49" i="9" s="1"/>
  <c r="L48" i="9"/>
  <c r="K48" i="9"/>
  <c r="F48" i="9"/>
  <c r="I48" i="9" s="1"/>
  <c r="D48" i="9"/>
  <c r="H48" i="9" s="1"/>
  <c r="L47" i="9"/>
  <c r="K47" i="9"/>
  <c r="F47" i="9"/>
  <c r="I47" i="9" s="1"/>
  <c r="D47" i="9"/>
  <c r="H47" i="9" s="1"/>
  <c r="L46" i="9"/>
  <c r="K46" i="9"/>
  <c r="F46" i="9"/>
  <c r="I46" i="9" s="1"/>
  <c r="D46" i="9"/>
  <c r="H46" i="9" s="1"/>
  <c r="L45" i="9"/>
  <c r="K45" i="9"/>
  <c r="F45" i="9"/>
  <c r="I45" i="9" s="1"/>
  <c r="D45" i="9"/>
  <c r="H45" i="9" s="1"/>
  <c r="L44" i="9"/>
  <c r="K44" i="9"/>
  <c r="F44" i="9"/>
  <c r="I44" i="9" s="1"/>
  <c r="D44" i="9"/>
  <c r="H44" i="9" s="1"/>
  <c r="L43" i="9"/>
  <c r="K43" i="9"/>
  <c r="F43" i="9"/>
  <c r="I43" i="9" s="1"/>
  <c r="D43" i="9"/>
  <c r="H43" i="9" s="1"/>
  <c r="L42" i="9"/>
  <c r="K42" i="9"/>
  <c r="F42" i="9"/>
  <c r="I42" i="9" s="1"/>
  <c r="D42" i="9"/>
  <c r="H42" i="9" s="1"/>
  <c r="L41" i="9"/>
  <c r="K41" i="9"/>
  <c r="F41" i="9"/>
  <c r="I41" i="9" s="1"/>
  <c r="D41" i="9"/>
  <c r="H41" i="9" s="1"/>
  <c r="L40" i="9"/>
  <c r="K40" i="9"/>
  <c r="F40" i="9"/>
  <c r="I40" i="9" s="1"/>
  <c r="D40" i="9"/>
  <c r="H40" i="9" s="1"/>
  <c r="L39" i="9"/>
  <c r="K39" i="9"/>
  <c r="F39" i="9"/>
  <c r="I39" i="9" s="1"/>
  <c r="D39" i="9"/>
  <c r="H39" i="9" s="1"/>
  <c r="L38" i="9"/>
  <c r="K38" i="9"/>
  <c r="F38" i="9"/>
  <c r="I38" i="9" s="1"/>
  <c r="D38" i="9"/>
  <c r="H38" i="9" s="1"/>
  <c r="L37" i="9"/>
  <c r="K37" i="9"/>
  <c r="F37" i="9"/>
  <c r="I37" i="9" s="1"/>
  <c r="D37" i="9"/>
  <c r="H37" i="9" s="1"/>
  <c r="L36" i="9"/>
  <c r="K36" i="9"/>
  <c r="F36" i="9"/>
  <c r="I36" i="9" s="1"/>
  <c r="D36" i="9"/>
  <c r="H36" i="9" s="1"/>
  <c r="L35" i="9"/>
  <c r="K35" i="9"/>
  <c r="F35" i="9"/>
  <c r="I35" i="9" s="1"/>
  <c r="D35" i="9"/>
  <c r="H35" i="9" s="1"/>
  <c r="L34" i="9"/>
  <c r="K34" i="9"/>
  <c r="F34" i="9"/>
  <c r="I34" i="9" s="1"/>
  <c r="D34" i="9"/>
  <c r="H34" i="9" s="1"/>
  <c r="L33" i="9"/>
  <c r="K33" i="9"/>
  <c r="F33" i="9"/>
  <c r="I33" i="9" s="1"/>
  <c r="D33" i="9"/>
  <c r="H33" i="9" s="1"/>
  <c r="L32" i="9"/>
  <c r="K32" i="9"/>
  <c r="F32" i="9"/>
  <c r="I32" i="9" s="1"/>
  <c r="D32" i="9"/>
  <c r="H32" i="9" s="1"/>
  <c r="L31" i="9"/>
  <c r="K31" i="9"/>
  <c r="F31" i="9"/>
  <c r="I31" i="9" s="1"/>
  <c r="D31" i="9"/>
  <c r="H31" i="9" s="1"/>
  <c r="L30" i="9"/>
  <c r="K30" i="9"/>
  <c r="F30" i="9"/>
  <c r="I30" i="9" s="1"/>
  <c r="D30" i="9"/>
  <c r="H30" i="9" s="1"/>
  <c r="L29" i="9"/>
  <c r="K29" i="9"/>
  <c r="F29" i="9"/>
  <c r="I29" i="9" s="1"/>
  <c r="D29" i="9"/>
  <c r="H29" i="9" s="1"/>
  <c r="L28" i="9"/>
  <c r="K28" i="9"/>
  <c r="F28" i="9"/>
  <c r="I28" i="9" s="1"/>
  <c r="D28" i="9"/>
  <c r="H28" i="9" s="1"/>
  <c r="L27" i="9"/>
  <c r="K27" i="9"/>
  <c r="F27" i="9"/>
  <c r="I27" i="9" s="1"/>
  <c r="D27" i="9"/>
  <c r="H27" i="9" s="1"/>
  <c r="L26" i="9"/>
  <c r="K26" i="9"/>
  <c r="F26" i="9"/>
  <c r="I26" i="9" s="1"/>
  <c r="D26" i="9"/>
  <c r="H26" i="9" s="1"/>
  <c r="L25" i="9"/>
  <c r="K25" i="9"/>
  <c r="F25" i="9"/>
  <c r="I25" i="9" s="1"/>
  <c r="D25" i="9"/>
  <c r="H25" i="9" s="1"/>
  <c r="L24" i="9"/>
  <c r="K24" i="9"/>
  <c r="F24" i="9"/>
  <c r="I24" i="9" s="1"/>
  <c r="D24" i="9"/>
  <c r="H24" i="9" s="1"/>
  <c r="L23" i="9"/>
  <c r="K23" i="9"/>
  <c r="F23" i="9"/>
  <c r="I23" i="9" s="1"/>
  <c r="D23" i="9"/>
  <c r="H23" i="9" s="1"/>
  <c r="L22" i="9"/>
  <c r="K22" i="9"/>
  <c r="F22" i="9"/>
  <c r="I22" i="9" s="1"/>
  <c r="D22" i="9"/>
  <c r="H22" i="9" s="1"/>
  <c r="L21" i="9"/>
  <c r="K21" i="9"/>
  <c r="F21" i="9"/>
  <c r="I21" i="9" s="1"/>
  <c r="D21" i="9"/>
  <c r="H21" i="9" s="1"/>
  <c r="L20" i="9"/>
  <c r="K20" i="9"/>
  <c r="F20" i="9"/>
  <c r="I20" i="9" s="1"/>
  <c r="D20" i="9"/>
  <c r="H20" i="9" s="1"/>
  <c r="L19" i="9"/>
  <c r="K19" i="9"/>
  <c r="F19" i="9"/>
  <c r="I19" i="9" s="1"/>
  <c r="D19" i="9"/>
  <c r="H19" i="9" s="1"/>
  <c r="L18" i="9"/>
  <c r="K18" i="9"/>
  <c r="F18" i="9"/>
  <c r="I18" i="9" s="1"/>
  <c r="D18" i="9"/>
  <c r="H18" i="9" s="1"/>
  <c r="L17" i="9"/>
  <c r="K17" i="9"/>
  <c r="F17" i="9"/>
  <c r="I17" i="9" s="1"/>
  <c r="D17" i="9"/>
  <c r="H17" i="9" s="1"/>
  <c r="L16" i="9"/>
  <c r="K16" i="9"/>
  <c r="F16" i="9"/>
  <c r="I16" i="9" s="1"/>
  <c r="D16" i="9"/>
  <c r="H16" i="9" s="1"/>
  <c r="L15" i="9"/>
  <c r="K15" i="9"/>
  <c r="F15" i="9"/>
  <c r="I15" i="9" s="1"/>
  <c r="D15" i="9"/>
  <c r="H15" i="9" s="1"/>
  <c r="L14" i="9"/>
  <c r="K14" i="9"/>
  <c r="F14" i="9"/>
  <c r="I14" i="9" s="1"/>
  <c r="D14" i="9"/>
  <c r="H14" i="9" s="1"/>
  <c r="L13" i="9"/>
  <c r="K13" i="9"/>
  <c r="F13" i="9"/>
  <c r="I13" i="9" s="1"/>
  <c r="D13" i="9"/>
  <c r="H13" i="9" s="1"/>
  <c r="L12" i="9"/>
  <c r="K12" i="9"/>
  <c r="F12" i="9"/>
  <c r="I12" i="9" s="1"/>
  <c r="D12" i="9"/>
  <c r="H12" i="9" s="1"/>
  <c r="L11" i="9"/>
  <c r="K11" i="9"/>
  <c r="F11" i="9"/>
  <c r="I11" i="9" s="1"/>
  <c r="D11" i="9"/>
  <c r="H11" i="9" s="1"/>
  <c r="L10" i="9"/>
  <c r="K10" i="9"/>
  <c r="F10" i="9"/>
  <c r="I10" i="9" s="1"/>
  <c r="D10" i="9"/>
  <c r="H10" i="9" s="1"/>
  <c r="L9" i="9"/>
  <c r="K9" i="9"/>
  <c r="F9" i="9"/>
  <c r="I9" i="9" s="1"/>
  <c r="D9" i="9"/>
  <c r="H9" i="9" s="1"/>
  <c r="L8" i="9"/>
  <c r="K8" i="9"/>
  <c r="F8" i="9"/>
  <c r="I8" i="9" s="1"/>
  <c r="D8" i="9"/>
  <c r="H8" i="9" s="1"/>
  <c r="L7" i="9"/>
  <c r="K7" i="9"/>
  <c r="F7" i="9"/>
  <c r="I7" i="9" s="1"/>
  <c r="D7" i="9"/>
  <c r="H7" i="9" s="1"/>
  <c r="L6" i="9"/>
  <c r="K6" i="9"/>
  <c r="F6" i="9"/>
  <c r="I6" i="9" s="1"/>
  <c r="D6" i="9"/>
  <c r="H6" i="9" s="1"/>
  <c r="L5" i="9"/>
  <c r="K5" i="9"/>
  <c r="F5" i="9"/>
  <c r="I5" i="9" s="1"/>
  <c r="D5" i="9"/>
  <c r="H5" i="9" s="1"/>
  <c r="L4" i="9"/>
  <c r="K4" i="9"/>
  <c r="F4" i="9"/>
  <c r="I4" i="9" s="1"/>
  <c r="D4" i="9"/>
  <c r="H4" i="9" s="1"/>
  <c r="L3" i="9"/>
  <c r="K3" i="9"/>
  <c r="F3" i="9"/>
  <c r="I3" i="9" s="1"/>
  <c r="D3" i="9"/>
  <c r="H3" i="9" s="1"/>
  <c r="L2" i="9"/>
  <c r="K2" i="9"/>
  <c r="F2" i="9"/>
  <c r="I2" i="9" s="1"/>
  <c r="D2" i="9"/>
  <c r="H2" i="9" s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4" i="2"/>
  <c r="B133" i="9" a="1"/>
  <c r="B143" i="9" a="1"/>
  <c r="B62" i="9" a="1"/>
  <c r="B75" i="9" a="1"/>
  <c r="B45" i="9" a="1"/>
  <c r="B113" i="9" a="1"/>
  <c r="B126" i="9" a="1"/>
  <c r="B53" i="9" a="1"/>
  <c r="B82" i="9" a="1"/>
  <c r="B160" i="9" a="1"/>
  <c r="B93" i="9" a="1"/>
  <c r="B65" i="9" a="1"/>
  <c r="B12" i="9" a="1"/>
  <c r="B102" i="9" a="1"/>
  <c r="B95" i="9" a="1"/>
  <c r="B106" i="9" a="1"/>
  <c r="B83" i="9" a="1"/>
  <c r="B155" i="9" a="1"/>
  <c r="B57" i="9" a="1"/>
  <c r="B112" i="9" a="1"/>
  <c r="B50" i="9" a="1"/>
  <c r="B78" i="9" a="1"/>
  <c r="B67" i="9" a="1"/>
  <c r="B132" i="9" a="1"/>
  <c r="B120" i="9" a="1"/>
  <c r="B3" i="9" a="1"/>
  <c r="B125" i="9" a="1"/>
  <c r="B6" i="9" a="1"/>
  <c r="B77" i="9" a="1"/>
  <c r="B101" i="9" a="1"/>
  <c r="B140" i="9" a="1"/>
  <c r="B152" i="9" a="1"/>
  <c r="B72" i="9" a="1"/>
  <c r="B163" i="9" a="1"/>
  <c r="B94" i="9" a="1"/>
  <c r="B157" i="9" a="1"/>
  <c r="B87" i="9" a="1"/>
  <c r="B86" i="9" a="1"/>
  <c r="B119" i="9" a="1"/>
  <c r="B196" i="9" a="1"/>
  <c r="B20" i="9" a="1"/>
  <c r="B105" i="9" a="1"/>
  <c r="B59" i="9" a="1"/>
  <c r="B80" i="9" a="1"/>
  <c r="B43" i="9" a="1"/>
  <c r="B134" i="9" a="1"/>
  <c r="B128" i="9" a="1"/>
  <c r="B90" i="9" a="1"/>
  <c r="B73" i="9" a="1"/>
  <c r="B21" i="9" a="1"/>
  <c r="B127" i="9" a="1"/>
  <c r="B153" i="9" a="1"/>
  <c r="B100" i="9" a="1"/>
  <c r="B146" i="9" a="1"/>
  <c r="B38" i="9" a="1"/>
  <c r="B110" i="9" a="1"/>
  <c r="B154" i="9" a="1"/>
  <c r="B129" i="9" a="1"/>
  <c r="B108" i="9" a="1"/>
  <c r="B96" i="9" a="1"/>
  <c r="B92" i="9" a="1"/>
  <c r="B91" i="9" a="1"/>
  <c r="B147" i="9" a="1"/>
  <c r="B104" i="9" a="1"/>
  <c r="B42" i="9" a="1"/>
  <c r="B26" i="9" a="1"/>
  <c r="B198" i="9" a="1"/>
  <c r="B89" i="9" a="1"/>
  <c r="B46" i="9" a="1"/>
  <c r="B114" i="9" a="1"/>
  <c r="B61" i="9" a="1"/>
  <c r="B84" i="9" a="1"/>
  <c r="B88" i="9" a="1"/>
  <c r="B123" i="9" a="1"/>
  <c r="B68" i="9" a="1"/>
  <c r="B5" i="9" a="1"/>
  <c r="B98" i="9" a="1"/>
  <c r="B109" i="9" a="1"/>
  <c r="B66" i="9" a="1"/>
  <c r="B85" i="9" a="1"/>
  <c r="B30" i="9" a="1"/>
  <c r="B135" i="9" a="1"/>
  <c r="B22" i="9" a="1"/>
  <c r="B60" i="9" a="1"/>
  <c r="B74" i="9" a="1"/>
  <c r="B141" i="9" a="1"/>
  <c r="B71" i="9" a="1"/>
  <c r="B14" i="9" a="1"/>
  <c r="B121" i="9" a="1"/>
  <c r="B55" i="9" a="1"/>
  <c r="B97" i="9" a="1"/>
  <c r="B47" i="9" a="1"/>
  <c r="B159" i="9" a="1"/>
  <c r="B34" i="9" a="1"/>
  <c r="B33" i="9" a="1"/>
  <c r="B64" i="9" a="1"/>
  <c r="B122" i="9" a="1"/>
  <c r="B18" i="9" a="1"/>
  <c r="B40" i="9" a="1"/>
  <c r="B197" i="9" a="1"/>
  <c r="B70" i="9" a="1"/>
  <c r="B144" i="9" a="1"/>
  <c r="B23" i="9" a="1"/>
  <c r="B158" i="9" a="1"/>
  <c r="B28" i="9" a="1"/>
  <c r="B58" i="9" a="1"/>
  <c r="B9" i="9" a="1"/>
  <c r="B76" i="9" a="1"/>
  <c r="B16" i="9" a="1"/>
  <c r="B39" i="9" a="1"/>
  <c r="B137" i="9" a="1"/>
  <c r="B142" i="9" a="1"/>
  <c r="B49" i="9" a="1"/>
  <c r="B11" i="9" a="1"/>
  <c r="B156" i="9" a="1"/>
  <c r="B32" i="9" a="1"/>
  <c r="B151" i="9" a="1"/>
  <c r="B63" i="9" a="1"/>
  <c r="B51" i="9" a="1"/>
  <c r="B150" i="9" a="1"/>
  <c r="B149" i="9" a="1"/>
  <c r="B79" i="9" a="1"/>
  <c r="B131" i="9" a="1"/>
  <c r="B2" i="6" a="1"/>
  <c r="B4" i="9" a="1"/>
  <c r="B27" i="9" a="1"/>
  <c r="B111" i="9" a="1"/>
  <c r="B7" i="9" a="1"/>
  <c r="B37" i="9" a="1"/>
  <c r="B44" i="9" a="1"/>
  <c r="B48" i="9" a="1"/>
  <c r="B138" i="9" a="1"/>
  <c r="B161" i="9" a="1"/>
  <c r="B54" i="9" a="1"/>
  <c r="B145" i="9" a="1"/>
  <c r="B81" i="9" a="1"/>
  <c r="B115" i="9" a="1"/>
  <c r="B52" i="9" a="1"/>
  <c r="B15" i="9" a="1"/>
  <c r="B99" i="9" a="1"/>
  <c r="B136" i="9" a="1"/>
  <c r="B25" i="9" a="1"/>
  <c r="B8" i="9" a="1"/>
  <c r="B36" i="9" a="1"/>
  <c r="B116" i="9" a="1"/>
  <c r="B130" i="9" a="1"/>
  <c r="B148" i="9" a="1"/>
  <c r="B117" i="9" a="1"/>
  <c r="B69" i="9" a="1"/>
  <c r="B103" i="9" a="1"/>
  <c r="B124" i="9" a="1"/>
  <c r="B2" i="9" a="1"/>
  <c r="B56" i="9" a="1"/>
  <c r="B41" i="9" a="1"/>
  <c r="B13" i="9" a="1"/>
  <c r="B31" i="9" a="1"/>
  <c r="B24" i="9" a="1"/>
  <c r="B19" i="9" a="1"/>
  <c r="B107" i="9" a="1"/>
  <c r="B118" i="9" a="1"/>
  <c r="B164" i="9" a="1"/>
  <c r="B29" i="9" a="1"/>
  <c r="B162" i="9" a="1"/>
  <c r="B17" i="9" a="1"/>
  <c r="B195" i="9" a="1"/>
  <c r="B35" i="9" a="1"/>
  <c r="B10" i="9" a="1"/>
  <c r="B139" i="9" a="1"/>
  <c r="B2" i="6" l="1"/>
  <c r="M2" i="6" s="1"/>
  <c r="D4" i="2"/>
  <c r="B67" i="9"/>
  <c r="B79" i="9"/>
  <c r="B125" i="9"/>
  <c r="B138" i="9"/>
  <c r="B150" i="9"/>
  <c r="B54" i="9"/>
  <c r="B66" i="9"/>
  <c r="B78" i="9"/>
  <c r="B94" i="9"/>
  <c r="B131" i="9"/>
  <c r="B53" i="9"/>
  <c r="B52" i="9"/>
  <c r="B64" i="9"/>
  <c r="B76" i="9"/>
  <c r="B147" i="9"/>
  <c r="B159" i="9"/>
  <c r="B51" i="9"/>
  <c r="B63" i="9"/>
  <c r="B75" i="9"/>
  <c r="B87" i="9"/>
  <c r="B93" i="9"/>
  <c r="B135" i="9"/>
  <c r="B2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62" i="9"/>
  <c r="B74" i="9"/>
  <c r="B86" i="9"/>
  <c r="B3" i="9"/>
  <c r="B61" i="9"/>
  <c r="B73" i="9"/>
  <c r="B85" i="9"/>
  <c r="B92" i="9"/>
  <c r="B144" i="9"/>
  <c r="B156" i="9"/>
  <c r="B60" i="9"/>
  <c r="B72" i="9"/>
  <c r="B84" i="9"/>
  <c r="B123" i="9"/>
  <c r="B77" i="9"/>
  <c r="B59" i="9"/>
  <c r="B71" i="9"/>
  <c r="B83" i="9"/>
  <c r="B91" i="9"/>
  <c r="B132" i="9"/>
  <c r="B89" i="9"/>
  <c r="B58" i="9"/>
  <c r="B70" i="9"/>
  <c r="B82" i="9"/>
  <c r="B141" i="9"/>
  <c r="B153" i="9"/>
  <c r="B65" i="9"/>
  <c r="B57" i="9"/>
  <c r="B69" i="9"/>
  <c r="B81" i="9"/>
  <c r="B90" i="9"/>
  <c r="B119" i="9"/>
  <c r="B55" i="9"/>
  <c r="B88" i="9"/>
  <c r="B121" i="9"/>
  <c r="B56" i="9"/>
  <c r="B68" i="9"/>
  <c r="B80" i="9"/>
  <c r="B122" i="9"/>
  <c r="B162" i="9"/>
  <c r="B120" i="9"/>
  <c r="B164" i="9"/>
  <c r="B196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30" i="9"/>
  <c r="B198" i="9"/>
  <c r="B129" i="9"/>
  <c r="B134" i="9"/>
  <c r="B137" i="9"/>
  <c r="B140" i="9"/>
  <c r="B143" i="9"/>
  <c r="B146" i="9"/>
  <c r="B149" i="9"/>
  <c r="B152" i="9"/>
  <c r="B155" i="9"/>
  <c r="B158" i="9"/>
  <c r="B161" i="9"/>
  <c r="B128" i="9"/>
  <c r="B127" i="9"/>
  <c r="B163" i="9"/>
  <c r="B195" i="9"/>
  <c r="B126" i="9"/>
  <c r="B133" i="9"/>
  <c r="B136" i="9"/>
  <c r="B139" i="9"/>
  <c r="B142" i="9"/>
  <c r="B145" i="9"/>
  <c r="B148" i="9"/>
  <c r="B151" i="9"/>
  <c r="B154" i="9"/>
  <c r="B157" i="9"/>
  <c r="B160" i="9"/>
  <c r="B197" i="9"/>
  <c r="B124" i="9"/>
  <c r="F4" i="2"/>
  <c r="D3" i="2"/>
  <c r="J124" i="9" l="1"/>
  <c r="M124" i="9"/>
  <c r="J160" i="9"/>
  <c r="M160" i="9"/>
  <c r="J157" i="9"/>
  <c r="M157" i="9"/>
  <c r="J154" i="9"/>
  <c r="M154" i="9"/>
  <c r="J151" i="9"/>
  <c r="M151" i="9"/>
  <c r="J148" i="9"/>
  <c r="M148" i="9"/>
  <c r="J145" i="9"/>
  <c r="M145" i="9"/>
  <c r="J142" i="9"/>
  <c r="M142" i="9"/>
  <c r="J139" i="9"/>
  <c r="M139" i="9"/>
  <c r="J136" i="9"/>
  <c r="M136" i="9"/>
  <c r="J133" i="9"/>
  <c r="M133" i="9"/>
  <c r="J126" i="9"/>
  <c r="M126" i="9"/>
  <c r="J163" i="9"/>
  <c r="M163" i="9"/>
  <c r="J127" i="9"/>
  <c r="M127" i="9"/>
  <c r="J128" i="9"/>
  <c r="M128" i="9"/>
  <c r="J161" i="9"/>
  <c r="M161" i="9"/>
  <c r="J158" i="9"/>
  <c r="M158" i="9"/>
  <c r="J155" i="9"/>
  <c r="M155" i="9"/>
  <c r="J152" i="9"/>
  <c r="M152" i="9"/>
  <c r="J149" i="9"/>
  <c r="M149" i="9"/>
  <c r="J146" i="9"/>
  <c r="M146" i="9"/>
  <c r="J143" i="9"/>
  <c r="M143" i="9"/>
  <c r="J140" i="9"/>
  <c r="M140" i="9"/>
  <c r="J137" i="9"/>
  <c r="M137" i="9"/>
  <c r="J134" i="9"/>
  <c r="M134" i="9"/>
  <c r="J129" i="9"/>
  <c r="M129" i="9"/>
  <c r="J130" i="9"/>
  <c r="M130" i="9"/>
  <c r="J118" i="9"/>
  <c r="M118" i="9"/>
  <c r="J117" i="9"/>
  <c r="M117" i="9"/>
  <c r="J116" i="9"/>
  <c r="M116" i="9"/>
  <c r="J115" i="9"/>
  <c r="M115" i="9"/>
  <c r="J114" i="9"/>
  <c r="M114" i="9"/>
  <c r="J113" i="9"/>
  <c r="M113" i="9"/>
  <c r="J112" i="9"/>
  <c r="M112" i="9"/>
  <c r="J111" i="9"/>
  <c r="M111" i="9"/>
  <c r="J110" i="9"/>
  <c r="M110" i="9"/>
  <c r="J109" i="9"/>
  <c r="M109" i="9"/>
  <c r="J108" i="9"/>
  <c r="M108" i="9"/>
  <c r="J107" i="9"/>
  <c r="M107" i="9"/>
  <c r="J106" i="9"/>
  <c r="M106" i="9"/>
  <c r="J105" i="9"/>
  <c r="M105" i="9"/>
  <c r="J104" i="9"/>
  <c r="M104" i="9"/>
  <c r="J103" i="9"/>
  <c r="M103" i="9"/>
  <c r="J102" i="9"/>
  <c r="M102" i="9"/>
  <c r="J101" i="9"/>
  <c r="M101" i="9"/>
  <c r="J100" i="9"/>
  <c r="M100" i="9"/>
  <c r="J99" i="9"/>
  <c r="M99" i="9"/>
  <c r="J98" i="9"/>
  <c r="M98" i="9"/>
  <c r="J97" i="9"/>
  <c r="M97" i="9"/>
  <c r="J96" i="9"/>
  <c r="M96" i="9"/>
  <c r="J95" i="9"/>
  <c r="M95" i="9"/>
  <c r="J164" i="9"/>
  <c r="M164" i="9"/>
  <c r="J120" i="9"/>
  <c r="M120" i="9"/>
  <c r="J162" i="9"/>
  <c r="M162" i="9"/>
  <c r="J122" i="9"/>
  <c r="M122" i="9"/>
  <c r="J80" i="9"/>
  <c r="M80" i="9"/>
  <c r="J68" i="9"/>
  <c r="M68" i="9"/>
  <c r="J56" i="9"/>
  <c r="M56" i="9"/>
  <c r="J121" i="9"/>
  <c r="M121" i="9"/>
  <c r="J88" i="9"/>
  <c r="M88" i="9"/>
  <c r="J55" i="9"/>
  <c r="M55" i="9"/>
  <c r="J119" i="9"/>
  <c r="M119" i="9"/>
  <c r="J90" i="9"/>
  <c r="M90" i="9"/>
  <c r="J81" i="9"/>
  <c r="M81" i="9"/>
  <c r="J69" i="9"/>
  <c r="M69" i="9"/>
  <c r="J57" i="9"/>
  <c r="M57" i="9"/>
  <c r="J65" i="9"/>
  <c r="M65" i="9"/>
  <c r="J153" i="9"/>
  <c r="M153" i="9"/>
  <c r="J141" i="9"/>
  <c r="M141" i="9"/>
  <c r="J82" i="9"/>
  <c r="M82" i="9"/>
  <c r="J70" i="9"/>
  <c r="M70" i="9"/>
  <c r="J58" i="9"/>
  <c r="M58" i="9"/>
  <c r="J89" i="9"/>
  <c r="M89" i="9"/>
  <c r="J132" i="9"/>
  <c r="M132" i="9"/>
  <c r="J91" i="9"/>
  <c r="M91" i="9"/>
  <c r="J83" i="9"/>
  <c r="M83" i="9"/>
  <c r="J71" i="9"/>
  <c r="M71" i="9"/>
  <c r="J59" i="9"/>
  <c r="M59" i="9"/>
  <c r="J77" i="9"/>
  <c r="M77" i="9"/>
  <c r="J123" i="9"/>
  <c r="M123" i="9"/>
  <c r="J84" i="9"/>
  <c r="M84" i="9"/>
  <c r="J72" i="9"/>
  <c r="M72" i="9"/>
  <c r="J60" i="9"/>
  <c r="M60" i="9"/>
  <c r="J156" i="9"/>
  <c r="M156" i="9"/>
  <c r="J144" i="9"/>
  <c r="M144" i="9"/>
  <c r="J92" i="9"/>
  <c r="M92" i="9"/>
  <c r="J85" i="9"/>
  <c r="M85" i="9"/>
  <c r="J73" i="9"/>
  <c r="M73" i="9"/>
  <c r="J61" i="9"/>
  <c r="M61" i="9"/>
  <c r="J3" i="9"/>
  <c r="M3" i="9"/>
  <c r="J86" i="9"/>
  <c r="M86" i="9"/>
  <c r="J74" i="9"/>
  <c r="M74" i="9"/>
  <c r="J62" i="9"/>
  <c r="M62" i="9"/>
  <c r="J50" i="9"/>
  <c r="M50" i="9"/>
  <c r="J49" i="9"/>
  <c r="M49" i="9"/>
  <c r="J48" i="9"/>
  <c r="M48" i="9"/>
  <c r="J47" i="9"/>
  <c r="M47" i="9"/>
  <c r="J46" i="9"/>
  <c r="M46" i="9"/>
  <c r="J45" i="9"/>
  <c r="M45" i="9"/>
  <c r="J44" i="9"/>
  <c r="M44" i="9"/>
  <c r="J43" i="9"/>
  <c r="M43" i="9"/>
  <c r="J42" i="9"/>
  <c r="M42" i="9"/>
  <c r="J41" i="9"/>
  <c r="M41" i="9"/>
  <c r="J40" i="9"/>
  <c r="M40" i="9"/>
  <c r="J39" i="9"/>
  <c r="M39" i="9"/>
  <c r="J38" i="9"/>
  <c r="M38" i="9"/>
  <c r="J37" i="9"/>
  <c r="M37" i="9"/>
  <c r="J36" i="9"/>
  <c r="M36" i="9"/>
  <c r="J35" i="9"/>
  <c r="M35" i="9"/>
  <c r="J34" i="9"/>
  <c r="M34" i="9"/>
  <c r="J33" i="9"/>
  <c r="M33" i="9"/>
  <c r="J32" i="9"/>
  <c r="M32" i="9"/>
  <c r="J31" i="9"/>
  <c r="M31" i="9"/>
  <c r="J30" i="9"/>
  <c r="M30" i="9"/>
  <c r="J29" i="9"/>
  <c r="M29" i="9"/>
  <c r="J28" i="9"/>
  <c r="M28" i="9"/>
  <c r="J27" i="9"/>
  <c r="M27" i="9"/>
  <c r="J26" i="9"/>
  <c r="M26" i="9"/>
  <c r="J25" i="9"/>
  <c r="M25" i="9"/>
  <c r="J24" i="9"/>
  <c r="M24" i="9"/>
  <c r="J23" i="9"/>
  <c r="M23" i="9"/>
  <c r="J22" i="9"/>
  <c r="M22" i="9"/>
  <c r="J21" i="9"/>
  <c r="M21" i="9"/>
  <c r="J20" i="9"/>
  <c r="M20" i="9"/>
  <c r="J19" i="9"/>
  <c r="M19" i="9"/>
  <c r="J18" i="9"/>
  <c r="M18" i="9"/>
  <c r="J17" i="9"/>
  <c r="M17" i="9"/>
  <c r="J16" i="9"/>
  <c r="M16" i="9"/>
  <c r="J15" i="9"/>
  <c r="M15" i="9"/>
  <c r="J14" i="9"/>
  <c r="M14" i="9"/>
  <c r="J13" i="9"/>
  <c r="M13" i="9"/>
  <c r="J12" i="9"/>
  <c r="M12" i="9"/>
  <c r="J11" i="9"/>
  <c r="M11" i="9"/>
  <c r="J10" i="9"/>
  <c r="M10" i="9"/>
  <c r="J9" i="9"/>
  <c r="M9" i="9"/>
  <c r="J8" i="9"/>
  <c r="M8" i="9"/>
  <c r="J7" i="9"/>
  <c r="M7" i="9"/>
  <c r="J6" i="9"/>
  <c r="M6" i="9"/>
  <c r="J5" i="9"/>
  <c r="M5" i="9"/>
  <c r="J4" i="9"/>
  <c r="M4" i="9"/>
  <c r="J2" i="9"/>
  <c r="M2" i="9"/>
  <c r="J135" i="9"/>
  <c r="M135" i="9"/>
  <c r="J93" i="9"/>
  <c r="M93" i="9"/>
  <c r="J87" i="9"/>
  <c r="M87" i="9"/>
  <c r="J75" i="9"/>
  <c r="M75" i="9"/>
  <c r="J63" i="9"/>
  <c r="M63" i="9"/>
  <c r="J51" i="9"/>
  <c r="M51" i="9"/>
  <c r="J159" i="9"/>
  <c r="M159" i="9"/>
  <c r="J147" i="9"/>
  <c r="M147" i="9"/>
  <c r="J76" i="9"/>
  <c r="M76" i="9"/>
  <c r="J64" i="9"/>
  <c r="M64" i="9"/>
  <c r="J52" i="9"/>
  <c r="M52" i="9"/>
  <c r="J53" i="9"/>
  <c r="M53" i="9"/>
  <c r="J131" i="9"/>
  <c r="M131" i="9"/>
  <c r="J94" i="9"/>
  <c r="M94" i="9"/>
  <c r="J78" i="9"/>
  <c r="M78" i="9"/>
  <c r="J66" i="9"/>
  <c r="M66" i="9"/>
  <c r="J54" i="9"/>
  <c r="M54" i="9"/>
  <c r="J150" i="9"/>
  <c r="M150" i="9"/>
  <c r="J138" i="9"/>
  <c r="M138" i="9"/>
  <c r="J125" i="9"/>
  <c r="M125" i="9"/>
  <c r="J79" i="9"/>
  <c r="M79" i="9"/>
  <c r="J67" i="9"/>
  <c r="M67" i="9"/>
  <c r="D164" i="6"/>
  <c r="H164" i="6" s="1"/>
  <c r="D163" i="6"/>
  <c r="H163" i="6" s="1"/>
  <c r="D162" i="6"/>
  <c r="H162" i="6" s="1"/>
  <c r="D161" i="6"/>
  <c r="H161" i="6" s="1"/>
  <c r="D160" i="6"/>
  <c r="H160" i="6" s="1"/>
  <c r="D159" i="6"/>
  <c r="H159" i="6" s="1"/>
  <c r="D158" i="6"/>
  <c r="H158" i="6" s="1"/>
  <c r="D157" i="6"/>
  <c r="H157" i="6" s="1"/>
  <c r="D156" i="6"/>
  <c r="H156" i="6" s="1"/>
  <c r="D155" i="6"/>
  <c r="H155" i="6" s="1"/>
  <c r="D154" i="6"/>
  <c r="H154" i="6" s="1"/>
  <c r="D153" i="6"/>
  <c r="H153" i="6" s="1"/>
  <c r="D152" i="6"/>
  <c r="H152" i="6" s="1"/>
  <c r="D151" i="6"/>
  <c r="H151" i="6" s="1"/>
  <c r="D150" i="6"/>
  <c r="H150" i="6" s="1"/>
  <c r="D149" i="6"/>
  <c r="H149" i="6" s="1"/>
  <c r="D148" i="6"/>
  <c r="H148" i="6" s="1"/>
  <c r="D147" i="6"/>
  <c r="H147" i="6" s="1"/>
  <c r="D146" i="6"/>
  <c r="H146" i="6" s="1"/>
  <c r="D145" i="6"/>
  <c r="H145" i="6" s="1"/>
  <c r="D144" i="6"/>
  <c r="H144" i="6" s="1"/>
  <c r="D143" i="6"/>
  <c r="H143" i="6" s="1"/>
  <c r="D142" i="6"/>
  <c r="H142" i="6" s="1"/>
  <c r="D141" i="6"/>
  <c r="H141" i="6" s="1"/>
  <c r="D140" i="6"/>
  <c r="H140" i="6" s="1"/>
  <c r="D139" i="6"/>
  <c r="H139" i="6" s="1"/>
  <c r="D138" i="6"/>
  <c r="H138" i="6" s="1"/>
  <c r="D137" i="6"/>
  <c r="H137" i="6" s="1"/>
  <c r="D136" i="6"/>
  <c r="H136" i="6" s="1"/>
  <c r="D135" i="6"/>
  <c r="H135" i="6" s="1"/>
  <c r="D134" i="6"/>
  <c r="H134" i="6" s="1"/>
  <c r="D133" i="6"/>
  <c r="H133" i="6" s="1"/>
  <c r="D132" i="6"/>
  <c r="H132" i="6" s="1"/>
  <c r="D131" i="6"/>
  <c r="H131" i="6" s="1"/>
  <c r="D130" i="6"/>
  <c r="H130" i="6" s="1"/>
  <c r="D129" i="6"/>
  <c r="H129" i="6" s="1"/>
  <c r="D128" i="6"/>
  <c r="H128" i="6" s="1"/>
  <c r="D127" i="6"/>
  <c r="H127" i="6" s="1"/>
  <c r="D126" i="6"/>
  <c r="H126" i="6" s="1"/>
  <c r="D125" i="6"/>
  <c r="H125" i="6" s="1"/>
  <c r="D124" i="6"/>
  <c r="H124" i="6" s="1"/>
  <c r="D123" i="6"/>
  <c r="H123" i="6" s="1"/>
  <c r="D122" i="6"/>
  <c r="H122" i="6" s="1"/>
  <c r="D121" i="6"/>
  <c r="H121" i="6" s="1"/>
  <c r="D120" i="6"/>
  <c r="H120" i="6" s="1"/>
  <c r="D119" i="6"/>
  <c r="H119" i="6" s="1"/>
  <c r="D118" i="6"/>
  <c r="H118" i="6" s="1"/>
  <c r="D117" i="6"/>
  <c r="H117" i="6" s="1"/>
  <c r="D116" i="6"/>
  <c r="H116" i="6" s="1"/>
  <c r="D115" i="6"/>
  <c r="H115" i="6" s="1"/>
  <c r="D114" i="6"/>
  <c r="H114" i="6" s="1"/>
  <c r="D113" i="6"/>
  <c r="H113" i="6" s="1"/>
  <c r="D112" i="6"/>
  <c r="H112" i="6" s="1"/>
  <c r="D111" i="6"/>
  <c r="H111" i="6" s="1"/>
  <c r="D110" i="6"/>
  <c r="H110" i="6" s="1"/>
  <c r="D109" i="6"/>
  <c r="H109" i="6" s="1"/>
  <c r="D108" i="6"/>
  <c r="H108" i="6" s="1"/>
  <c r="D107" i="6"/>
  <c r="H107" i="6" s="1"/>
  <c r="D106" i="6"/>
  <c r="H106" i="6" s="1"/>
  <c r="D105" i="6"/>
  <c r="H105" i="6" s="1"/>
  <c r="D104" i="6"/>
  <c r="H104" i="6" s="1"/>
  <c r="D103" i="6"/>
  <c r="H103" i="6" s="1"/>
  <c r="D102" i="6"/>
  <c r="H102" i="6" s="1"/>
  <c r="D101" i="6"/>
  <c r="H101" i="6" s="1"/>
  <c r="D100" i="6"/>
  <c r="H100" i="6" s="1"/>
  <c r="D99" i="6"/>
  <c r="H99" i="6" s="1"/>
  <c r="D98" i="6"/>
  <c r="H98" i="6" s="1"/>
  <c r="D97" i="6"/>
  <c r="H97" i="6" s="1"/>
  <c r="D96" i="6"/>
  <c r="H96" i="6" s="1"/>
  <c r="D95" i="6"/>
  <c r="H95" i="6" s="1"/>
  <c r="D94" i="6"/>
  <c r="H94" i="6" s="1"/>
  <c r="D93" i="6"/>
  <c r="H93" i="6" s="1"/>
  <c r="D92" i="6"/>
  <c r="H92" i="6" s="1"/>
  <c r="D91" i="6"/>
  <c r="H91" i="6" s="1"/>
  <c r="D90" i="6"/>
  <c r="H90" i="6" s="1"/>
  <c r="D89" i="6"/>
  <c r="H89" i="6" s="1"/>
  <c r="D88" i="6"/>
  <c r="H88" i="6" s="1"/>
  <c r="D87" i="6"/>
  <c r="H87" i="6" s="1"/>
  <c r="D86" i="6"/>
  <c r="H86" i="6" s="1"/>
  <c r="D85" i="6"/>
  <c r="H85" i="6" s="1"/>
  <c r="D84" i="6"/>
  <c r="H84" i="6" s="1"/>
  <c r="D83" i="6"/>
  <c r="H83" i="6" s="1"/>
  <c r="D82" i="6"/>
  <c r="H82" i="6" s="1"/>
  <c r="D81" i="6"/>
  <c r="H81" i="6" s="1"/>
  <c r="D80" i="6"/>
  <c r="H80" i="6" s="1"/>
  <c r="D79" i="6"/>
  <c r="H79" i="6" s="1"/>
  <c r="D78" i="6"/>
  <c r="H78" i="6" s="1"/>
  <c r="D77" i="6"/>
  <c r="H77" i="6" s="1"/>
  <c r="D76" i="6"/>
  <c r="H76" i="6" s="1"/>
  <c r="D75" i="6"/>
  <c r="H75" i="6" s="1"/>
  <c r="D74" i="6"/>
  <c r="H74" i="6" s="1"/>
  <c r="D73" i="6"/>
  <c r="H73" i="6" s="1"/>
  <c r="D72" i="6"/>
  <c r="H72" i="6" s="1"/>
  <c r="D71" i="6"/>
  <c r="H71" i="6" s="1"/>
  <c r="D70" i="6"/>
  <c r="H70" i="6" s="1"/>
  <c r="D69" i="6"/>
  <c r="H69" i="6" s="1"/>
  <c r="D68" i="6"/>
  <c r="H68" i="6" s="1"/>
  <c r="D67" i="6"/>
  <c r="H67" i="6" s="1"/>
  <c r="D66" i="6"/>
  <c r="H66" i="6" s="1"/>
  <c r="D65" i="6"/>
  <c r="H65" i="6" s="1"/>
  <c r="D64" i="6"/>
  <c r="H64" i="6" s="1"/>
  <c r="D63" i="6"/>
  <c r="H63" i="6" s="1"/>
  <c r="D62" i="6"/>
  <c r="H62" i="6" s="1"/>
  <c r="D61" i="6"/>
  <c r="H61" i="6" s="1"/>
  <c r="D60" i="6"/>
  <c r="H60" i="6" s="1"/>
  <c r="D52" i="6"/>
  <c r="H52" i="6" s="1"/>
  <c r="D51" i="6"/>
  <c r="H51" i="6" s="1"/>
  <c r="D50" i="6"/>
  <c r="H50" i="6" s="1"/>
  <c r="D49" i="6"/>
  <c r="H49" i="6" s="1"/>
  <c r="D48" i="6"/>
  <c r="H48" i="6" s="1"/>
  <c r="D47" i="6"/>
  <c r="H47" i="6" s="1"/>
  <c r="D46" i="6"/>
  <c r="H46" i="6" s="1"/>
  <c r="D45" i="6"/>
  <c r="H45" i="6" s="1"/>
  <c r="D44" i="6"/>
  <c r="H44" i="6" s="1"/>
  <c r="D43" i="6"/>
  <c r="H43" i="6" s="1"/>
  <c r="D42" i="6"/>
  <c r="H42" i="6" s="1"/>
  <c r="D41" i="6"/>
  <c r="H41" i="6" s="1"/>
  <c r="D39" i="6"/>
  <c r="H39" i="6" s="1"/>
  <c r="D38" i="6"/>
  <c r="H38" i="6" s="1"/>
  <c r="D37" i="6"/>
  <c r="H37" i="6" s="1"/>
  <c r="D36" i="6"/>
  <c r="H36" i="6" s="1"/>
  <c r="D35" i="6"/>
  <c r="H35" i="6" s="1"/>
  <c r="D34" i="6"/>
  <c r="H34" i="6" s="1"/>
  <c r="D33" i="6"/>
  <c r="H33" i="6" s="1"/>
  <c r="D32" i="6"/>
  <c r="H32" i="6" s="1"/>
  <c r="D31" i="6"/>
  <c r="H31" i="6" s="1"/>
  <c r="D30" i="6"/>
  <c r="H30" i="6" s="1"/>
  <c r="D29" i="6"/>
  <c r="H29" i="6" s="1"/>
  <c r="D28" i="6"/>
  <c r="H28" i="6" s="1"/>
  <c r="D27" i="6"/>
  <c r="H27" i="6" s="1"/>
  <c r="D26" i="6"/>
  <c r="H26" i="6" s="1"/>
  <c r="D25" i="6"/>
  <c r="H25" i="6" s="1"/>
  <c r="D24" i="6"/>
  <c r="H24" i="6" s="1"/>
  <c r="D23" i="6"/>
  <c r="H23" i="6" s="1"/>
  <c r="D22" i="6"/>
  <c r="H22" i="6" s="1"/>
  <c r="D21" i="6"/>
  <c r="H21" i="6" s="1"/>
  <c r="D20" i="6"/>
  <c r="H20" i="6" s="1"/>
  <c r="D19" i="6"/>
  <c r="H19" i="6" s="1"/>
  <c r="D18" i="6"/>
  <c r="H18" i="6" s="1"/>
  <c r="D17" i="6"/>
  <c r="H17" i="6" s="1"/>
  <c r="D16" i="6"/>
  <c r="H16" i="6" s="1"/>
  <c r="D15" i="6"/>
  <c r="H15" i="6" s="1"/>
  <c r="D14" i="6"/>
  <c r="H14" i="6" s="1"/>
  <c r="D13" i="6"/>
  <c r="H13" i="6" s="1"/>
  <c r="D12" i="6"/>
  <c r="H12" i="6" s="1"/>
  <c r="D11" i="6"/>
  <c r="H11" i="6" s="1"/>
  <c r="D10" i="6"/>
  <c r="H10" i="6" s="1"/>
  <c r="D9" i="6"/>
  <c r="H9" i="6" s="1"/>
  <c r="D8" i="6"/>
  <c r="H8" i="6" s="1"/>
  <c r="D7" i="6"/>
  <c r="H7" i="6" s="1"/>
  <c r="D6" i="6"/>
  <c r="H6" i="6" s="1"/>
  <c r="K3" i="6"/>
  <c r="L3" i="6"/>
  <c r="N3" i="6"/>
  <c r="K4" i="6"/>
  <c r="L4" i="6"/>
  <c r="N4" i="6"/>
  <c r="K5" i="6"/>
  <c r="L5" i="6"/>
  <c r="N5" i="6"/>
  <c r="K6" i="6"/>
  <c r="L6" i="6"/>
  <c r="N6" i="6"/>
  <c r="K7" i="6"/>
  <c r="L7" i="6"/>
  <c r="N7" i="6"/>
  <c r="K8" i="6"/>
  <c r="L8" i="6"/>
  <c r="N8" i="6"/>
  <c r="K9" i="6"/>
  <c r="L9" i="6"/>
  <c r="N9" i="6"/>
  <c r="K10" i="6"/>
  <c r="L10" i="6"/>
  <c r="N10" i="6"/>
  <c r="K11" i="6"/>
  <c r="L11" i="6"/>
  <c r="N11" i="6"/>
  <c r="K12" i="6"/>
  <c r="L12" i="6"/>
  <c r="N12" i="6"/>
  <c r="K13" i="6"/>
  <c r="L13" i="6"/>
  <c r="N13" i="6"/>
  <c r="K14" i="6"/>
  <c r="L14" i="6"/>
  <c r="N14" i="6"/>
  <c r="K15" i="6"/>
  <c r="L15" i="6"/>
  <c r="N15" i="6"/>
  <c r="K16" i="6"/>
  <c r="L16" i="6"/>
  <c r="N16" i="6"/>
  <c r="K17" i="6"/>
  <c r="L17" i="6"/>
  <c r="N17" i="6"/>
  <c r="K18" i="6"/>
  <c r="L18" i="6"/>
  <c r="N18" i="6"/>
  <c r="K19" i="6"/>
  <c r="L19" i="6"/>
  <c r="N19" i="6"/>
  <c r="K20" i="6"/>
  <c r="L20" i="6"/>
  <c r="N20" i="6"/>
  <c r="K21" i="6"/>
  <c r="L21" i="6"/>
  <c r="N21" i="6"/>
  <c r="K22" i="6"/>
  <c r="L22" i="6"/>
  <c r="N22" i="6"/>
  <c r="K23" i="6"/>
  <c r="L23" i="6"/>
  <c r="N23" i="6"/>
  <c r="K24" i="6"/>
  <c r="L24" i="6"/>
  <c r="N24" i="6"/>
  <c r="K25" i="6"/>
  <c r="L25" i="6"/>
  <c r="N25" i="6"/>
  <c r="K26" i="6"/>
  <c r="L26" i="6"/>
  <c r="N26" i="6"/>
  <c r="K27" i="6"/>
  <c r="L27" i="6"/>
  <c r="N27" i="6"/>
  <c r="K28" i="6"/>
  <c r="L28" i="6"/>
  <c r="N28" i="6"/>
  <c r="K29" i="6"/>
  <c r="L29" i="6"/>
  <c r="N29" i="6"/>
  <c r="K30" i="6"/>
  <c r="L30" i="6"/>
  <c r="N30" i="6"/>
  <c r="K31" i="6"/>
  <c r="L31" i="6"/>
  <c r="N31" i="6"/>
  <c r="K32" i="6"/>
  <c r="L32" i="6"/>
  <c r="N32" i="6"/>
  <c r="K33" i="6"/>
  <c r="L33" i="6"/>
  <c r="N33" i="6"/>
  <c r="K34" i="6"/>
  <c r="L34" i="6"/>
  <c r="N34" i="6"/>
  <c r="K35" i="6"/>
  <c r="L35" i="6"/>
  <c r="N35" i="6"/>
  <c r="K36" i="6"/>
  <c r="L36" i="6"/>
  <c r="N36" i="6"/>
  <c r="K37" i="6"/>
  <c r="L37" i="6"/>
  <c r="N37" i="6"/>
  <c r="K38" i="6"/>
  <c r="L38" i="6"/>
  <c r="N38" i="6"/>
  <c r="K39" i="6"/>
  <c r="L39" i="6"/>
  <c r="N39" i="6"/>
  <c r="K40" i="6"/>
  <c r="L40" i="6"/>
  <c r="N40" i="6"/>
  <c r="K41" i="6"/>
  <c r="L41" i="6"/>
  <c r="N41" i="6"/>
  <c r="K42" i="6"/>
  <c r="L42" i="6"/>
  <c r="N42" i="6"/>
  <c r="K43" i="6"/>
  <c r="L43" i="6"/>
  <c r="N43" i="6"/>
  <c r="K44" i="6"/>
  <c r="L44" i="6"/>
  <c r="N44" i="6"/>
  <c r="K45" i="6"/>
  <c r="L45" i="6"/>
  <c r="N45" i="6"/>
  <c r="K46" i="6"/>
  <c r="L46" i="6"/>
  <c r="N46" i="6"/>
  <c r="K47" i="6"/>
  <c r="L47" i="6"/>
  <c r="N47" i="6"/>
  <c r="K48" i="6"/>
  <c r="L48" i="6"/>
  <c r="N48" i="6"/>
  <c r="K49" i="6"/>
  <c r="L49" i="6"/>
  <c r="N49" i="6"/>
  <c r="K50" i="6"/>
  <c r="L50" i="6"/>
  <c r="N50" i="6"/>
  <c r="K51" i="6"/>
  <c r="L51" i="6"/>
  <c r="N51" i="6"/>
  <c r="K52" i="6"/>
  <c r="L52" i="6"/>
  <c r="N52" i="6"/>
  <c r="K53" i="6"/>
  <c r="L53" i="6"/>
  <c r="N53" i="6"/>
  <c r="K54" i="6"/>
  <c r="L54" i="6"/>
  <c r="N54" i="6"/>
  <c r="K55" i="6"/>
  <c r="L55" i="6"/>
  <c r="N55" i="6"/>
  <c r="K56" i="6"/>
  <c r="L56" i="6"/>
  <c r="N56" i="6"/>
  <c r="K57" i="6"/>
  <c r="L57" i="6"/>
  <c r="N57" i="6"/>
  <c r="K58" i="6"/>
  <c r="L58" i="6"/>
  <c r="N58" i="6"/>
  <c r="K59" i="6"/>
  <c r="L59" i="6"/>
  <c r="N59" i="6"/>
  <c r="K60" i="6"/>
  <c r="L60" i="6"/>
  <c r="N60" i="6"/>
  <c r="K61" i="6"/>
  <c r="L61" i="6"/>
  <c r="N61" i="6"/>
  <c r="K62" i="6"/>
  <c r="L62" i="6"/>
  <c r="N62" i="6"/>
  <c r="K63" i="6"/>
  <c r="L63" i="6"/>
  <c r="N63" i="6"/>
  <c r="K64" i="6"/>
  <c r="L64" i="6"/>
  <c r="N64" i="6"/>
  <c r="K65" i="6"/>
  <c r="L65" i="6"/>
  <c r="N65" i="6"/>
  <c r="K66" i="6"/>
  <c r="L66" i="6"/>
  <c r="N66" i="6"/>
  <c r="K67" i="6"/>
  <c r="L67" i="6"/>
  <c r="N67" i="6"/>
  <c r="K68" i="6"/>
  <c r="L68" i="6"/>
  <c r="N68" i="6"/>
  <c r="K69" i="6"/>
  <c r="L69" i="6"/>
  <c r="N69" i="6"/>
  <c r="K70" i="6"/>
  <c r="L70" i="6"/>
  <c r="N70" i="6"/>
  <c r="K71" i="6"/>
  <c r="L71" i="6"/>
  <c r="N71" i="6"/>
  <c r="K72" i="6"/>
  <c r="L72" i="6"/>
  <c r="N72" i="6"/>
  <c r="K73" i="6"/>
  <c r="L73" i="6"/>
  <c r="N73" i="6"/>
  <c r="K74" i="6"/>
  <c r="L74" i="6"/>
  <c r="N74" i="6"/>
  <c r="K75" i="6"/>
  <c r="L75" i="6"/>
  <c r="N75" i="6"/>
  <c r="K76" i="6"/>
  <c r="L76" i="6"/>
  <c r="N76" i="6"/>
  <c r="K77" i="6"/>
  <c r="L77" i="6"/>
  <c r="N77" i="6"/>
  <c r="K78" i="6"/>
  <c r="L78" i="6"/>
  <c r="N78" i="6"/>
  <c r="K79" i="6"/>
  <c r="L79" i="6"/>
  <c r="N79" i="6"/>
  <c r="K80" i="6"/>
  <c r="L80" i="6"/>
  <c r="N80" i="6"/>
  <c r="K81" i="6"/>
  <c r="L81" i="6"/>
  <c r="N81" i="6"/>
  <c r="K82" i="6"/>
  <c r="L82" i="6"/>
  <c r="N82" i="6"/>
  <c r="K83" i="6"/>
  <c r="L83" i="6"/>
  <c r="N83" i="6"/>
  <c r="K84" i="6"/>
  <c r="L84" i="6"/>
  <c r="N84" i="6"/>
  <c r="K85" i="6"/>
  <c r="L85" i="6"/>
  <c r="N85" i="6"/>
  <c r="K86" i="6"/>
  <c r="L86" i="6"/>
  <c r="N86" i="6"/>
  <c r="K87" i="6"/>
  <c r="L87" i="6"/>
  <c r="N87" i="6"/>
  <c r="K88" i="6"/>
  <c r="L88" i="6"/>
  <c r="N88" i="6"/>
  <c r="K89" i="6"/>
  <c r="L89" i="6"/>
  <c r="N89" i="6"/>
  <c r="K90" i="6"/>
  <c r="L90" i="6"/>
  <c r="N90" i="6"/>
  <c r="K91" i="6"/>
  <c r="L91" i="6"/>
  <c r="N91" i="6"/>
  <c r="K92" i="6"/>
  <c r="L92" i="6"/>
  <c r="N92" i="6"/>
  <c r="K93" i="6"/>
  <c r="L93" i="6"/>
  <c r="N93" i="6"/>
  <c r="K94" i="6"/>
  <c r="L94" i="6"/>
  <c r="N94" i="6"/>
  <c r="K95" i="6"/>
  <c r="L95" i="6"/>
  <c r="N95" i="6"/>
  <c r="K96" i="6"/>
  <c r="L96" i="6"/>
  <c r="N96" i="6"/>
  <c r="K97" i="6"/>
  <c r="L97" i="6"/>
  <c r="N97" i="6"/>
  <c r="K98" i="6"/>
  <c r="L98" i="6"/>
  <c r="N98" i="6"/>
  <c r="K99" i="6"/>
  <c r="L99" i="6"/>
  <c r="N99" i="6"/>
  <c r="K100" i="6"/>
  <c r="L100" i="6"/>
  <c r="N100" i="6"/>
  <c r="K101" i="6"/>
  <c r="L101" i="6"/>
  <c r="N101" i="6"/>
  <c r="K102" i="6"/>
  <c r="L102" i="6"/>
  <c r="N102" i="6"/>
  <c r="K103" i="6"/>
  <c r="L103" i="6"/>
  <c r="N103" i="6"/>
  <c r="K104" i="6"/>
  <c r="L104" i="6"/>
  <c r="N104" i="6"/>
  <c r="K105" i="6"/>
  <c r="L105" i="6"/>
  <c r="N105" i="6"/>
  <c r="K106" i="6"/>
  <c r="L106" i="6"/>
  <c r="N106" i="6"/>
  <c r="K107" i="6"/>
  <c r="L107" i="6"/>
  <c r="N107" i="6"/>
  <c r="K108" i="6"/>
  <c r="L108" i="6"/>
  <c r="N108" i="6"/>
  <c r="K109" i="6"/>
  <c r="L109" i="6"/>
  <c r="N109" i="6"/>
  <c r="K110" i="6"/>
  <c r="L110" i="6"/>
  <c r="N110" i="6"/>
  <c r="K111" i="6"/>
  <c r="L111" i="6"/>
  <c r="N111" i="6"/>
  <c r="K112" i="6"/>
  <c r="L112" i="6"/>
  <c r="N112" i="6"/>
  <c r="K113" i="6"/>
  <c r="L113" i="6"/>
  <c r="N113" i="6"/>
  <c r="K114" i="6"/>
  <c r="L114" i="6"/>
  <c r="N114" i="6"/>
  <c r="K115" i="6"/>
  <c r="L115" i="6"/>
  <c r="N115" i="6"/>
  <c r="K116" i="6"/>
  <c r="L116" i="6"/>
  <c r="N116" i="6"/>
  <c r="K117" i="6"/>
  <c r="L117" i="6"/>
  <c r="N117" i="6"/>
  <c r="K118" i="6"/>
  <c r="L118" i="6"/>
  <c r="N118" i="6"/>
  <c r="K119" i="6"/>
  <c r="L119" i="6"/>
  <c r="N119" i="6"/>
  <c r="K120" i="6"/>
  <c r="L120" i="6"/>
  <c r="N120" i="6"/>
  <c r="K121" i="6"/>
  <c r="L121" i="6"/>
  <c r="N121" i="6"/>
  <c r="K122" i="6"/>
  <c r="L122" i="6"/>
  <c r="N122" i="6"/>
  <c r="K123" i="6"/>
  <c r="L123" i="6"/>
  <c r="N123" i="6"/>
  <c r="K124" i="6"/>
  <c r="L124" i="6"/>
  <c r="N124" i="6"/>
  <c r="K125" i="6"/>
  <c r="L125" i="6"/>
  <c r="N125" i="6"/>
  <c r="K126" i="6"/>
  <c r="L126" i="6"/>
  <c r="N126" i="6"/>
  <c r="K127" i="6"/>
  <c r="L127" i="6"/>
  <c r="N127" i="6"/>
  <c r="K128" i="6"/>
  <c r="L128" i="6"/>
  <c r="N128" i="6"/>
  <c r="K129" i="6"/>
  <c r="L129" i="6"/>
  <c r="N129" i="6"/>
  <c r="K130" i="6"/>
  <c r="L130" i="6"/>
  <c r="N130" i="6"/>
  <c r="K131" i="6"/>
  <c r="L131" i="6"/>
  <c r="N131" i="6"/>
  <c r="K132" i="6"/>
  <c r="L132" i="6"/>
  <c r="N132" i="6"/>
  <c r="K133" i="6"/>
  <c r="L133" i="6"/>
  <c r="N133" i="6"/>
  <c r="K134" i="6"/>
  <c r="L134" i="6"/>
  <c r="N134" i="6"/>
  <c r="K135" i="6"/>
  <c r="L135" i="6"/>
  <c r="N135" i="6"/>
  <c r="K136" i="6"/>
  <c r="L136" i="6"/>
  <c r="N136" i="6"/>
  <c r="K137" i="6"/>
  <c r="L137" i="6"/>
  <c r="N137" i="6"/>
  <c r="K138" i="6"/>
  <c r="L138" i="6"/>
  <c r="N138" i="6"/>
  <c r="K139" i="6"/>
  <c r="L139" i="6"/>
  <c r="N139" i="6"/>
  <c r="K140" i="6"/>
  <c r="L140" i="6"/>
  <c r="N140" i="6"/>
  <c r="K141" i="6"/>
  <c r="L141" i="6"/>
  <c r="N141" i="6"/>
  <c r="K142" i="6"/>
  <c r="L142" i="6"/>
  <c r="N142" i="6"/>
  <c r="K143" i="6"/>
  <c r="L143" i="6"/>
  <c r="N143" i="6"/>
  <c r="K144" i="6"/>
  <c r="L144" i="6"/>
  <c r="N144" i="6"/>
  <c r="K145" i="6"/>
  <c r="L145" i="6"/>
  <c r="N145" i="6"/>
  <c r="K146" i="6"/>
  <c r="L146" i="6"/>
  <c r="N146" i="6"/>
  <c r="K147" i="6"/>
  <c r="L147" i="6"/>
  <c r="N147" i="6"/>
  <c r="K148" i="6"/>
  <c r="L148" i="6"/>
  <c r="N148" i="6"/>
  <c r="K149" i="6"/>
  <c r="L149" i="6"/>
  <c r="N149" i="6"/>
  <c r="K150" i="6"/>
  <c r="L150" i="6"/>
  <c r="N150" i="6"/>
  <c r="K151" i="6"/>
  <c r="L151" i="6"/>
  <c r="N151" i="6"/>
  <c r="K152" i="6"/>
  <c r="L152" i="6"/>
  <c r="N152" i="6"/>
  <c r="K153" i="6"/>
  <c r="L153" i="6"/>
  <c r="N153" i="6"/>
  <c r="K154" i="6"/>
  <c r="L154" i="6"/>
  <c r="N154" i="6"/>
  <c r="K155" i="6"/>
  <c r="L155" i="6"/>
  <c r="N155" i="6"/>
  <c r="K156" i="6"/>
  <c r="L156" i="6"/>
  <c r="N156" i="6"/>
  <c r="K157" i="6"/>
  <c r="L157" i="6"/>
  <c r="N157" i="6"/>
  <c r="K158" i="6"/>
  <c r="L158" i="6"/>
  <c r="N158" i="6"/>
  <c r="K159" i="6"/>
  <c r="L159" i="6"/>
  <c r="N159" i="6"/>
  <c r="K160" i="6"/>
  <c r="L160" i="6"/>
  <c r="N160" i="6"/>
  <c r="K161" i="6"/>
  <c r="L161" i="6"/>
  <c r="N161" i="6"/>
  <c r="K162" i="6"/>
  <c r="L162" i="6"/>
  <c r="N162" i="6"/>
  <c r="K163" i="6"/>
  <c r="L163" i="6"/>
  <c r="N163" i="6"/>
  <c r="K164" i="6"/>
  <c r="L164" i="6"/>
  <c r="N164" i="6"/>
  <c r="F3" i="6"/>
  <c r="I3" i="6" s="1"/>
  <c r="F4" i="6"/>
  <c r="I4" i="6" s="1"/>
  <c r="F5" i="6"/>
  <c r="I5" i="6" s="1"/>
  <c r="F6" i="6"/>
  <c r="I6" i="6" s="1"/>
  <c r="F7" i="6"/>
  <c r="I7" i="6" s="1"/>
  <c r="F8" i="6"/>
  <c r="I8" i="6" s="1"/>
  <c r="F9" i="6"/>
  <c r="I9" i="6" s="1"/>
  <c r="F10" i="6"/>
  <c r="I10" i="6" s="1"/>
  <c r="F11" i="6"/>
  <c r="I11" i="6" s="1"/>
  <c r="F12" i="6"/>
  <c r="I12" i="6" s="1"/>
  <c r="F13" i="6"/>
  <c r="I13" i="6" s="1"/>
  <c r="F14" i="6"/>
  <c r="I14" i="6" s="1"/>
  <c r="F15" i="6"/>
  <c r="I15" i="6" s="1"/>
  <c r="F16" i="6"/>
  <c r="I16" i="6" s="1"/>
  <c r="F17" i="6"/>
  <c r="I17" i="6" s="1"/>
  <c r="F18" i="6"/>
  <c r="I18" i="6" s="1"/>
  <c r="F19" i="6"/>
  <c r="I19" i="6" s="1"/>
  <c r="F20" i="6"/>
  <c r="I20" i="6" s="1"/>
  <c r="F21" i="6"/>
  <c r="I21" i="6" s="1"/>
  <c r="F22" i="6"/>
  <c r="I22" i="6" s="1"/>
  <c r="F23" i="6"/>
  <c r="I23" i="6" s="1"/>
  <c r="F24" i="6"/>
  <c r="I24" i="6" s="1"/>
  <c r="F25" i="6"/>
  <c r="I25" i="6" s="1"/>
  <c r="F26" i="6"/>
  <c r="I26" i="6" s="1"/>
  <c r="F27" i="6"/>
  <c r="I27" i="6" s="1"/>
  <c r="F28" i="6"/>
  <c r="I28" i="6" s="1"/>
  <c r="F29" i="6"/>
  <c r="I29" i="6" s="1"/>
  <c r="F30" i="6"/>
  <c r="I30" i="6" s="1"/>
  <c r="F31" i="6"/>
  <c r="I31" i="6" s="1"/>
  <c r="F32" i="6"/>
  <c r="I32" i="6" s="1"/>
  <c r="F33" i="6"/>
  <c r="I33" i="6" s="1"/>
  <c r="F34" i="6"/>
  <c r="I34" i="6" s="1"/>
  <c r="F35" i="6"/>
  <c r="I35" i="6" s="1"/>
  <c r="F36" i="6"/>
  <c r="I36" i="6" s="1"/>
  <c r="F37" i="6"/>
  <c r="I37" i="6" s="1"/>
  <c r="F38" i="6"/>
  <c r="I38" i="6" s="1"/>
  <c r="F39" i="6"/>
  <c r="I39" i="6" s="1"/>
  <c r="F40" i="6"/>
  <c r="I40" i="6" s="1"/>
  <c r="F41" i="6"/>
  <c r="I41" i="6" s="1"/>
  <c r="F42" i="6"/>
  <c r="I42" i="6" s="1"/>
  <c r="F43" i="6"/>
  <c r="I43" i="6" s="1"/>
  <c r="F44" i="6"/>
  <c r="I44" i="6" s="1"/>
  <c r="F45" i="6"/>
  <c r="I45" i="6" s="1"/>
  <c r="F46" i="6"/>
  <c r="I46" i="6" s="1"/>
  <c r="F47" i="6"/>
  <c r="I47" i="6" s="1"/>
  <c r="F48" i="6"/>
  <c r="I48" i="6" s="1"/>
  <c r="F49" i="6"/>
  <c r="I49" i="6" s="1"/>
  <c r="F50" i="6"/>
  <c r="I50" i="6" s="1"/>
  <c r="F51" i="6"/>
  <c r="I51" i="6" s="1"/>
  <c r="F52" i="6"/>
  <c r="I52" i="6" s="1"/>
  <c r="F53" i="6"/>
  <c r="I53" i="6" s="1"/>
  <c r="F54" i="6"/>
  <c r="I54" i="6" s="1"/>
  <c r="F55" i="6"/>
  <c r="I55" i="6" s="1"/>
  <c r="F56" i="6"/>
  <c r="I56" i="6" s="1"/>
  <c r="F57" i="6"/>
  <c r="I57" i="6" s="1"/>
  <c r="F58" i="6"/>
  <c r="I58" i="6" s="1"/>
  <c r="F59" i="6"/>
  <c r="I59" i="6" s="1"/>
  <c r="F60" i="6"/>
  <c r="I60" i="6" s="1"/>
  <c r="F61" i="6"/>
  <c r="I61" i="6" s="1"/>
  <c r="F62" i="6"/>
  <c r="I62" i="6" s="1"/>
  <c r="F63" i="6"/>
  <c r="I63" i="6" s="1"/>
  <c r="F64" i="6"/>
  <c r="I64" i="6" s="1"/>
  <c r="F65" i="6"/>
  <c r="I65" i="6" s="1"/>
  <c r="F66" i="6"/>
  <c r="I66" i="6" s="1"/>
  <c r="F67" i="6"/>
  <c r="I67" i="6" s="1"/>
  <c r="F68" i="6"/>
  <c r="I68" i="6" s="1"/>
  <c r="F69" i="6"/>
  <c r="I69" i="6" s="1"/>
  <c r="F70" i="6"/>
  <c r="I70" i="6" s="1"/>
  <c r="F71" i="6"/>
  <c r="I71" i="6" s="1"/>
  <c r="F72" i="6"/>
  <c r="I72" i="6" s="1"/>
  <c r="F73" i="6"/>
  <c r="I73" i="6" s="1"/>
  <c r="F74" i="6"/>
  <c r="I74" i="6" s="1"/>
  <c r="F75" i="6"/>
  <c r="I75" i="6" s="1"/>
  <c r="F76" i="6"/>
  <c r="I76" i="6" s="1"/>
  <c r="F77" i="6"/>
  <c r="I77" i="6" s="1"/>
  <c r="F78" i="6"/>
  <c r="I78" i="6" s="1"/>
  <c r="F79" i="6"/>
  <c r="I79" i="6" s="1"/>
  <c r="F80" i="6"/>
  <c r="I80" i="6" s="1"/>
  <c r="F81" i="6"/>
  <c r="I81" i="6" s="1"/>
  <c r="F82" i="6"/>
  <c r="I82" i="6" s="1"/>
  <c r="F83" i="6"/>
  <c r="I83" i="6" s="1"/>
  <c r="F84" i="6"/>
  <c r="I84" i="6" s="1"/>
  <c r="F85" i="6"/>
  <c r="I85" i="6" s="1"/>
  <c r="F86" i="6"/>
  <c r="I86" i="6" s="1"/>
  <c r="F87" i="6"/>
  <c r="I87" i="6" s="1"/>
  <c r="F88" i="6"/>
  <c r="I88" i="6" s="1"/>
  <c r="F89" i="6"/>
  <c r="I89" i="6" s="1"/>
  <c r="F90" i="6"/>
  <c r="I90" i="6" s="1"/>
  <c r="F91" i="6"/>
  <c r="I91" i="6" s="1"/>
  <c r="F92" i="6"/>
  <c r="I92" i="6" s="1"/>
  <c r="F93" i="6"/>
  <c r="I93" i="6" s="1"/>
  <c r="F94" i="6"/>
  <c r="I94" i="6" s="1"/>
  <c r="F95" i="6"/>
  <c r="I95" i="6" s="1"/>
  <c r="F96" i="6"/>
  <c r="I96" i="6" s="1"/>
  <c r="F97" i="6"/>
  <c r="I97" i="6" s="1"/>
  <c r="F98" i="6"/>
  <c r="I98" i="6" s="1"/>
  <c r="F99" i="6"/>
  <c r="I99" i="6" s="1"/>
  <c r="F100" i="6"/>
  <c r="I100" i="6" s="1"/>
  <c r="F101" i="6"/>
  <c r="I101" i="6" s="1"/>
  <c r="F102" i="6"/>
  <c r="I102" i="6" s="1"/>
  <c r="F103" i="6"/>
  <c r="I103" i="6" s="1"/>
  <c r="F104" i="6"/>
  <c r="I104" i="6" s="1"/>
  <c r="F105" i="6"/>
  <c r="I105" i="6" s="1"/>
  <c r="F106" i="6"/>
  <c r="I106" i="6" s="1"/>
  <c r="F107" i="6"/>
  <c r="I107" i="6" s="1"/>
  <c r="F108" i="6"/>
  <c r="I108" i="6" s="1"/>
  <c r="F109" i="6"/>
  <c r="I109" i="6" s="1"/>
  <c r="F110" i="6"/>
  <c r="I110" i="6" s="1"/>
  <c r="F111" i="6"/>
  <c r="I111" i="6" s="1"/>
  <c r="F112" i="6"/>
  <c r="I112" i="6" s="1"/>
  <c r="F113" i="6"/>
  <c r="I113" i="6" s="1"/>
  <c r="F114" i="6"/>
  <c r="I114" i="6" s="1"/>
  <c r="F115" i="6"/>
  <c r="I115" i="6" s="1"/>
  <c r="F116" i="6"/>
  <c r="I116" i="6" s="1"/>
  <c r="F117" i="6"/>
  <c r="I117" i="6" s="1"/>
  <c r="F118" i="6"/>
  <c r="I118" i="6" s="1"/>
  <c r="F119" i="6"/>
  <c r="I119" i="6" s="1"/>
  <c r="F120" i="6"/>
  <c r="I120" i="6" s="1"/>
  <c r="F121" i="6"/>
  <c r="I121" i="6" s="1"/>
  <c r="F122" i="6"/>
  <c r="I122" i="6" s="1"/>
  <c r="F123" i="6"/>
  <c r="I123" i="6" s="1"/>
  <c r="F124" i="6"/>
  <c r="I124" i="6" s="1"/>
  <c r="F125" i="6"/>
  <c r="I125" i="6" s="1"/>
  <c r="F126" i="6"/>
  <c r="I126" i="6" s="1"/>
  <c r="F127" i="6"/>
  <c r="I127" i="6" s="1"/>
  <c r="F128" i="6"/>
  <c r="I128" i="6" s="1"/>
  <c r="F129" i="6"/>
  <c r="I129" i="6" s="1"/>
  <c r="F130" i="6"/>
  <c r="I130" i="6" s="1"/>
  <c r="F131" i="6"/>
  <c r="I131" i="6" s="1"/>
  <c r="F132" i="6"/>
  <c r="I132" i="6" s="1"/>
  <c r="F133" i="6"/>
  <c r="I133" i="6" s="1"/>
  <c r="F134" i="6"/>
  <c r="I134" i="6" s="1"/>
  <c r="F135" i="6"/>
  <c r="I135" i="6" s="1"/>
  <c r="F136" i="6"/>
  <c r="I136" i="6" s="1"/>
  <c r="F137" i="6"/>
  <c r="I137" i="6" s="1"/>
  <c r="F138" i="6"/>
  <c r="I138" i="6" s="1"/>
  <c r="F139" i="6"/>
  <c r="I139" i="6" s="1"/>
  <c r="F140" i="6"/>
  <c r="I140" i="6" s="1"/>
  <c r="F141" i="6"/>
  <c r="I141" i="6" s="1"/>
  <c r="F142" i="6"/>
  <c r="I142" i="6" s="1"/>
  <c r="F143" i="6"/>
  <c r="I143" i="6" s="1"/>
  <c r="F144" i="6"/>
  <c r="I144" i="6" s="1"/>
  <c r="F145" i="6"/>
  <c r="I145" i="6" s="1"/>
  <c r="F146" i="6"/>
  <c r="I146" i="6" s="1"/>
  <c r="F147" i="6"/>
  <c r="I147" i="6" s="1"/>
  <c r="F148" i="6"/>
  <c r="I148" i="6" s="1"/>
  <c r="F149" i="6"/>
  <c r="I149" i="6" s="1"/>
  <c r="F150" i="6"/>
  <c r="I150" i="6" s="1"/>
  <c r="F151" i="6"/>
  <c r="I151" i="6" s="1"/>
  <c r="F152" i="6"/>
  <c r="I152" i="6" s="1"/>
  <c r="F153" i="6"/>
  <c r="I153" i="6" s="1"/>
  <c r="F154" i="6"/>
  <c r="I154" i="6" s="1"/>
  <c r="F155" i="6"/>
  <c r="I155" i="6" s="1"/>
  <c r="F156" i="6"/>
  <c r="I156" i="6" s="1"/>
  <c r="F157" i="6"/>
  <c r="I157" i="6" s="1"/>
  <c r="F158" i="6"/>
  <c r="I158" i="6" s="1"/>
  <c r="F159" i="6"/>
  <c r="I159" i="6" s="1"/>
  <c r="F160" i="6"/>
  <c r="I160" i="6" s="1"/>
  <c r="F161" i="6"/>
  <c r="I161" i="6" s="1"/>
  <c r="F162" i="6"/>
  <c r="I162" i="6" s="1"/>
  <c r="F163" i="6"/>
  <c r="I163" i="6" s="1"/>
  <c r="F164" i="6"/>
  <c r="I164" i="6" s="1"/>
  <c r="D3" i="6"/>
  <c r="H3" i="6" s="1"/>
  <c r="D4" i="6"/>
  <c r="H4" i="6" s="1"/>
  <c r="D5" i="6"/>
  <c r="H5" i="6" s="1"/>
  <c r="D40" i="6"/>
  <c r="H40" i="6" s="1"/>
  <c r="D53" i="6"/>
  <c r="H53" i="6" s="1"/>
  <c r="D54" i="6"/>
  <c r="H54" i="6" s="1"/>
  <c r="D55" i="6"/>
  <c r="H55" i="6" s="1"/>
  <c r="D56" i="6"/>
  <c r="H56" i="6" s="1"/>
  <c r="D57" i="6"/>
  <c r="H57" i="6" s="1"/>
  <c r="D58" i="6"/>
  <c r="H58" i="6" s="1"/>
  <c r="D59" i="6"/>
  <c r="H59" i="6" s="1"/>
  <c r="N2" i="6"/>
  <c r="K2" i="6"/>
  <c r="F2" i="6"/>
  <c r="I2" i="6" s="1"/>
  <c r="D2" i="6"/>
  <c r="H2" i="6" s="1"/>
  <c r="L2" i="6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" i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" i="3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4" i="1"/>
  <c r="B108" i="6" a="1"/>
  <c r="B141" i="6" a="1"/>
  <c r="B8" i="6" a="1"/>
  <c r="B29" i="6" a="1"/>
  <c r="B54" i="6" a="1"/>
  <c r="B15" i="6" a="1"/>
  <c r="B79" i="6" a="1"/>
  <c r="B34" i="6" a="1"/>
  <c r="B104" i="6" a="1"/>
  <c r="B53" i="6" a="1"/>
  <c r="B33" i="6" a="1"/>
  <c r="B97" i="6" a="1"/>
  <c r="B137" i="6" a="1"/>
  <c r="B11" i="6" a="1"/>
  <c r="B162" i="6" a="1"/>
  <c r="B133" i="6" a="1"/>
  <c r="B7" i="6" a="1"/>
  <c r="B25" i="6" a="1"/>
  <c r="B10" i="6" a="1"/>
  <c r="B80" i="6" a="1"/>
  <c r="B101" i="6" a="1"/>
  <c r="B155" i="6" a="1"/>
  <c r="B126" i="6" a="1"/>
  <c r="B87" i="6" a="1"/>
  <c r="B151" i="6" a="1"/>
  <c r="B106" i="6" a="1"/>
  <c r="B125" i="6" a="1"/>
  <c r="B105" i="6" a="1"/>
  <c r="B12" i="6" a="1"/>
  <c r="B37" i="6" a="1"/>
  <c r="B63" i="6" a="1"/>
  <c r="B154" i="6" a="1"/>
  <c r="B51" i="6" a="1"/>
  <c r="B48" i="6" a="1"/>
  <c r="B28" i="6" a="1"/>
  <c r="B47" i="6" a="1"/>
  <c r="B46" i="6" a="1"/>
  <c r="B156" i="6" a="1"/>
  <c r="B67" i="6" a="1"/>
  <c r="B130" i="6" a="1"/>
  <c r="B55" i="6" a="1"/>
  <c r="B82" i="6" a="1"/>
  <c r="B152" i="6" a="1"/>
  <c r="B68" i="6" a="1"/>
  <c r="B159" i="6" a="1"/>
  <c r="B26" i="6" a="1"/>
  <c r="B44" i="6" a="1"/>
  <c r="B84" i="6" a="1"/>
  <c r="B45" i="6" a="1"/>
  <c r="B109" i="6" a="1"/>
  <c r="B127" i="6" a="1"/>
  <c r="B9" i="6" a="1"/>
  <c r="B98" i="6" a="1"/>
  <c r="B72" i="6" a="1"/>
  <c r="B116" i="6" a="1"/>
  <c r="B117" i="6" a="1"/>
  <c r="B27" i="6" a="1"/>
  <c r="B160" i="6" a="1"/>
  <c r="B73" i="6" a="1"/>
  <c r="B92" i="6" a="1"/>
  <c r="B96" i="6" a="1"/>
  <c r="B91" i="6" a="1"/>
  <c r="B77" i="6" a="1"/>
  <c r="B134" i="6" a="1"/>
  <c r="B135" i="6" a="1"/>
  <c r="B23" i="6" a="1"/>
  <c r="B24" i="6" a="1"/>
  <c r="B120" i="6" a="1"/>
  <c r="B81" i="6" a="1"/>
  <c r="B145" i="6" a="1"/>
  <c r="B100" i="6" a="1"/>
  <c r="B119" i="6" a="1"/>
  <c r="B142" i="6" a="1"/>
  <c r="B144" i="6" a="1"/>
  <c r="B118" i="6" a="1"/>
  <c r="B31" i="6" a="1"/>
  <c r="B56" i="6" a="1"/>
  <c r="B146" i="6" a="1"/>
  <c r="B41" i="6" a="1"/>
  <c r="B59" i="6" a="1"/>
  <c r="B4" i="6" a="1"/>
  <c r="B74" i="6" a="1"/>
  <c r="B95" i="6" a="1"/>
  <c r="B83" i="6" a="1"/>
  <c r="B153" i="6" a="1"/>
  <c r="B20" i="6" a="1"/>
  <c r="B64" i="6" a="1"/>
  <c r="B140" i="6" a="1"/>
  <c r="B19" i="6" a="1"/>
  <c r="B39" i="6" a="1"/>
  <c r="B103" i="6" a="1"/>
  <c r="B58" i="6" a="1"/>
  <c r="B128" i="6" a="1"/>
  <c r="B76" i="6" a="1"/>
  <c r="B22" i="6" a="1"/>
  <c r="B66" i="6" a="1"/>
  <c r="B111" i="6" a="1"/>
  <c r="B36" i="6" a="1"/>
  <c r="B65" i="6" a="1"/>
  <c r="B3" i="6" a="1"/>
  <c r="B148" i="6" a="1"/>
  <c r="B5" i="6" a="1"/>
  <c r="B42" i="6" a="1"/>
  <c r="B75" i="6" a="1"/>
  <c r="B139" i="6" a="1"/>
  <c r="B94" i="6" a="1"/>
  <c r="B164" i="6" a="1"/>
  <c r="B113" i="6" a="1"/>
  <c r="B138" i="6" a="1"/>
  <c r="B99" i="6" a="1"/>
  <c r="B163" i="6" a="1"/>
  <c r="B131" i="6" a="1"/>
  <c r="B50" i="6" a="1"/>
  <c r="B149" i="6" a="1"/>
  <c r="B17" i="6" a="1"/>
  <c r="B114" i="6" a="1"/>
  <c r="B147" i="6" a="1"/>
  <c r="B14" i="6" a="1"/>
  <c r="B123" i="6" a="1"/>
  <c r="B121" i="6" a="1"/>
  <c r="B13" i="6" a="1"/>
  <c r="B38" i="6" a="1"/>
  <c r="B52" i="6" a="1"/>
  <c r="B122" i="6" a="1"/>
  <c r="B62" i="6" a="1"/>
  <c r="B60" i="6" a="1"/>
  <c r="B110" i="6" a="1"/>
  <c r="B115" i="6" a="1"/>
  <c r="B6" i="6" a="1"/>
  <c r="B71" i="6" a="1"/>
  <c r="B129" i="6" a="1"/>
  <c r="B35" i="6" a="1"/>
  <c r="B85" i="6" a="1"/>
  <c r="B78" i="6" a="1"/>
  <c r="B143" i="6" a="1"/>
  <c r="B69" i="6" a="1"/>
  <c r="B32" i="6" a="1"/>
  <c r="B89" i="6" a="1"/>
  <c r="B16" i="6" a="1"/>
  <c r="B86" i="6" a="1"/>
  <c r="B43" i="6" a="1"/>
  <c r="B21" i="6" a="1"/>
  <c r="B40" i="6" a="1"/>
  <c r="B124" i="6" a="1"/>
  <c r="B57" i="6" a="1"/>
  <c r="B90" i="6" a="1"/>
  <c r="B161" i="6" a="1"/>
  <c r="B102" i="6" a="1"/>
  <c r="B61" i="6" a="1"/>
  <c r="B88" i="6" a="1"/>
  <c r="B158" i="6" a="1"/>
  <c r="B107" i="6" a="1"/>
  <c r="B70" i="6" a="1"/>
  <c r="B132" i="6" a="1"/>
  <c r="B93" i="6" a="1"/>
  <c r="B157" i="6" a="1"/>
  <c r="B112" i="6" a="1"/>
  <c r="B150" i="6" a="1"/>
  <c r="B136" i="6" a="1"/>
  <c r="B18" i="6" a="1"/>
  <c r="B30" i="6" a="1"/>
  <c r="B49" i="6" a="1"/>
  <c r="G8" i="2" l="1"/>
  <c r="G20" i="2"/>
  <c r="B164" i="6"/>
  <c r="M164" i="6" s="1"/>
  <c r="B158" i="6"/>
  <c r="M158" i="6" s="1"/>
  <c r="B152" i="6"/>
  <c r="M152" i="6" s="1"/>
  <c r="B146" i="6"/>
  <c r="M146" i="6" s="1"/>
  <c r="B140" i="6"/>
  <c r="M140" i="6" s="1"/>
  <c r="B134" i="6"/>
  <c r="M134" i="6" s="1"/>
  <c r="B128" i="6"/>
  <c r="M128" i="6" s="1"/>
  <c r="B122" i="6"/>
  <c r="M122" i="6" s="1"/>
  <c r="B116" i="6"/>
  <c r="M116" i="6" s="1"/>
  <c r="B110" i="6"/>
  <c r="M110" i="6" s="1"/>
  <c r="B104" i="6"/>
  <c r="M104" i="6" s="1"/>
  <c r="B98" i="6"/>
  <c r="M98" i="6" s="1"/>
  <c r="B92" i="6"/>
  <c r="M92" i="6" s="1"/>
  <c r="B86" i="6"/>
  <c r="M86" i="6" s="1"/>
  <c r="B80" i="6"/>
  <c r="M80" i="6" s="1"/>
  <c r="B74" i="6"/>
  <c r="M74" i="6" s="1"/>
  <c r="B68" i="6"/>
  <c r="M68" i="6" s="1"/>
  <c r="B62" i="6"/>
  <c r="M62" i="6" s="1"/>
  <c r="B56" i="6"/>
  <c r="M56" i="6" s="1"/>
  <c r="B50" i="6"/>
  <c r="M50" i="6" s="1"/>
  <c r="B44" i="6"/>
  <c r="M44" i="6" s="1"/>
  <c r="B38" i="6"/>
  <c r="M38" i="6" s="1"/>
  <c r="B32" i="6"/>
  <c r="M32" i="6" s="1"/>
  <c r="B26" i="6"/>
  <c r="M26" i="6" s="1"/>
  <c r="B20" i="6"/>
  <c r="M20" i="6" s="1"/>
  <c r="B14" i="6"/>
  <c r="M14" i="6" s="1"/>
  <c r="B8" i="6"/>
  <c r="M8" i="6" s="1"/>
  <c r="B163" i="6"/>
  <c r="M163" i="6" s="1"/>
  <c r="B157" i="6"/>
  <c r="M157" i="6" s="1"/>
  <c r="B151" i="6"/>
  <c r="M151" i="6" s="1"/>
  <c r="B145" i="6"/>
  <c r="M145" i="6" s="1"/>
  <c r="B139" i="6"/>
  <c r="M139" i="6" s="1"/>
  <c r="B133" i="6"/>
  <c r="M133" i="6" s="1"/>
  <c r="B127" i="6"/>
  <c r="M127" i="6" s="1"/>
  <c r="B121" i="6"/>
  <c r="M121" i="6" s="1"/>
  <c r="B115" i="6"/>
  <c r="M115" i="6" s="1"/>
  <c r="B109" i="6"/>
  <c r="M109" i="6" s="1"/>
  <c r="B103" i="6"/>
  <c r="M103" i="6" s="1"/>
  <c r="B97" i="6"/>
  <c r="M97" i="6" s="1"/>
  <c r="B91" i="6"/>
  <c r="M91" i="6" s="1"/>
  <c r="B85" i="6"/>
  <c r="M85" i="6" s="1"/>
  <c r="B79" i="6"/>
  <c r="M79" i="6" s="1"/>
  <c r="B73" i="6"/>
  <c r="M73" i="6" s="1"/>
  <c r="B67" i="6"/>
  <c r="M67" i="6" s="1"/>
  <c r="B61" i="6"/>
  <c r="M61" i="6" s="1"/>
  <c r="B55" i="6"/>
  <c r="M55" i="6" s="1"/>
  <c r="B49" i="6"/>
  <c r="M49" i="6" s="1"/>
  <c r="B43" i="6"/>
  <c r="M43" i="6" s="1"/>
  <c r="B37" i="6"/>
  <c r="M37" i="6" s="1"/>
  <c r="B31" i="6"/>
  <c r="M31" i="6" s="1"/>
  <c r="B25" i="6"/>
  <c r="M25" i="6" s="1"/>
  <c r="B19" i="6"/>
  <c r="M19" i="6" s="1"/>
  <c r="B13" i="6"/>
  <c r="M13" i="6" s="1"/>
  <c r="B7" i="6"/>
  <c r="M7" i="6" s="1"/>
  <c r="B162" i="6"/>
  <c r="M162" i="6" s="1"/>
  <c r="B156" i="6"/>
  <c r="M156" i="6" s="1"/>
  <c r="B150" i="6"/>
  <c r="M150" i="6" s="1"/>
  <c r="B144" i="6"/>
  <c r="M144" i="6" s="1"/>
  <c r="B138" i="6"/>
  <c r="M138" i="6" s="1"/>
  <c r="B132" i="6"/>
  <c r="M132" i="6" s="1"/>
  <c r="B126" i="6"/>
  <c r="M126" i="6" s="1"/>
  <c r="B120" i="6"/>
  <c r="M120" i="6" s="1"/>
  <c r="B114" i="6"/>
  <c r="M114" i="6" s="1"/>
  <c r="B108" i="6"/>
  <c r="M108" i="6" s="1"/>
  <c r="B102" i="6"/>
  <c r="M102" i="6" s="1"/>
  <c r="B96" i="6"/>
  <c r="M96" i="6" s="1"/>
  <c r="B90" i="6"/>
  <c r="M90" i="6" s="1"/>
  <c r="B84" i="6"/>
  <c r="M84" i="6" s="1"/>
  <c r="B78" i="6"/>
  <c r="M78" i="6" s="1"/>
  <c r="B72" i="6"/>
  <c r="M72" i="6" s="1"/>
  <c r="B66" i="6"/>
  <c r="M66" i="6" s="1"/>
  <c r="B60" i="6"/>
  <c r="M60" i="6" s="1"/>
  <c r="B54" i="6"/>
  <c r="M54" i="6" s="1"/>
  <c r="B48" i="6"/>
  <c r="M48" i="6" s="1"/>
  <c r="B42" i="6"/>
  <c r="M42" i="6" s="1"/>
  <c r="B36" i="6"/>
  <c r="M36" i="6" s="1"/>
  <c r="B30" i="6"/>
  <c r="M30" i="6" s="1"/>
  <c r="B24" i="6"/>
  <c r="M24" i="6" s="1"/>
  <c r="B18" i="6"/>
  <c r="M18" i="6" s="1"/>
  <c r="B12" i="6"/>
  <c r="M12" i="6" s="1"/>
  <c r="B6" i="6"/>
  <c r="M6" i="6" s="1"/>
  <c r="B161" i="6"/>
  <c r="M161" i="6" s="1"/>
  <c r="B155" i="6"/>
  <c r="M155" i="6" s="1"/>
  <c r="B149" i="6"/>
  <c r="M149" i="6" s="1"/>
  <c r="B143" i="6"/>
  <c r="M143" i="6" s="1"/>
  <c r="B137" i="6"/>
  <c r="M137" i="6" s="1"/>
  <c r="B131" i="6"/>
  <c r="M131" i="6" s="1"/>
  <c r="B125" i="6"/>
  <c r="M125" i="6" s="1"/>
  <c r="B119" i="6"/>
  <c r="M119" i="6" s="1"/>
  <c r="B113" i="6"/>
  <c r="M113" i="6" s="1"/>
  <c r="B107" i="6"/>
  <c r="M107" i="6" s="1"/>
  <c r="B101" i="6"/>
  <c r="M101" i="6" s="1"/>
  <c r="B95" i="6"/>
  <c r="M95" i="6" s="1"/>
  <c r="B89" i="6"/>
  <c r="M89" i="6" s="1"/>
  <c r="B83" i="6"/>
  <c r="M83" i="6" s="1"/>
  <c r="B77" i="6"/>
  <c r="M77" i="6" s="1"/>
  <c r="B71" i="6"/>
  <c r="M71" i="6" s="1"/>
  <c r="B65" i="6"/>
  <c r="M65" i="6" s="1"/>
  <c r="B59" i="6"/>
  <c r="M59" i="6" s="1"/>
  <c r="B53" i="6"/>
  <c r="M53" i="6" s="1"/>
  <c r="B47" i="6"/>
  <c r="M47" i="6" s="1"/>
  <c r="B41" i="6"/>
  <c r="M41" i="6" s="1"/>
  <c r="B35" i="6"/>
  <c r="M35" i="6" s="1"/>
  <c r="B29" i="6"/>
  <c r="M29" i="6" s="1"/>
  <c r="B23" i="6"/>
  <c r="M23" i="6" s="1"/>
  <c r="B17" i="6"/>
  <c r="M17" i="6" s="1"/>
  <c r="B11" i="6"/>
  <c r="M11" i="6" s="1"/>
  <c r="B5" i="6"/>
  <c r="M5" i="6" s="1"/>
  <c r="B160" i="6"/>
  <c r="M160" i="6" s="1"/>
  <c r="B154" i="6"/>
  <c r="M154" i="6" s="1"/>
  <c r="B148" i="6"/>
  <c r="M148" i="6" s="1"/>
  <c r="B142" i="6"/>
  <c r="M142" i="6" s="1"/>
  <c r="B136" i="6"/>
  <c r="M136" i="6" s="1"/>
  <c r="B130" i="6"/>
  <c r="M130" i="6" s="1"/>
  <c r="B124" i="6"/>
  <c r="M124" i="6" s="1"/>
  <c r="B118" i="6"/>
  <c r="M118" i="6" s="1"/>
  <c r="B112" i="6"/>
  <c r="M112" i="6" s="1"/>
  <c r="B106" i="6"/>
  <c r="M106" i="6" s="1"/>
  <c r="B100" i="6"/>
  <c r="M100" i="6" s="1"/>
  <c r="B94" i="6"/>
  <c r="M94" i="6" s="1"/>
  <c r="B88" i="6"/>
  <c r="M88" i="6" s="1"/>
  <c r="B82" i="6"/>
  <c r="M82" i="6" s="1"/>
  <c r="B76" i="6"/>
  <c r="M76" i="6" s="1"/>
  <c r="B70" i="6"/>
  <c r="M70" i="6" s="1"/>
  <c r="B64" i="6"/>
  <c r="M64" i="6" s="1"/>
  <c r="B58" i="6"/>
  <c r="M58" i="6" s="1"/>
  <c r="B52" i="6"/>
  <c r="M52" i="6" s="1"/>
  <c r="B46" i="6"/>
  <c r="M46" i="6" s="1"/>
  <c r="B40" i="6"/>
  <c r="M40" i="6" s="1"/>
  <c r="B34" i="6"/>
  <c r="M34" i="6" s="1"/>
  <c r="B28" i="6"/>
  <c r="M28" i="6" s="1"/>
  <c r="B22" i="6"/>
  <c r="M22" i="6" s="1"/>
  <c r="B16" i="6"/>
  <c r="M16" i="6" s="1"/>
  <c r="B10" i="6"/>
  <c r="M10" i="6" s="1"/>
  <c r="B4" i="6"/>
  <c r="M4" i="6" s="1"/>
  <c r="B159" i="6"/>
  <c r="M159" i="6" s="1"/>
  <c r="B153" i="6"/>
  <c r="M153" i="6" s="1"/>
  <c r="B147" i="6"/>
  <c r="M147" i="6" s="1"/>
  <c r="B141" i="6"/>
  <c r="M141" i="6" s="1"/>
  <c r="B135" i="6"/>
  <c r="M135" i="6" s="1"/>
  <c r="B129" i="6"/>
  <c r="M129" i="6" s="1"/>
  <c r="B123" i="6"/>
  <c r="M123" i="6" s="1"/>
  <c r="B117" i="6"/>
  <c r="M117" i="6" s="1"/>
  <c r="B111" i="6"/>
  <c r="M111" i="6" s="1"/>
  <c r="B105" i="6"/>
  <c r="M105" i="6" s="1"/>
  <c r="B99" i="6"/>
  <c r="M99" i="6" s="1"/>
  <c r="B93" i="6"/>
  <c r="M93" i="6" s="1"/>
  <c r="B87" i="6"/>
  <c r="M87" i="6" s="1"/>
  <c r="B81" i="6"/>
  <c r="M81" i="6" s="1"/>
  <c r="B75" i="6"/>
  <c r="M75" i="6" s="1"/>
  <c r="B69" i="6"/>
  <c r="M69" i="6" s="1"/>
  <c r="B63" i="6"/>
  <c r="M63" i="6" s="1"/>
  <c r="B57" i="6"/>
  <c r="M57" i="6" s="1"/>
  <c r="B51" i="6"/>
  <c r="M51" i="6" s="1"/>
  <c r="B45" i="6"/>
  <c r="M45" i="6" s="1"/>
  <c r="B39" i="6"/>
  <c r="M39" i="6" s="1"/>
  <c r="B33" i="6"/>
  <c r="M33" i="6" s="1"/>
  <c r="B27" i="6"/>
  <c r="M27" i="6" s="1"/>
  <c r="B21" i="6"/>
  <c r="M21" i="6" s="1"/>
  <c r="B15" i="6"/>
  <c r="M15" i="6" s="1"/>
  <c r="B9" i="6"/>
  <c r="M9" i="6" s="1"/>
  <c r="B3" i="6"/>
  <c r="M3" i="6" s="1"/>
  <c r="H10" i="1"/>
  <c r="H9" i="1"/>
  <c r="H7" i="1"/>
  <c r="H6" i="1"/>
  <c r="H12" i="1"/>
  <c r="H11" i="1"/>
  <c r="H418" i="1"/>
  <c r="H370" i="1"/>
  <c r="H346" i="1"/>
  <c r="H310" i="1"/>
  <c r="H298" i="1"/>
  <c r="H250" i="1"/>
  <c r="H238" i="1"/>
  <c r="H226" i="1"/>
  <c r="H214" i="1"/>
  <c r="H202" i="1"/>
  <c r="H190" i="1"/>
  <c r="H178" i="1"/>
  <c r="H166" i="1"/>
  <c r="H154" i="1"/>
  <c r="H142" i="1"/>
  <c r="H130" i="1"/>
  <c r="H118" i="1"/>
  <c r="H106" i="1"/>
  <c r="H94" i="1"/>
  <c r="H82" i="1"/>
  <c r="H70" i="1"/>
  <c r="H58" i="1"/>
  <c r="H46" i="1"/>
  <c r="H34" i="1"/>
  <c r="H22" i="1"/>
  <c r="H382" i="1"/>
  <c r="H334" i="1"/>
  <c r="H262" i="1"/>
  <c r="H394" i="1"/>
  <c r="H358" i="1"/>
  <c r="H322" i="1"/>
  <c r="H274" i="1"/>
  <c r="H416" i="1"/>
  <c r="H260" i="1"/>
  <c r="H406" i="1"/>
  <c r="H286" i="1"/>
  <c r="G6" i="2"/>
  <c r="D8" i="2"/>
  <c r="G27" i="2"/>
  <c r="D11" i="2"/>
  <c r="D14" i="2"/>
  <c r="D20" i="2"/>
  <c r="G11" i="2"/>
  <c r="D26" i="2"/>
  <c r="D35" i="2"/>
  <c r="D41" i="2"/>
  <c r="G14" i="2"/>
  <c r="D23" i="2"/>
  <c r="D6" i="2"/>
  <c r="G71" i="2"/>
  <c r="D9" i="2"/>
  <c r="D18" i="2"/>
  <c r="G12" i="2"/>
  <c r="G30" i="2"/>
  <c r="G18" i="2"/>
  <c r="D36" i="2"/>
  <c r="D47" i="2"/>
  <c r="D28" i="2"/>
  <c r="D39" i="2"/>
  <c r="D91" i="2"/>
  <c r="F142" i="2"/>
  <c r="D249" i="2"/>
  <c r="D21" i="2"/>
  <c r="D34" i="2"/>
  <c r="D45" i="2"/>
  <c r="D74" i="2"/>
  <c r="D77" i="2"/>
  <c r="D83" i="2"/>
  <c r="D92" i="2"/>
  <c r="D95" i="2"/>
  <c r="D98" i="2"/>
  <c r="D104" i="2"/>
  <c r="D107" i="2"/>
  <c r="D110" i="2"/>
  <c r="D113" i="2"/>
  <c r="D116" i="2"/>
  <c r="D119" i="2"/>
  <c r="D122" i="2"/>
  <c r="D125" i="2"/>
  <c r="G53" i="2"/>
  <c r="G296" i="2"/>
  <c r="D37" i="2"/>
  <c r="D48" i="2"/>
  <c r="G99" i="2"/>
  <c r="G95" i="2"/>
  <c r="D56" i="2"/>
  <c r="H39" i="2"/>
  <c r="D7" i="2"/>
  <c r="G9" i="2"/>
  <c r="D19" i="2"/>
  <c r="G21" i="2"/>
  <c r="D24" i="2"/>
  <c r="D29" i="2"/>
  <c r="D40" i="2"/>
  <c r="F51" i="2"/>
  <c r="F9" i="2"/>
  <c r="D12" i="2"/>
  <c r="D43" i="2"/>
  <c r="D60" i="2"/>
  <c r="F58" i="2"/>
  <c r="D5" i="2"/>
  <c r="D17" i="2"/>
  <c r="G24" i="2"/>
  <c r="D27" i="2"/>
  <c r="D32" i="2"/>
  <c r="D46" i="2"/>
  <c r="F69" i="2"/>
  <c r="D16" i="2"/>
  <c r="D10" i="2"/>
  <c r="D22" i="2"/>
  <c r="D49" i="2"/>
  <c r="D52" i="2"/>
  <c r="F87" i="2"/>
  <c r="D31" i="2"/>
  <c r="G5" i="2"/>
  <c r="D15" i="2"/>
  <c r="G17" i="2"/>
  <c r="D30" i="2"/>
  <c r="D38" i="2"/>
  <c r="D59" i="2"/>
  <c r="D25" i="2"/>
  <c r="D55" i="2"/>
  <c r="D61" i="2"/>
  <c r="D67" i="2"/>
  <c r="D70" i="2"/>
  <c r="D42" i="2"/>
  <c r="D13" i="2"/>
  <c r="G15" i="2"/>
  <c r="D33" i="2"/>
  <c r="D44" i="2"/>
  <c r="D79" i="2"/>
  <c r="D85" i="2"/>
  <c r="D88" i="2"/>
  <c r="D97" i="2"/>
  <c r="D100" i="2"/>
  <c r="D103" i="2"/>
  <c r="H6" i="2"/>
  <c r="H13" i="2"/>
  <c r="H15" i="2"/>
  <c r="H22" i="2"/>
  <c r="H47" i="2"/>
  <c r="H9" i="2"/>
  <c r="H11" i="2"/>
  <c r="H20" i="2"/>
  <c r="H37" i="2"/>
  <c r="H42" i="2"/>
  <c r="H53" i="2"/>
  <c r="H27" i="2"/>
  <c r="H25" i="2"/>
  <c r="H40" i="2"/>
  <c r="H45" i="2"/>
  <c r="H59" i="2"/>
  <c r="H62" i="2"/>
  <c r="H65" i="2"/>
  <c r="H68" i="2"/>
  <c r="H71" i="2"/>
  <c r="H7" i="2"/>
  <c r="H35" i="2"/>
  <c r="H80" i="2"/>
  <c r="H83" i="2"/>
  <c r="H86" i="2"/>
  <c r="H89" i="2"/>
  <c r="H98" i="2"/>
  <c r="H101" i="2"/>
  <c r="H5" i="2"/>
  <c r="H14" i="2"/>
  <c r="H23" i="2"/>
  <c r="H30" i="2"/>
  <c r="H43" i="2"/>
  <c r="H48" i="2"/>
  <c r="H54" i="2"/>
  <c r="H33" i="2"/>
  <c r="H46" i="2"/>
  <c r="H104" i="2"/>
  <c r="H57" i="2"/>
  <c r="H60" i="2"/>
  <c r="H63" i="2"/>
  <c r="H32" i="2"/>
  <c r="H16" i="2"/>
  <c r="H10" i="2"/>
  <c r="H12" i="2"/>
  <c r="H19" i="2"/>
  <c r="H21" i="2"/>
  <c r="H26" i="2"/>
  <c r="H41" i="2"/>
  <c r="H72" i="2"/>
  <c r="H75" i="2"/>
  <c r="H78" i="2"/>
  <c r="H81" i="2"/>
  <c r="H90" i="2"/>
  <c r="H93" i="2"/>
  <c r="H96" i="2"/>
  <c r="H99" i="2"/>
  <c r="H28" i="2"/>
  <c r="H38" i="2"/>
  <c r="H8" i="2"/>
  <c r="H17" i="2"/>
  <c r="H31" i="2"/>
  <c r="H36" i="2"/>
  <c r="H77" i="2"/>
  <c r="H44" i="2"/>
  <c r="H18" i="2"/>
  <c r="H24" i="2"/>
  <c r="H29" i="2"/>
  <c r="H34" i="2"/>
  <c r="H106" i="2"/>
  <c r="F106" i="2"/>
  <c r="H298" i="2"/>
  <c r="H286" i="2"/>
  <c r="H274" i="2"/>
  <c r="H262" i="2"/>
  <c r="H250" i="2"/>
  <c r="H410" i="2"/>
  <c r="H398" i="2"/>
  <c r="H386" i="2"/>
  <c r="H374" i="2"/>
  <c r="H362" i="2"/>
  <c r="H350" i="2"/>
  <c r="H338" i="2"/>
  <c r="H381" i="2"/>
  <c r="H369" i="2"/>
  <c r="H357" i="2"/>
  <c r="H345" i="2"/>
  <c r="H333" i="2"/>
  <c r="H321" i="2"/>
  <c r="H309" i="2"/>
  <c r="H416" i="2"/>
  <c r="H404" i="2"/>
  <c r="H392" i="2"/>
  <c r="H380" i="2"/>
  <c r="H368" i="2"/>
  <c r="H356" i="2"/>
  <c r="H344" i="2"/>
  <c r="H332" i="2"/>
  <c r="H320" i="2"/>
  <c r="H411" i="2"/>
  <c r="H399" i="2"/>
  <c r="H387" i="2"/>
  <c r="H375" i="2"/>
  <c r="H363" i="2"/>
  <c r="H351" i="2"/>
  <c r="H337" i="2"/>
  <c r="H308" i="2"/>
  <c r="H290" i="2"/>
  <c r="H278" i="2"/>
  <c r="H267" i="2"/>
  <c r="H238" i="2"/>
  <c r="H220" i="2"/>
  <c r="H302" i="2"/>
  <c r="H260" i="2"/>
  <c r="H253" i="2"/>
  <c r="H266" i="2"/>
  <c r="H397" i="2"/>
  <c r="H361" i="2"/>
  <c r="H301" i="2"/>
  <c r="H297" i="2"/>
  <c r="H289" i="2"/>
  <c r="H285" i="2"/>
  <c r="H277" i="2"/>
  <c r="H273" i="2"/>
  <c r="H244" i="2"/>
  <c r="H226" i="2"/>
  <c r="H208" i="2"/>
  <c r="H327" i="2"/>
  <c r="H216" i="2"/>
  <c r="H265" i="2"/>
  <c r="H385" i="2"/>
  <c r="H349" i="2"/>
  <c r="H326" i="2"/>
  <c r="H315" i="2"/>
  <c r="H296" i="2"/>
  <c r="H284" i="2"/>
  <c r="H272" i="2"/>
  <c r="H291" i="2"/>
  <c r="H279" i="2"/>
  <c r="H264" i="2"/>
  <c r="H235" i="2"/>
  <c r="H217" i="2"/>
  <c r="H409" i="2"/>
  <c r="H373" i="2"/>
  <c r="H313" i="2"/>
  <c r="H303" i="2"/>
  <c r="H257" i="2"/>
  <c r="H243" i="2"/>
  <c r="H225" i="2"/>
  <c r="H325" i="2"/>
  <c r="H207" i="2"/>
  <c r="H314" i="2"/>
  <c r="H261" i="2"/>
  <c r="H222" i="2"/>
  <c r="H204" i="2"/>
  <c r="H149" i="2"/>
  <c r="H194" i="2"/>
  <c r="H162" i="2"/>
  <c r="H144" i="2"/>
  <c r="H268" i="2"/>
  <c r="H339" i="2"/>
  <c r="H188" i="2"/>
  <c r="H195" i="2"/>
  <c r="H176" i="2"/>
  <c r="H158" i="2"/>
  <c r="H140" i="2"/>
  <c r="H254" i="2"/>
  <c r="H240" i="2"/>
  <c r="H171" i="2"/>
  <c r="H153" i="2"/>
  <c r="F6" i="2"/>
  <c r="F12" i="2"/>
  <c r="F15" i="2"/>
  <c r="F18" i="2"/>
  <c r="F21" i="2"/>
  <c r="F24" i="2"/>
  <c r="F27" i="2"/>
  <c r="F30" i="2"/>
  <c r="F33" i="2"/>
  <c r="F36" i="2"/>
  <c r="F39" i="2"/>
  <c r="F42" i="2"/>
  <c r="F45" i="2"/>
  <c r="F48" i="2"/>
  <c r="H51" i="2"/>
  <c r="G56" i="2"/>
  <c r="D58" i="2"/>
  <c r="F61" i="2"/>
  <c r="D63" i="2"/>
  <c r="F66" i="2"/>
  <c r="H69" i="2"/>
  <c r="G74" i="2"/>
  <c r="D76" i="2"/>
  <c r="F79" i="2"/>
  <c r="D81" i="2"/>
  <c r="F84" i="2"/>
  <c r="H87" i="2"/>
  <c r="G92" i="2"/>
  <c r="D94" i="2"/>
  <c r="G97" i="2"/>
  <c r="H102" i="2"/>
  <c r="F104" i="2"/>
  <c r="H111" i="2"/>
  <c r="H113" i="2"/>
  <c r="H115" i="2"/>
  <c r="G115" i="2"/>
  <c r="F115" i="2"/>
  <c r="G117" i="2"/>
  <c r="H119" i="2"/>
  <c r="H121" i="2"/>
  <c r="G123" i="2"/>
  <c r="H125" i="2"/>
  <c r="H127" i="2"/>
  <c r="H129" i="2"/>
  <c r="F136" i="2"/>
  <c r="D144" i="2"/>
  <c r="H152" i="2"/>
  <c r="G152" i="2"/>
  <c r="F152" i="2"/>
  <c r="H155" i="2"/>
  <c r="D172" i="2"/>
  <c r="H180" i="2"/>
  <c r="H183" i="2"/>
  <c r="H276" i="2"/>
  <c r="G276" i="2"/>
  <c r="F276" i="2"/>
  <c r="F63" i="2"/>
  <c r="G33" i="2"/>
  <c r="G36" i="2"/>
  <c r="G39" i="2"/>
  <c r="G42" i="2"/>
  <c r="G45" i="2"/>
  <c r="G48" i="2"/>
  <c r="D50" i="2"/>
  <c r="F53" i="2"/>
  <c r="H56" i="2"/>
  <c r="H58" i="2"/>
  <c r="G61" i="2"/>
  <c r="G66" i="2"/>
  <c r="D68" i="2"/>
  <c r="F71" i="2"/>
  <c r="H74" i="2"/>
  <c r="H76" i="2"/>
  <c r="G79" i="2"/>
  <c r="G84" i="2"/>
  <c r="D86" i="2"/>
  <c r="F89" i="2"/>
  <c r="H92" i="2"/>
  <c r="H94" i="2"/>
  <c r="F99" i="2"/>
  <c r="D101" i="2"/>
  <c r="G104" i="2"/>
  <c r="D106" i="2"/>
  <c r="D108" i="2"/>
  <c r="H117" i="2"/>
  <c r="H123" i="2"/>
  <c r="D134" i="2"/>
  <c r="D139" i="2"/>
  <c r="G144" i="2"/>
  <c r="G155" i="2"/>
  <c r="F183" i="2"/>
  <c r="D203" i="2"/>
  <c r="D206" i="2"/>
  <c r="D224" i="2"/>
  <c r="H66" i="2"/>
  <c r="H84" i="2"/>
  <c r="F94" i="2"/>
  <c r="H134" i="2"/>
  <c r="G134" i="2"/>
  <c r="F134" i="2"/>
  <c r="D161" i="2"/>
  <c r="H186" i="2"/>
  <c r="F50" i="2"/>
  <c r="H55" i="2"/>
  <c r="G58" i="2"/>
  <c r="G63" i="2"/>
  <c r="D65" i="2"/>
  <c r="F68" i="2"/>
  <c r="H73" i="2"/>
  <c r="G76" i="2"/>
  <c r="G81" i="2"/>
  <c r="F86" i="2"/>
  <c r="H91" i="2"/>
  <c r="G94" i="2"/>
  <c r="F101" i="2"/>
  <c r="G106" i="2"/>
  <c r="F108" i="2"/>
  <c r="D114" i="2"/>
  <c r="D120" i="2"/>
  <c r="D126" i="2"/>
  <c r="D137" i="2"/>
  <c r="D142" i="2"/>
  <c r="F147" i="2"/>
  <c r="H161" i="2"/>
  <c r="H164" i="2"/>
  <c r="D167" i="2"/>
  <c r="D181" i="2"/>
  <c r="H189" i="2"/>
  <c r="D192" i="2"/>
  <c r="F76" i="2"/>
  <c r="D96" i="2"/>
  <c r="H147" i="2"/>
  <c r="D164" i="2"/>
  <c r="D175" i="2"/>
  <c r="F5" i="2"/>
  <c r="F8" i="2"/>
  <c r="F11" i="2"/>
  <c r="F14" i="2"/>
  <c r="F17" i="2"/>
  <c r="F20" i="2"/>
  <c r="F23" i="2"/>
  <c r="F26" i="2"/>
  <c r="F29" i="2"/>
  <c r="F32" i="2"/>
  <c r="F35" i="2"/>
  <c r="F38" i="2"/>
  <c r="F41" i="2"/>
  <c r="F44" i="2"/>
  <c r="F47" i="2"/>
  <c r="G50" i="2"/>
  <c r="F55" i="2"/>
  <c r="D57" i="2"/>
  <c r="F60" i="2"/>
  <c r="G68" i="2"/>
  <c r="F73" i="2"/>
  <c r="D75" i="2"/>
  <c r="F78" i="2"/>
  <c r="G86" i="2"/>
  <c r="F91" i="2"/>
  <c r="D93" i="2"/>
  <c r="F96" i="2"/>
  <c r="G101" i="2"/>
  <c r="G108" i="2"/>
  <c r="G110" i="2"/>
  <c r="F110" i="2"/>
  <c r="D112" i="2"/>
  <c r="D128" i="2"/>
  <c r="D130" i="2"/>
  <c r="F132" i="2"/>
  <c r="H137" i="2"/>
  <c r="F137" i="2"/>
  <c r="D145" i="2"/>
  <c r="H150" i="2"/>
  <c r="G153" i="2"/>
  <c r="H167" i="2"/>
  <c r="D170" i="2"/>
  <c r="D173" i="2"/>
  <c r="F178" i="2"/>
  <c r="D184" i="2"/>
  <c r="H192" i="2"/>
  <c r="F195" i="2"/>
  <c r="H198" i="2"/>
  <c r="D132" i="2"/>
  <c r="G26" i="2"/>
  <c r="G29" i="2"/>
  <c r="G32" i="2"/>
  <c r="G35" i="2"/>
  <c r="G38" i="2"/>
  <c r="G41" i="2"/>
  <c r="G44" i="2"/>
  <c r="G47" i="2"/>
  <c r="H50" i="2"/>
  <c r="H52" i="2"/>
  <c r="G55" i="2"/>
  <c r="G60" i="2"/>
  <c r="D62" i="2"/>
  <c r="F65" i="2"/>
  <c r="H70" i="2"/>
  <c r="G73" i="2"/>
  <c r="G78" i="2"/>
  <c r="D80" i="2"/>
  <c r="F83" i="2"/>
  <c r="H88" i="2"/>
  <c r="G91" i="2"/>
  <c r="G96" i="2"/>
  <c r="H103" i="2"/>
  <c r="F103" i="2"/>
  <c r="D105" i="2"/>
  <c r="H108" i="2"/>
  <c r="H110" i="2"/>
  <c r="H112" i="2"/>
  <c r="F112" i="2"/>
  <c r="F114" i="2"/>
  <c r="G116" i="2"/>
  <c r="F116" i="2"/>
  <c r="D118" i="2"/>
  <c r="F120" i="2"/>
  <c r="G122" i="2"/>
  <c r="F122" i="2"/>
  <c r="D124" i="2"/>
  <c r="F126" i="2"/>
  <c r="G128" i="2"/>
  <c r="H130" i="2"/>
  <c r="H132" i="2"/>
  <c r="G137" i="2"/>
  <c r="H156" i="2"/>
  <c r="H170" i="2"/>
  <c r="G170" i="2"/>
  <c r="F170" i="2"/>
  <c r="H173" i="2"/>
  <c r="D213" i="2"/>
  <c r="F394" i="2"/>
  <c r="F382" i="2"/>
  <c r="F370" i="2"/>
  <c r="F358" i="2"/>
  <c r="F346" i="2"/>
  <c r="F334" i="2"/>
  <c r="F322" i="2"/>
  <c r="F310" i="2"/>
  <c r="F298" i="2"/>
  <c r="F286" i="2"/>
  <c r="F274" i="2"/>
  <c r="F408" i="2"/>
  <c r="F396" i="2"/>
  <c r="F384" i="2"/>
  <c r="F372" i="2"/>
  <c r="F360" i="2"/>
  <c r="F348" i="2"/>
  <c r="F336" i="2"/>
  <c r="F398" i="2"/>
  <c r="F386" i="2"/>
  <c r="F374" i="2"/>
  <c r="F362" i="2"/>
  <c r="F350" i="2"/>
  <c r="F338" i="2"/>
  <c r="F326" i="2"/>
  <c r="F314" i="2"/>
  <c r="F409" i="2"/>
  <c r="F397" i="2"/>
  <c r="F385" i="2"/>
  <c r="F373" i="2"/>
  <c r="F361" i="2"/>
  <c r="F349" i="2"/>
  <c r="F324" i="2"/>
  <c r="F295" i="2"/>
  <c r="F283" i="2"/>
  <c r="F235" i="2"/>
  <c r="F230" i="2"/>
  <c r="F217" i="2"/>
  <c r="F212" i="2"/>
  <c r="F337" i="2"/>
  <c r="F313" i="2"/>
  <c r="F271" i="2"/>
  <c r="F243" i="2"/>
  <c r="F225" i="2"/>
  <c r="F207" i="2"/>
  <c r="F407" i="2"/>
  <c r="F371" i="2"/>
  <c r="F323" i="2"/>
  <c r="F302" i="2"/>
  <c r="F290" i="2"/>
  <c r="F278" i="2"/>
  <c r="F250" i="2"/>
  <c r="F215" i="2"/>
  <c r="F312" i="2"/>
  <c r="F253" i="2"/>
  <c r="F335" i="2"/>
  <c r="F266" i="2"/>
  <c r="F236" i="2"/>
  <c r="F223" i="2"/>
  <c r="F218" i="2"/>
  <c r="F311" i="2"/>
  <c r="F231" i="2"/>
  <c r="F213" i="2"/>
  <c r="F395" i="2"/>
  <c r="F359" i="2"/>
  <c r="F301" i="2"/>
  <c r="F289" i="2"/>
  <c r="F277" i="2"/>
  <c r="F262" i="2"/>
  <c r="F259" i="2"/>
  <c r="F244" i="2"/>
  <c r="F239" i="2"/>
  <c r="F226" i="2"/>
  <c r="F221" i="2"/>
  <c r="F208" i="2"/>
  <c r="F265" i="2"/>
  <c r="F383" i="2"/>
  <c r="F347" i="2"/>
  <c r="F325" i="2"/>
  <c r="F251" i="2"/>
  <c r="F299" i="2"/>
  <c r="F287" i="2"/>
  <c r="F275" i="2"/>
  <c r="F264" i="2"/>
  <c r="F254" i="2"/>
  <c r="F240" i="2"/>
  <c r="F222" i="2"/>
  <c r="F237" i="2"/>
  <c r="F191" i="2"/>
  <c r="F209" i="2"/>
  <c r="F179" i="2"/>
  <c r="F161" i="2"/>
  <c r="F143" i="2"/>
  <c r="F247" i="2"/>
  <c r="F219" i="2"/>
  <c r="F198" i="2"/>
  <c r="F177" i="2"/>
  <c r="F172" i="2"/>
  <c r="F159" i="2"/>
  <c r="F154" i="2"/>
  <c r="F141" i="2"/>
  <c r="F258" i="2"/>
  <c r="F204" i="2"/>
  <c r="F205" i="2"/>
  <c r="F201" i="2"/>
  <c r="F193" i="2"/>
  <c r="F186" i="2"/>
  <c r="F181" i="2"/>
  <c r="F168" i="2"/>
  <c r="F163" i="2"/>
  <c r="F150" i="2"/>
  <c r="G23" i="2"/>
  <c r="F52" i="2"/>
  <c r="D54" i="2"/>
  <c r="F57" i="2"/>
  <c r="G65" i="2"/>
  <c r="F70" i="2"/>
  <c r="D72" i="2"/>
  <c r="F75" i="2"/>
  <c r="G83" i="2"/>
  <c r="F88" i="2"/>
  <c r="D90" i="2"/>
  <c r="F93" i="2"/>
  <c r="F98" i="2"/>
  <c r="G103" i="2"/>
  <c r="G112" i="2"/>
  <c r="G114" i="2"/>
  <c r="H116" i="2"/>
  <c r="H118" i="2"/>
  <c r="G118" i="2"/>
  <c r="F118" i="2"/>
  <c r="G120" i="2"/>
  <c r="H122" i="2"/>
  <c r="H124" i="2"/>
  <c r="G126" i="2"/>
  <c r="H128" i="2"/>
  <c r="G135" i="2"/>
  <c r="F140" i="2"/>
  <c r="F145" i="2"/>
  <c r="D148" i="2"/>
  <c r="H159" i="2"/>
  <c r="D162" i="2"/>
  <c r="G173" i="2"/>
  <c r="H201" i="2"/>
  <c r="H210" i="2"/>
  <c r="D414" i="2"/>
  <c r="D402" i="2"/>
  <c r="D390" i="2"/>
  <c r="D378" i="2"/>
  <c r="D366" i="2"/>
  <c r="D354" i="2"/>
  <c r="D342" i="2"/>
  <c r="D330" i="2"/>
  <c r="D318" i="2"/>
  <c r="D306" i="2"/>
  <c r="D294" i="2"/>
  <c r="D282" i="2"/>
  <c r="D270" i="2"/>
  <c r="D258" i="2"/>
  <c r="D409" i="2"/>
  <c r="D397" i="2"/>
  <c r="D385" i="2"/>
  <c r="D373" i="2"/>
  <c r="D361" i="2"/>
  <c r="D349" i="2"/>
  <c r="D337" i="2"/>
  <c r="D325" i="2"/>
  <c r="D313" i="2"/>
  <c r="D301" i="2"/>
  <c r="D289" i="2"/>
  <c r="D277" i="2"/>
  <c r="D265" i="2"/>
  <c r="D416" i="2"/>
  <c r="D404" i="2"/>
  <c r="D392" i="2"/>
  <c r="D380" i="2"/>
  <c r="D368" i="2"/>
  <c r="D356" i="2"/>
  <c r="D344" i="2"/>
  <c r="D332" i="2"/>
  <c r="D320" i="2"/>
  <c r="D308" i="2"/>
  <c r="D296" i="2"/>
  <c r="D284" i="2"/>
  <c r="D411" i="2"/>
  <c r="D399" i="2"/>
  <c r="D387" i="2"/>
  <c r="D375" i="2"/>
  <c r="D363" i="2"/>
  <c r="D351" i="2"/>
  <c r="D339" i="2"/>
  <c r="D327" i="2"/>
  <c r="D315" i="2"/>
  <c r="D303" i="2"/>
  <c r="D291" i="2"/>
  <c r="D279" i="2"/>
  <c r="D267" i="2"/>
  <c r="D255" i="2"/>
  <c r="D418" i="2"/>
  <c r="D406" i="2"/>
  <c r="D394" i="2"/>
  <c r="D382" i="2"/>
  <c r="D370" i="2"/>
  <c r="D358" i="2"/>
  <c r="D346" i="2"/>
  <c r="D334" i="2"/>
  <c r="D413" i="2"/>
  <c r="D401" i="2"/>
  <c r="D389" i="2"/>
  <c r="D377" i="2"/>
  <c r="D365" i="2"/>
  <c r="D353" i="2"/>
  <c r="D341" i="2"/>
  <c r="D329" i="2"/>
  <c r="D317" i="2"/>
  <c r="D305" i="2"/>
  <c r="D408" i="2"/>
  <c r="D396" i="2"/>
  <c r="D384" i="2"/>
  <c r="D372" i="2"/>
  <c r="D360" i="2"/>
  <c r="D348" i="2"/>
  <c r="D336" i="2"/>
  <c r="D324" i="2"/>
  <c r="D312" i="2"/>
  <c r="D415" i="2"/>
  <c r="D403" i="2"/>
  <c r="D391" i="2"/>
  <c r="D379" i="2"/>
  <c r="D367" i="2"/>
  <c r="D355" i="2"/>
  <c r="D343" i="2"/>
  <c r="D331" i="2"/>
  <c r="D319" i="2"/>
  <c r="D307" i="2"/>
  <c r="D295" i="2"/>
  <c r="D283" i="2"/>
  <c r="D271" i="2"/>
  <c r="D259" i="2"/>
  <c r="D410" i="2"/>
  <c r="D398" i="2"/>
  <c r="D386" i="2"/>
  <c r="D374" i="2"/>
  <c r="D362" i="2"/>
  <c r="D350" i="2"/>
  <c r="D338" i="2"/>
  <c r="D326" i="2"/>
  <c r="D314" i="2"/>
  <c r="D302" i="2"/>
  <c r="D290" i="2"/>
  <c r="D278" i="2"/>
  <c r="D266" i="2"/>
  <c r="D254" i="2"/>
  <c r="D412" i="2"/>
  <c r="D400" i="2"/>
  <c r="D388" i="2"/>
  <c r="D376" i="2"/>
  <c r="D364" i="2"/>
  <c r="D352" i="2"/>
  <c r="D340" i="2"/>
  <c r="D328" i="2"/>
  <c r="D407" i="2"/>
  <c r="D395" i="2"/>
  <c r="D383" i="2"/>
  <c r="D371" i="2"/>
  <c r="D359" i="2"/>
  <c r="D347" i="2"/>
  <c r="D261" i="2"/>
  <c r="D251" i="2"/>
  <c r="D245" i="2"/>
  <c r="D227" i="2"/>
  <c r="D299" i="2"/>
  <c r="D287" i="2"/>
  <c r="D275" i="2"/>
  <c r="D264" i="2"/>
  <c r="D240" i="2"/>
  <c r="D222" i="2"/>
  <c r="D417" i="2"/>
  <c r="D381" i="2"/>
  <c r="D345" i="2"/>
  <c r="D257" i="2"/>
  <c r="D212" i="2"/>
  <c r="D298" i="2"/>
  <c r="D286" i="2"/>
  <c r="D274" i="2"/>
  <c r="D323" i="2"/>
  <c r="D263" i="2"/>
  <c r="D260" i="2"/>
  <c r="D250" i="2"/>
  <c r="D233" i="2"/>
  <c r="D215" i="2"/>
  <c r="D256" i="2"/>
  <c r="D253" i="2"/>
  <c r="D246" i="2"/>
  <c r="D228" i="2"/>
  <c r="D210" i="2"/>
  <c r="D405" i="2"/>
  <c r="D369" i="2"/>
  <c r="D335" i="2"/>
  <c r="D322" i="2"/>
  <c r="D316" i="2"/>
  <c r="D293" i="2"/>
  <c r="D281" i="2"/>
  <c r="D236" i="2"/>
  <c r="D218" i="2"/>
  <c r="D205" i="2"/>
  <c r="D202" i="2"/>
  <c r="D311" i="2"/>
  <c r="D297" i="2"/>
  <c r="D285" i="2"/>
  <c r="D273" i="2"/>
  <c r="D321" i="2"/>
  <c r="D269" i="2"/>
  <c r="D262" i="2"/>
  <c r="D393" i="2"/>
  <c r="D357" i="2"/>
  <c r="D304" i="2"/>
  <c r="D300" i="2"/>
  <c r="D288" i="2"/>
  <c r="D276" i="2"/>
  <c r="D309" i="2"/>
  <c r="D272" i="2"/>
  <c r="D268" i="2"/>
  <c r="D237" i="2"/>
  <c r="D219" i="2"/>
  <c r="D193" i="2"/>
  <c r="D234" i="2"/>
  <c r="D176" i="2"/>
  <c r="D158" i="2"/>
  <c r="D140" i="2"/>
  <c r="D292" i="2"/>
  <c r="D252" i="2"/>
  <c r="D333" i="2"/>
  <c r="D209" i="2"/>
  <c r="D280" i="2"/>
  <c r="D200" i="2"/>
  <c r="D187" i="2"/>
  <c r="D169" i="2"/>
  <c r="D151" i="2"/>
  <c r="D196" i="2"/>
  <c r="D310" i="2"/>
  <c r="D216" i="2"/>
  <c r="D199" i="2"/>
  <c r="D188" i="2"/>
  <c r="D178" i="2"/>
  <c r="D160" i="2"/>
  <c r="H49" i="2"/>
  <c r="G52" i="2"/>
  <c r="G57" i="2"/>
  <c r="F62" i="2"/>
  <c r="H67" i="2"/>
  <c r="G70" i="2"/>
  <c r="G75" i="2"/>
  <c r="F80" i="2"/>
  <c r="H85" i="2"/>
  <c r="G88" i="2"/>
  <c r="G93" i="2"/>
  <c r="G98" i="2"/>
  <c r="F105" i="2"/>
  <c r="H114" i="2"/>
  <c r="H120" i="2"/>
  <c r="H126" i="2"/>
  <c r="H135" i="2"/>
  <c r="G140" i="2"/>
  <c r="D154" i="2"/>
  <c r="G162" i="2"/>
  <c r="H165" i="2"/>
  <c r="F176" i="2"/>
  <c r="D179" i="2"/>
  <c r="D182" i="2"/>
  <c r="D190" i="2"/>
  <c r="F158" i="2"/>
  <c r="F10" i="2"/>
  <c r="F13" i="2"/>
  <c r="F16" i="2"/>
  <c r="F19" i="2"/>
  <c r="F22" i="2"/>
  <c r="F25" i="2"/>
  <c r="F28" i="2"/>
  <c r="F31" i="2"/>
  <c r="F34" i="2"/>
  <c r="F37" i="2"/>
  <c r="F40" i="2"/>
  <c r="F43" i="2"/>
  <c r="F46" i="2"/>
  <c r="F49" i="2"/>
  <c r="D51" i="2"/>
  <c r="F54" i="2"/>
  <c r="G62" i="2"/>
  <c r="D64" i="2"/>
  <c r="F67" i="2"/>
  <c r="D69" i="2"/>
  <c r="F72" i="2"/>
  <c r="G80" i="2"/>
  <c r="D82" i="2"/>
  <c r="F85" i="2"/>
  <c r="D87" i="2"/>
  <c r="F90" i="2"/>
  <c r="H100" i="2"/>
  <c r="F100" i="2"/>
  <c r="D102" i="2"/>
  <c r="G105" i="2"/>
  <c r="G107" i="2"/>
  <c r="D111" i="2"/>
  <c r="D138" i="2"/>
  <c r="D143" i="2"/>
  <c r="F165" i="2"/>
  <c r="H179" i="2"/>
  <c r="H182" i="2"/>
  <c r="D185" i="2"/>
  <c r="D78" i="2"/>
  <c r="G89" i="2"/>
  <c r="G4" i="2"/>
  <c r="G7" i="2"/>
  <c r="G10" i="2"/>
  <c r="G13" i="2"/>
  <c r="G16" i="2"/>
  <c r="G19" i="2"/>
  <c r="G22" i="2"/>
  <c r="G25" i="2"/>
  <c r="G28" i="2"/>
  <c r="G31" i="2"/>
  <c r="G34" i="2"/>
  <c r="G37" i="2"/>
  <c r="G40" i="2"/>
  <c r="G43" i="2"/>
  <c r="G46" i="2"/>
  <c r="G49" i="2"/>
  <c r="G54" i="2"/>
  <c r="F59" i="2"/>
  <c r="H64" i="2"/>
  <c r="G67" i="2"/>
  <c r="G72" i="2"/>
  <c r="F77" i="2"/>
  <c r="H82" i="2"/>
  <c r="G85" i="2"/>
  <c r="G90" i="2"/>
  <c r="F95" i="2"/>
  <c r="G100" i="2"/>
  <c r="H105" i="2"/>
  <c r="F107" i="2"/>
  <c r="D109" i="2"/>
  <c r="D117" i="2"/>
  <c r="D123" i="2"/>
  <c r="D129" i="2"/>
  <c r="D131" i="2"/>
  <c r="D133" i="2"/>
  <c r="H138" i="2"/>
  <c r="H143" i="2"/>
  <c r="D146" i="2"/>
  <c r="D157" i="2"/>
  <c r="H168" i="2"/>
  <c r="G171" i="2"/>
  <c r="H185" i="2"/>
  <c r="F199" i="2"/>
  <c r="F81" i="2"/>
  <c r="F7" i="2"/>
  <c r="H4" i="2"/>
  <c r="G59" i="2"/>
  <c r="F64" i="2"/>
  <c r="D66" i="2"/>
  <c r="G77" i="2"/>
  <c r="F82" i="2"/>
  <c r="D84" i="2"/>
  <c r="F102" i="2"/>
  <c r="H107" i="2"/>
  <c r="H109" i="2"/>
  <c r="F109" i="2"/>
  <c r="F111" i="2"/>
  <c r="G131" i="2"/>
  <c r="D136" i="2"/>
  <c r="H146" i="2"/>
  <c r="D149" i="2"/>
  <c r="D163" i="2"/>
  <c r="H174" i="2"/>
  <c r="D73" i="2"/>
  <c r="G394" i="2"/>
  <c r="G382" i="2"/>
  <c r="G370" i="2"/>
  <c r="G358" i="2"/>
  <c r="G346" i="2"/>
  <c r="G334" i="2"/>
  <c r="G322" i="2"/>
  <c r="G310" i="2"/>
  <c r="G298" i="2"/>
  <c r="G286" i="2"/>
  <c r="G274" i="2"/>
  <c r="G415" i="2"/>
  <c r="G403" i="2"/>
  <c r="G391" i="2"/>
  <c r="G379" i="2"/>
  <c r="G367" i="2"/>
  <c r="G355" i="2"/>
  <c r="G343" i="2"/>
  <c r="G331" i="2"/>
  <c r="G398" i="2"/>
  <c r="G386" i="2"/>
  <c r="G374" i="2"/>
  <c r="G362" i="2"/>
  <c r="G350" i="2"/>
  <c r="G338" i="2"/>
  <c r="G326" i="2"/>
  <c r="G314" i="2"/>
  <c r="G302" i="2"/>
  <c r="G393" i="2"/>
  <c r="G381" i="2"/>
  <c r="G369" i="2"/>
  <c r="G357" i="2"/>
  <c r="G345" i="2"/>
  <c r="G333" i="2"/>
  <c r="G321" i="2"/>
  <c r="G309" i="2"/>
  <c r="G409" i="2"/>
  <c r="G397" i="2"/>
  <c r="G385" i="2"/>
  <c r="G373" i="2"/>
  <c r="G361" i="2"/>
  <c r="G349" i="2"/>
  <c r="G337" i="2"/>
  <c r="G325" i="2"/>
  <c r="G416" i="2"/>
  <c r="G404" i="2"/>
  <c r="G392" i="2"/>
  <c r="G380" i="2"/>
  <c r="G368" i="2"/>
  <c r="G356" i="2"/>
  <c r="G344" i="2"/>
  <c r="G313" i="2"/>
  <c r="G271" i="2"/>
  <c r="G257" i="2"/>
  <c r="G243" i="2"/>
  <c r="G225" i="2"/>
  <c r="G390" i="2"/>
  <c r="G354" i="2"/>
  <c r="G308" i="2"/>
  <c r="G290" i="2"/>
  <c r="G278" i="2"/>
  <c r="G250" i="2"/>
  <c r="G248" i="2"/>
  <c r="G238" i="2"/>
  <c r="G233" i="2"/>
  <c r="G220" i="2"/>
  <c r="G215" i="2"/>
  <c r="G253" i="2"/>
  <c r="G307" i="2"/>
  <c r="G266" i="2"/>
  <c r="G231" i="2"/>
  <c r="G213" i="2"/>
  <c r="G414" i="2"/>
  <c r="G378" i="2"/>
  <c r="G342" i="2"/>
  <c r="G301" i="2"/>
  <c r="G297" i="2"/>
  <c r="G289" i="2"/>
  <c r="G285" i="2"/>
  <c r="G277" i="2"/>
  <c r="G273" i="2"/>
  <c r="G262" i="2"/>
  <c r="G259" i="2"/>
  <c r="G244" i="2"/>
  <c r="G239" i="2"/>
  <c r="G226" i="2"/>
  <c r="G221" i="2"/>
  <c r="G208" i="2"/>
  <c r="G269" i="2"/>
  <c r="G216" i="2"/>
  <c r="G265" i="2"/>
  <c r="G402" i="2"/>
  <c r="G332" i="2"/>
  <c r="G261" i="2"/>
  <c r="G254" i="2"/>
  <c r="G240" i="2"/>
  <c r="G222" i="2"/>
  <c r="G319" i="2"/>
  <c r="G295" i="2"/>
  <c r="G283" i="2"/>
  <c r="G235" i="2"/>
  <c r="G230" i="2"/>
  <c r="G217" i="2"/>
  <c r="G212" i="2"/>
  <c r="G272" i="2"/>
  <c r="G209" i="2"/>
  <c r="G207" i="2"/>
  <c r="G179" i="2"/>
  <c r="G161" i="2"/>
  <c r="G143" i="2"/>
  <c r="G245" i="2"/>
  <c r="G214" i="2"/>
  <c r="G366" i="2"/>
  <c r="G177" i="2"/>
  <c r="G172" i="2"/>
  <c r="G159" i="2"/>
  <c r="G154" i="2"/>
  <c r="G141" i="2"/>
  <c r="G136" i="2"/>
  <c r="G204" i="2"/>
  <c r="G185" i="2"/>
  <c r="G167" i="2"/>
  <c r="G149" i="2"/>
  <c r="G320" i="2"/>
  <c r="G227" i="2"/>
  <c r="G183" i="2"/>
  <c r="G178" i="2"/>
  <c r="G165" i="2"/>
  <c r="G160" i="2"/>
  <c r="G232" i="2"/>
  <c r="G201" i="2"/>
  <c r="G186" i="2"/>
  <c r="G181" i="2"/>
  <c r="G168" i="2"/>
  <c r="G163" i="2"/>
  <c r="G150" i="2"/>
  <c r="G145" i="2"/>
  <c r="G132" i="2"/>
  <c r="G129" i="2"/>
  <c r="G284" i="2"/>
  <c r="G195" i="2"/>
  <c r="G176" i="2"/>
  <c r="G158" i="2"/>
  <c r="G51" i="2"/>
  <c r="D53" i="2"/>
  <c r="F56" i="2"/>
  <c r="H61" i="2"/>
  <c r="G64" i="2"/>
  <c r="G69" i="2"/>
  <c r="D71" i="2"/>
  <c r="F74" i="2"/>
  <c r="H79" i="2"/>
  <c r="G82" i="2"/>
  <c r="G87" i="2"/>
  <c r="D89" i="2"/>
  <c r="F92" i="2"/>
  <c r="H95" i="2"/>
  <c r="H97" i="2"/>
  <c r="F97" i="2"/>
  <c r="D99" i="2"/>
  <c r="G102" i="2"/>
  <c r="G109" i="2"/>
  <c r="G111" i="2"/>
  <c r="G113" i="2"/>
  <c r="F113" i="2"/>
  <c r="D115" i="2"/>
  <c r="F117" i="2"/>
  <c r="G119" i="2"/>
  <c r="F119" i="2"/>
  <c r="D121" i="2"/>
  <c r="F123" i="2"/>
  <c r="G125" i="2"/>
  <c r="F125" i="2"/>
  <c r="D127" i="2"/>
  <c r="F129" i="2"/>
  <c r="H131" i="2"/>
  <c r="H141" i="2"/>
  <c r="F149" i="2"/>
  <c r="D152" i="2"/>
  <c r="D155" i="2"/>
  <c r="F160" i="2"/>
  <c r="D166" i="2"/>
  <c r="H177" i="2"/>
  <c r="D180" i="2"/>
  <c r="F188" i="2"/>
  <c r="D191" i="2"/>
  <c r="D194" i="2"/>
  <c r="D197" i="2"/>
  <c r="D147" i="2"/>
  <c r="D165" i="2"/>
  <c r="D183" i="2"/>
  <c r="G197" i="2"/>
  <c r="F197" i="2"/>
  <c r="H203" i="2"/>
  <c r="G203" i="2"/>
  <c r="F203" i="2"/>
  <c r="H229" i="2"/>
  <c r="G229" i="2"/>
  <c r="F229" i="2"/>
  <c r="H232" i="2"/>
  <c r="H348" i="2"/>
  <c r="H142" i="2"/>
  <c r="F155" i="2"/>
  <c r="H160" i="2"/>
  <c r="F173" i="2"/>
  <c r="H178" i="2"/>
  <c r="G188" i="2"/>
  <c r="H197" i="2"/>
  <c r="H199" i="2"/>
  <c r="G199" i="2"/>
  <c r="D221" i="2"/>
  <c r="H139" i="2"/>
  <c r="G142" i="2"/>
  <c r="G147" i="2"/>
  <c r="H157" i="2"/>
  <c r="H175" i="2"/>
  <c r="H190" i="2"/>
  <c r="G190" i="2"/>
  <c r="D204" i="2"/>
  <c r="H213" i="2"/>
  <c r="H224" i="2"/>
  <c r="G224" i="2"/>
  <c r="F224" i="2"/>
  <c r="D230" i="2"/>
  <c r="F238" i="2"/>
  <c r="F128" i="2"/>
  <c r="F131" i="2"/>
  <c r="F139" i="2"/>
  <c r="D141" i="2"/>
  <c r="F144" i="2"/>
  <c r="F157" i="2"/>
  <c r="D159" i="2"/>
  <c r="F162" i="2"/>
  <c r="F175" i="2"/>
  <c r="D177" i="2"/>
  <c r="F180" i="2"/>
  <c r="F190" i="2"/>
  <c r="F192" i="2"/>
  <c r="D198" i="2"/>
  <c r="H241" i="2"/>
  <c r="H288" i="2"/>
  <c r="G288" i="2"/>
  <c r="F288" i="2"/>
  <c r="G375" i="2"/>
  <c r="H136" i="2"/>
  <c r="G139" i="2"/>
  <c r="H154" i="2"/>
  <c r="G157" i="2"/>
  <c r="F167" i="2"/>
  <c r="H172" i="2"/>
  <c r="G175" i="2"/>
  <c r="G180" i="2"/>
  <c r="F185" i="2"/>
  <c r="G192" i="2"/>
  <c r="G194" i="2"/>
  <c r="F194" i="2"/>
  <c r="H206" i="2"/>
  <c r="G206" i="2"/>
  <c r="F206" i="2"/>
  <c r="D211" i="2"/>
  <c r="F216" i="2"/>
  <c r="H219" i="2"/>
  <c r="H247" i="2"/>
  <c r="D156" i="2"/>
  <c r="D174" i="2"/>
  <c r="D189" i="2"/>
  <c r="H196" i="2"/>
  <c r="G196" i="2"/>
  <c r="H202" i="2"/>
  <c r="G202" i="2"/>
  <c r="H211" i="2"/>
  <c r="G211" i="2"/>
  <c r="F211" i="2"/>
  <c r="D225" i="2"/>
  <c r="D239" i="2"/>
  <c r="H300" i="2"/>
  <c r="G300" i="2"/>
  <c r="F300" i="2"/>
  <c r="H133" i="2"/>
  <c r="F146" i="2"/>
  <c r="H151" i="2"/>
  <c r="F164" i="2"/>
  <c r="H169" i="2"/>
  <c r="F182" i="2"/>
  <c r="H187" i="2"/>
  <c r="G187" i="2"/>
  <c r="F196" i="2"/>
  <c r="G198" i="2"/>
  <c r="H200" i="2"/>
  <c r="G200" i="2"/>
  <c r="F200" i="2"/>
  <c r="F202" i="2"/>
  <c r="H214" i="2"/>
  <c r="D231" i="2"/>
  <c r="D242" i="2"/>
  <c r="F121" i="2"/>
  <c r="F124" i="2"/>
  <c r="F127" i="2"/>
  <c r="F130" i="2"/>
  <c r="F133" i="2"/>
  <c r="D135" i="2"/>
  <c r="F138" i="2"/>
  <c r="G146" i="2"/>
  <c r="F151" i="2"/>
  <c r="D153" i="2"/>
  <c r="F156" i="2"/>
  <c r="G164" i="2"/>
  <c r="F169" i="2"/>
  <c r="D171" i="2"/>
  <c r="F174" i="2"/>
  <c r="G182" i="2"/>
  <c r="F187" i="2"/>
  <c r="F189" i="2"/>
  <c r="D207" i="2"/>
  <c r="H209" i="2"/>
  <c r="H228" i="2"/>
  <c r="H231" i="2"/>
  <c r="H242" i="2"/>
  <c r="G242" i="2"/>
  <c r="F242" i="2"/>
  <c r="G121" i="2"/>
  <c r="G124" i="2"/>
  <c r="G127" i="2"/>
  <c r="G130" i="2"/>
  <c r="G133" i="2"/>
  <c r="G138" i="2"/>
  <c r="H148" i="2"/>
  <c r="G151" i="2"/>
  <c r="G156" i="2"/>
  <c r="H166" i="2"/>
  <c r="G169" i="2"/>
  <c r="G174" i="2"/>
  <c r="H184" i="2"/>
  <c r="G189" i="2"/>
  <c r="G191" i="2"/>
  <c r="D195" i="2"/>
  <c r="F357" i="2"/>
  <c r="F135" i="2"/>
  <c r="F148" i="2"/>
  <c r="D150" i="2"/>
  <c r="F153" i="2"/>
  <c r="F166" i="2"/>
  <c r="D168" i="2"/>
  <c r="F171" i="2"/>
  <c r="F184" i="2"/>
  <c r="D186" i="2"/>
  <c r="D201" i="2"/>
  <c r="F220" i="2"/>
  <c r="H234" i="2"/>
  <c r="H237" i="2"/>
  <c r="H304" i="2"/>
  <c r="G304" i="2"/>
  <c r="F304" i="2"/>
  <c r="H145" i="2"/>
  <c r="G148" i="2"/>
  <c r="H163" i="2"/>
  <c r="G166" i="2"/>
  <c r="H181" i="2"/>
  <c r="G184" i="2"/>
  <c r="H191" i="2"/>
  <c r="H193" i="2"/>
  <c r="G193" i="2"/>
  <c r="H205" i="2"/>
  <c r="H223" i="2"/>
  <c r="D243" i="2"/>
  <c r="H227" i="2"/>
  <c r="H245" i="2"/>
  <c r="D247" i="2"/>
  <c r="H251" i="2"/>
  <c r="G251" i="2"/>
  <c r="F261" i="2"/>
  <c r="G279" i="2"/>
  <c r="G291" i="2"/>
  <c r="F332" i="2"/>
  <c r="H347" i="2"/>
  <c r="F356" i="2"/>
  <c r="H365" i="2"/>
  <c r="H383" i="2"/>
  <c r="F392" i="2"/>
  <c r="H401" i="2"/>
  <c r="F214" i="2"/>
  <c r="F227" i="2"/>
  <c r="D229" i="2"/>
  <c r="F232" i="2"/>
  <c r="F245" i="2"/>
  <c r="H258" i="2"/>
  <c r="G268" i="2"/>
  <c r="F268" i="2"/>
  <c r="F272" i="2"/>
  <c r="F284" i="2"/>
  <c r="F296" i="2"/>
  <c r="F309" i="2"/>
  <c r="F320" i="2"/>
  <c r="G339" i="2"/>
  <c r="H366" i="2"/>
  <c r="H402" i="2"/>
  <c r="G410" i="2"/>
  <c r="H384" i="2"/>
  <c r="H393" i="2"/>
  <c r="G411" i="2"/>
  <c r="D208" i="2"/>
  <c r="G219" i="2"/>
  <c r="D226" i="2"/>
  <c r="G237" i="2"/>
  <c r="D244" i="2"/>
  <c r="G247" i="2"/>
  <c r="H249" i="2"/>
  <c r="G249" i="2"/>
  <c r="G252" i="2"/>
  <c r="G255" i="2"/>
  <c r="G258" i="2"/>
  <c r="G280" i="2"/>
  <c r="F280" i="2"/>
  <c r="G292" i="2"/>
  <c r="F292" i="2"/>
  <c r="H305" i="2"/>
  <c r="G305" i="2"/>
  <c r="F305" i="2"/>
  <c r="H310" i="2"/>
  <c r="G315" i="2"/>
  <c r="F333" i="2"/>
  <c r="H340" i="2"/>
  <c r="G340" i="2"/>
  <c r="F340" i="2"/>
  <c r="H358" i="2"/>
  <c r="H367" i="2"/>
  <c r="H376" i="2"/>
  <c r="G376" i="2"/>
  <c r="F376" i="2"/>
  <c r="H394" i="2"/>
  <c r="H403" i="2"/>
  <c r="H412" i="2"/>
  <c r="G412" i="2"/>
  <c r="F412" i="2"/>
  <c r="H221" i="2"/>
  <c r="F234" i="2"/>
  <c r="H239" i="2"/>
  <c r="F249" i="2"/>
  <c r="F252" i="2"/>
  <c r="F255" i="2"/>
  <c r="H259" i="2"/>
  <c r="H269" i="2"/>
  <c r="F269" i="2"/>
  <c r="H280" i="2"/>
  <c r="H292" i="2"/>
  <c r="H306" i="2"/>
  <c r="F321" i="2"/>
  <c r="H334" i="2"/>
  <c r="H341" i="2"/>
  <c r="H359" i="2"/>
  <c r="F368" i="2"/>
  <c r="H377" i="2"/>
  <c r="H395" i="2"/>
  <c r="F404" i="2"/>
  <c r="H413" i="2"/>
  <c r="D223" i="2"/>
  <c r="G234" i="2"/>
  <c r="D241" i="2"/>
  <c r="H252" i="2"/>
  <c r="H255" i="2"/>
  <c r="F273" i="2"/>
  <c r="F285" i="2"/>
  <c r="F297" i="2"/>
  <c r="F306" i="2"/>
  <c r="H311" i="2"/>
  <c r="G311" i="2"/>
  <c r="G327" i="2"/>
  <c r="H342" i="2"/>
  <c r="H378" i="2"/>
  <c r="H414" i="2"/>
  <c r="H218" i="2"/>
  <c r="H236" i="2"/>
  <c r="H270" i="2"/>
  <c r="H281" i="2"/>
  <c r="G281" i="2"/>
  <c r="F281" i="2"/>
  <c r="H293" i="2"/>
  <c r="G293" i="2"/>
  <c r="F293" i="2"/>
  <c r="G306" i="2"/>
  <c r="H316" i="2"/>
  <c r="G316" i="2"/>
  <c r="F316" i="2"/>
  <c r="H322" i="2"/>
  <c r="H335" i="2"/>
  <c r="G351" i="2"/>
  <c r="H360" i="2"/>
  <c r="F369" i="2"/>
  <c r="G387" i="2"/>
  <c r="H396" i="2"/>
  <c r="H405" i="2"/>
  <c r="D220" i="2"/>
  <c r="D238" i="2"/>
  <c r="F241" i="2"/>
  <c r="H246" i="2"/>
  <c r="D248" i="2"/>
  <c r="G256" i="2"/>
  <c r="F256" i="2"/>
  <c r="F270" i="2"/>
  <c r="H282" i="2"/>
  <c r="H294" i="2"/>
  <c r="H307" i="2"/>
  <c r="H312" i="2"/>
  <c r="H317" i="2"/>
  <c r="G317" i="2"/>
  <c r="F317" i="2"/>
  <c r="H328" i="2"/>
  <c r="G328" i="2"/>
  <c r="F328" i="2"/>
  <c r="H343" i="2"/>
  <c r="H352" i="2"/>
  <c r="G352" i="2"/>
  <c r="F352" i="2"/>
  <c r="H370" i="2"/>
  <c r="H379" i="2"/>
  <c r="H388" i="2"/>
  <c r="G388" i="2"/>
  <c r="F388" i="2"/>
  <c r="H406" i="2"/>
  <c r="H415" i="2"/>
  <c r="G205" i="2"/>
  <c r="F210" i="2"/>
  <c r="H215" i="2"/>
  <c r="G218" i="2"/>
  <c r="G223" i="2"/>
  <c r="F228" i="2"/>
  <c r="H233" i="2"/>
  <c r="G236" i="2"/>
  <c r="G241" i="2"/>
  <c r="F246" i="2"/>
  <c r="H248" i="2"/>
  <c r="H256" i="2"/>
  <c r="F260" i="2"/>
  <c r="H263" i="2"/>
  <c r="G263" i="2"/>
  <c r="G270" i="2"/>
  <c r="F282" i="2"/>
  <c r="F294" i="2"/>
  <c r="H318" i="2"/>
  <c r="H323" i="2"/>
  <c r="H329" i="2"/>
  <c r="H336" i="2"/>
  <c r="F344" i="2"/>
  <c r="H353" i="2"/>
  <c r="H371" i="2"/>
  <c r="F380" i="2"/>
  <c r="H389" i="2"/>
  <c r="H407" i="2"/>
  <c r="F416" i="2"/>
  <c r="G210" i="2"/>
  <c r="D217" i="2"/>
  <c r="G228" i="2"/>
  <c r="F233" i="2"/>
  <c r="D235" i="2"/>
  <c r="G246" i="2"/>
  <c r="F248" i="2"/>
  <c r="G260" i="2"/>
  <c r="F263" i="2"/>
  <c r="H271" i="2"/>
  <c r="G282" i="2"/>
  <c r="G294" i="2"/>
  <c r="F308" i="2"/>
  <c r="F318" i="2"/>
  <c r="H330" i="2"/>
  <c r="F330" i="2"/>
  <c r="H354" i="2"/>
  <c r="H390" i="2"/>
  <c r="H212" i="2"/>
  <c r="H230" i="2"/>
  <c r="F257" i="2"/>
  <c r="G267" i="2"/>
  <c r="F267" i="2"/>
  <c r="H283" i="2"/>
  <c r="H295" i="2"/>
  <c r="G318" i="2"/>
  <c r="H324" i="2"/>
  <c r="G330" i="2"/>
  <c r="F345" i="2"/>
  <c r="G363" i="2"/>
  <c r="H372" i="2"/>
  <c r="F381" i="2"/>
  <c r="G399" i="2"/>
  <c r="H408" i="2"/>
  <c r="H417" i="2"/>
  <c r="D214" i="2"/>
  <c r="D232" i="2"/>
  <c r="G264" i="2"/>
  <c r="H275" i="2"/>
  <c r="G275" i="2"/>
  <c r="H287" i="2"/>
  <c r="G287" i="2"/>
  <c r="H299" i="2"/>
  <c r="G299" i="2"/>
  <c r="G303" i="2"/>
  <c r="H319" i="2"/>
  <c r="H331" i="2"/>
  <c r="H346" i="2"/>
  <c r="H355" i="2"/>
  <c r="H364" i="2"/>
  <c r="G364" i="2"/>
  <c r="F364" i="2"/>
  <c r="H382" i="2"/>
  <c r="H391" i="2"/>
  <c r="H400" i="2"/>
  <c r="G400" i="2"/>
  <c r="F400" i="2"/>
  <c r="H418" i="2"/>
  <c r="F342" i="2"/>
  <c r="F354" i="2"/>
  <c r="F366" i="2"/>
  <c r="F378" i="2"/>
  <c r="F390" i="2"/>
  <c r="F402" i="2"/>
  <c r="F414" i="2"/>
  <c r="G323" i="2"/>
  <c r="G335" i="2"/>
  <c r="G347" i="2"/>
  <c r="G359" i="2"/>
  <c r="G371" i="2"/>
  <c r="G383" i="2"/>
  <c r="G395" i="2"/>
  <c r="G407" i="2"/>
  <c r="F393" i="2"/>
  <c r="F405" i="2"/>
  <c r="F417" i="2"/>
  <c r="G405" i="2"/>
  <c r="F410" i="2"/>
  <c r="G417" i="2"/>
  <c r="F307" i="2"/>
  <c r="F319" i="2"/>
  <c r="F331" i="2"/>
  <c r="F343" i="2"/>
  <c r="F355" i="2"/>
  <c r="F367" i="2"/>
  <c r="F379" i="2"/>
  <c r="F391" i="2"/>
  <c r="F403" i="2"/>
  <c r="F415" i="2"/>
  <c r="G312" i="2"/>
  <c r="G324" i="2"/>
  <c r="F329" i="2"/>
  <c r="G336" i="2"/>
  <c r="F341" i="2"/>
  <c r="G348" i="2"/>
  <c r="F353" i="2"/>
  <c r="G360" i="2"/>
  <c r="F365" i="2"/>
  <c r="G372" i="2"/>
  <c r="F377" i="2"/>
  <c r="G384" i="2"/>
  <c r="F389" i="2"/>
  <c r="G396" i="2"/>
  <c r="F401" i="2"/>
  <c r="G408" i="2"/>
  <c r="F413" i="2"/>
  <c r="G329" i="2"/>
  <c r="G341" i="2"/>
  <c r="G353" i="2"/>
  <c r="G365" i="2"/>
  <c r="G377" i="2"/>
  <c r="G389" i="2"/>
  <c r="G401" i="2"/>
  <c r="F406" i="2"/>
  <c r="G413" i="2"/>
  <c r="F418" i="2"/>
  <c r="F279" i="2"/>
  <c r="F291" i="2"/>
  <c r="F303" i="2"/>
  <c r="F315" i="2"/>
  <c r="F327" i="2"/>
  <c r="F339" i="2"/>
  <c r="F351" i="2"/>
  <c r="F363" i="2"/>
  <c r="F375" i="2"/>
  <c r="F387" i="2"/>
  <c r="F399" i="2"/>
  <c r="G406" i="2"/>
  <c r="F411" i="2"/>
  <c r="G418" i="2"/>
  <c r="H417" i="1"/>
  <c r="H405" i="1"/>
  <c r="H393" i="1"/>
  <c r="H381" i="1"/>
  <c r="H369" i="1"/>
  <c r="H357" i="1"/>
  <c r="H345" i="1"/>
  <c r="H333" i="1"/>
  <c r="H321" i="1"/>
  <c r="H309" i="1"/>
  <c r="H297" i="1"/>
  <c r="H285" i="1"/>
  <c r="H273" i="1"/>
  <c r="H261" i="1"/>
  <c r="H249" i="1"/>
  <c r="H237" i="1"/>
  <c r="H225" i="1"/>
  <c r="H213" i="1"/>
  <c r="H201" i="1"/>
  <c r="H189" i="1"/>
  <c r="H177" i="1"/>
  <c r="H165" i="1"/>
  <c r="H153" i="1"/>
  <c r="H141" i="1"/>
  <c r="H129" i="1"/>
  <c r="H117" i="1"/>
  <c r="H105" i="1"/>
  <c r="H93" i="1"/>
  <c r="H81" i="1"/>
  <c r="H69" i="1"/>
  <c r="H57" i="1"/>
  <c r="H45" i="1"/>
  <c r="H33" i="1"/>
  <c r="H21" i="1"/>
  <c r="H415" i="1"/>
  <c r="H379" i="1"/>
  <c r="H367" i="1"/>
  <c r="H355" i="1"/>
  <c r="H343" i="1"/>
  <c r="H331" i="1"/>
  <c r="H319" i="1"/>
  <c r="H307" i="1"/>
  <c r="H295" i="1"/>
  <c r="H283" i="1"/>
  <c r="H271" i="1"/>
  <c r="H259" i="1"/>
  <c r="H247" i="1"/>
  <c r="H235" i="1"/>
  <c r="H223" i="1"/>
  <c r="H211" i="1"/>
  <c r="H199" i="1"/>
  <c r="H187" i="1"/>
  <c r="H175" i="1"/>
  <c r="H163" i="1"/>
  <c r="H151" i="1"/>
  <c r="H139" i="1"/>
  <c r="H127" i="1"/>
  <c r="H115" i="1"/>
  <c r="H103" i="1"/>
  <c r="H91" i="1"/>
  <c r="H79" i="1"/>
  <c r="H67" i="1"/>
  <c r="H55" i="1"/>
  <c r="H43" i="1"/>
  <c r="H31" i="1"/>
  <c r="H19" i="1"/>
  <c r="H284" i="1"/>
  <c r="H391" i="1"/>
  <c r="H402" i="1"/>
  <c r="H354" i="1"/>
  <c r="H342" i="1"/>
  <c r="H330" i="1"/>
  <c r="H318" i="1"/>
  <c r="H306" i="1"/>
  <c r="H294" i="1"/>
  <c r="H282" i="1"/>
  <c r="H270" i="1"/>
  <c r="H258" i="1"/>
  <c r="H246" i="1"/>
  <c r="H234" i="1"/>
  <c r="H222" i="1"/>
  <c r="H210" i="1"/>
  <c r="H198" i="1"/>
  <c r="H186" i="1"/>
  <c r="H174" i="1"/>
  <c r="H162" i="1"/>
  <c r="H150" i="1"/>
  <c r="H138" i="1"/>
  <c r="H126" i="1"/>
  <c r="H114" i="1"/>
  <c r="H102" i="1"/>
  <c r="H90" i="1"/>
  <c r="H78" i="1"/>
  <c r="H66" i="1"/>
  <c r="H54" i="1"/>
  <c r="H42" i="1"/>
  <c r="H30" i="1"/>
  <c r="H18" i="1"/>
  <c r="H380" i="1"/>
  <c r="H414" i="1"/>
  <c r="H401" i="1"/>
  <c r="H377" i="1"/>
  <c r="H353" i="1"/>
  <c r="H329" i="1"/>
  <c r="H317" i="1"/>
  <c r="H293" i="1"/>
  <c r="H269" i="1"/>
  <c r="H257" i="1"/>
  <c r="H245" i="1"/>
  <c r="H233" i="1"/>
  <c r="H209" i="1"/>
  <c r="H197" i="1"/>
  <c r="H185" i="1"/>
  <c r="H173" i="1"/>
  <c r="H161" i="1"/>
  <c r="H149" i="1"/>
  <c r="H137" i="1"/>
  <c r="H125" i="1"/>
  <c r="H113" i="1"/>
  <c r="H101" i="1"/>
  <c r="H89" i="1"/>
  <c r="H77" i="1"/>
  <c r="H65" i="1"/>
  <c r="H53" i="1"/>
  <c r="H41" i="1"/>
  <c r="H29" i="1"/>
  <c r="H17" i="1"/>
  <c r="G5" i="1"/>
  <c r="H378" i="1"/>
  <c r="H413" i="1"/>
  <c r="H389" i="1"/>
  <c r="H365" i="1"/>
  <c r="H341" i="1"/>
  <c r="H305" i="1"/>
  <c r="H281" i="1"/>
  <c r="H221" i="1"/>
  <c r="G8" i="1"/>
  <c r="H390" i="1"/>
  <c r="H399" i="1"/>
  <c r="H375" i="1"/>
  <c r="H351" i="1"/>
  <c r="H327" i="1"/>
  <c r="H303" i="1"/>
  <c r="H279" i="1"/>
  <c r="H267" i="1"/>
  <c r="H255" i="1"/>
  <c r="H243" i="1"/>
  <c r="H231" i="1"/>
  <c r="H207" i="1"/>
  <c r="H195" i="1"/>
  <c r="H183" i="1"/>
  <c r="H171" i="1"/>
  <c r="H159" i="1"/>
  <c r="H147" i="1"/>
  <c r="H135" i="1"/>
  <c r="H123" i="1"/>
  <c r="H111" i="1"/>
  <c r="H99" i="1"/>
  <c r="H87" i="1"/>
  <c r="H75" i="1"/>
  <c r="H63" i="1"/>
  <c r="H51" i="1"/>
  <c r="H39" i="1"/>
  <c r="H27" i="1"/>
  <c r="H15" i="1"/>
  <c r="H362" i="1"/>
  <c r="H296" i="1"/>
  <c r="H403" i="1"/>
  <c r="H366" i="1"/>
  <c r="H411" i="1"/>
  <c r="H387" i="1"/>
  <c r="H363" i="1"/>
  <c r="H339" i="1"/>
  <c r="H315" i="1"/>
  <c r="H291" i="1"/>
  <c r="H219" i="1"/>
  <c r="H344" i="1"/>
  <c r="H409" i="1"/>
  <c r="H397" i="1"/>
  <c r="H385" i="1"/>
  <c r="H373" i="1"/>
  <c r="H361" i="1"/>
  <c r="H349" i="1"/>
  <c r="H337" i="1"/>
  <c r="H325" i="1"/>
  <c r="H313" i="1"/>
  <c r="H301" i="1"/>
  <c r="H289" i="1"/>
  <c r="H277" i="1"/>
  <c r="H265" i="1"/>
  <c r="H253" i="1"/>
  <c r="H241" i="1"/>
  <c r="H229" i="1"/>
  <c r="H217" i="1"/>
  <c r="H205" i="1"/>
  <c r="H193" i="1"/>
  <c r="H181" i="1"/>
  <c r="H169" i="1"/>
  <c r="H157" i="1"/>
  <c r="H145" i="1"/>
  <c r="H133" i="1"/>
  <c r="H121" i="1"/>
  <c r="H109" i="1"/>
  <c r="H97" i="1"/>
  <c r="H85" i="1"/>
  <c r="H73" i="1"/>
  <c r="H61" i="1"/>
  <c r="H49" i="1"/>
  <c r="H37" i="1"/>
  <c r="H25" i="1"/>
  <c r="H13" i="1"/>
  <c r="H50" i="1"/>
  <c r="H392" i="1"/>
  <c r="H408" i="1"/>
  <c r="H396" i="1"/>
  <c r="H384" i="1"/>
  <c r="H372" i="1"/>
  <c r="H360" i="1"/>
  <c r="H348" i="1"/>
  <c r="H336" i="1"/>
  <c r="H324" i="1"/>
  <c r="H312" i="1"/>
  <c r="H300" i="1"/>
  <c r="H288" i="1"/>
  <c r="H276" i="1"/>
  <c r="H264" i="1"/>
  <c r="H252" i="1"/>
  <c r="H240" i="1"/>
  <c r="H228" i="1"/>
  <c r="H216" i="1"/>
  <c r="H204" i="1"/>
  <c r="H192" i="1"/>
  <c r="H180" i="1"/>
  <c r="H168" i="1"/>
  <c r="H156" i="1"/>
  <c r="H144" i="1"/>
  <c r="H132" i="1"/>
  <c r="H120" i="1"/>
  <c r="H108" i="1"/>
  <c r="H96" i="1"/>
  <c r="H84" i="1"/>
  <c r="H72" i="1"/>
  <c r="H60" i="1"/>
  <c r="H48" i="1"/>
  <c r="H36" i="1"/>
  <c r="H24" i="1"/>
  <c r="G4" i="1"/>
  <c r="H407" i="1"/>
  <c r="H395" i="1"/>
  <c r="H383" i="1"/>
  <c r="H371" i="1"/>
  <c r="H359" i="1"/>
  <c r="H347" i="1"/>
  <c r="H335" i="1"/>
  <c r="H323" i="1"/>
  <c r="H311" i="1"/>
  <c r="H299" i="1"/>
  <c r="H287" i="1"/>
  <c r="H275" i="1"/>
  <c r="H263" i="1"/>
  <c r="H251" i="1"/>
  <c r="H239" i="1"/>
  <c r="H227" i="1"/>
  <c r="H215" i="1"/>
  <c r="H203" i="1"/>
  <c r="H191" i="1"/>
  <c r="H179" i="1"/>
  <c r="H167" i="1"/>
  <c r="H155" i="1"/>
  <c r="H143" i="1"/>
  <c r="H131" i="1"/>
  <c r="H119" i="1"/>
  <c r="H107" i="1"/>
  <c r="H95" i="1"/>
  <c r="H83" i="1"/>
  <c r="H71" i="1"/>
  <c r="H59" i="1"/>
  <c r="H47" i="1"/>
  <c r="H35" i="1"/>
  <c r="H23" i="1"/>
  <c r="H412" i="1"/>
  <c r="H400" i="1"/>
  <c r="H388" i="1"/>
  <c r="H376" i="1"/>
  <c r="H364" i="1"/>
  <c r="H352" i="1"/>
  <c r="H340" i="1"/>
  <c r="H328" i="1"/>
  <c r="H316" i="1"/>
  <c r="H304" i="1"/>
  <c r="H292" i="1"/>
  <c r="H280" i="1"/>
  <c r="H268" i="1"/>
  <c r="H256" i="1"/>
  <c r="H244" i="1"/>
  <c r="H232" i="1"/>
  <c r="H220" i="1"/>
  <c r="H208" i="1"/>
  <c r="H196" i="1"/>
  <c r="H184" i="1"/>
  <c r="H172" i="1"/>
  <c r="H160" i="1"/>
  <c r="H148" i="1"/>
  <c r="H136" i="1"/>
  <c r="H124" i="1"/>
  <c r="H112" i="1"/>
  <c r="H100" i="1"/>
  <c r="H88" i="1"/>
  <c r="H76" i="1"/>
  <c r="H64" i="1"/>
  <c r="H52" i="1"/>
  <c r="H40" i="1"/>
  <c r="H28" i="1"/>
  <c r="H16" i="1"/>
  <c r="H386" i="1"/>
  <c r="H314" i="1"/>
  <c r="H170" i="1"/>
  <c r="H14" i="1"/>
  <c r="H374" i="1"/>
  <c r="H326" i="1"/>
  <c r="H266" i="1"/>
  <c r="H242" i="1"/>
  <c r="H158" i="1"/>
  <c r="H122" i="1"/>
  <c r="H86" i="1"/>
  <c r="H62" i="1"/>
  <c r="H26" i="1"/>
  <c r="H410" i="1"/>
  <c r="H338" i="1"/>
  <c r="H278" i="1"/>
  <c r="H218" i="1"/>
  <c r="H146" i="1"/>
  <c r="H98" i="1"/>
  <c r="H38" i="1"/>
  <c r="H4" i="1"/>
  <c r="H398" i="1"/>
  <c r="H350" i="1"/>
  <c r="H302" i="1"/>
  <c r="H254" i="1"/>
  <c r="H182" i="1"/>
  <c r="H134" i="1"/>
  <c r="H110" i="1"/>
  <c r="H74" i="1"/>
  <c r="H290" i="1"/>
  <c r="G404" i="1"/>
  <c r="G356" i="1"/>
  <c r="G332" i="1"/>
  <c r="G320" i="1"/>
  <c r="G308" i="1"/>
  <c r="G248" i="1"/>
  <c r="G236" i="1"/>
  <c r="G224" i="1"/>
  <c r="G212" i="1"/>
  <c r="G200" i="1"/>
  <c r="G188" i="1"/>
  <c r="G176" i="1"/>
  <c r="G164" i="1"/>
  <c r="G152" i="1"/>
  <c r="G140" i="1"/>
  <c r="G128" i="1"/>
  <c r="G116" i="1"/>
  <c r="G104" i="1"/>
  <c r="G92" i="1"/>
  <c r="G80" i="1"/>
  <c r="G68" i="1"/>
  <c r="G56" i="1"/>
  <c r="G44" i="1"/>
  <c r="G32" i="1"/>
  <c r="G20" i="1"/>
  <c r="H206" i="1"/>
  <c r="G368" i="1"/>
  <c r="G272" i="1"/>
  <c r="H404" i="1"/>
  <c r="H368" i="1"/>
  <c r="H356" i="1"/>
  <c r="H332" i="1"/>
  <c r="H320" i="1"/>
  <c r="H308" i="1"/>
  <c r="H272" i="1"/>
  <c r="H248" i="1"/>
  <c r="H236" i="1"/>
  <c r="H224" i="1"/>
  <c r="H212" i="1"/>
  <c r="H200" i="1"/>
  <c r="H188" i="1"/>
  <c r="H176" i="1"/>
  <c r="H164" i="1"/>
  <c r="H152" i="1"/>
  <c r="H140" i="1"/>
  <c r="H128" i="1"/>
  <c r="H116" i="1"/>
  <c r="H104" i="1"/>
  <c r="H92" i="1"/>
  <c r="H80" i="1"/>
  <c r="H68" i="1"/>
  <c r="H56" i="1"/>
  <c r="H44" i="1"/>
  <c r="H32" i="1"/>
  <c r="H20" i="1"/>
  <c r="H8" i="1"/>
  <c r="H194" i="1"/>
  <c r="G380" i="1"/>
  <c r="G260" i="1"/>
  <c r="H230" i="1"/>
  <c r="G392" i="1"/>
  <c r="G344" i="1"/>
  <c r="G284" i="1"/>
  <c r="G416" i="1"/>
  <c r="G296" i="1"/>
  <c r="H5" i="1"/>
  <c r="G367" i="1"/>
  <c r="G187" i="1"/>
  <c r="G418" i="1"/>
  <c r="G406" i="1"/>
  <c r="G394" i="1"/>
  <c r="G382" i="1"/>
  <c r="G370" i="1"/>
  <c r="G358" i="1"/>
  <c r="G346" i="1"/>
  <c r="G334" i="1"/>
  <c r="G322" i="1"/>
  <c r="G310" i="1"/>
  <c r="G298" i="1"/>
  <c r="G286" i="1"/>
  <c r="G274" i="1"/>
  <c r="G262" i="1"/>
  <c r="G250" i="1"/>
  <c r="G238" i="1"/>
  <c r="G226" i="1"/>
  <c r="G214" i="1"/>
  <c r="G202" i="1"/>
  <c r="G190" i="1"/>
  <c r="G178" i="1"/>
  <c r="G166" i="1"/>
  <c r="G154" i="1"/>
  <c r="G142" i="1"/>
  <c r="G130" i="1"/>
  <c r="G118" i="1"/>
  <c r="G106" i="1"/>
  <c r="G94" i="1"/>
  <c r="G82" i="1"/>
  <c r="G70" i="1"/>
  <c r="G58" i="1"/>
  <c r="G46" i="1"/>
  <c r="G34" i="1"/>
  <c r="G22" i="1"/>
  <c r="G10" i="1"/>
  <c r="G136" i="1"/>
  <c r="G417" i="1"/>
  <c r="G405" i="1"/>
  <c r="G393" i="1"/>
  <c r="G381" i="1"/>
  <c r="G369" i="1"/>
  <c r="G357" i="1"/>
  <c r="G345" i="1"/>
  <c r="G333" i="1"/>
  <c r="G321" i="1"/>
  <c r="G309" i="1"/>
  <c r="G297" i="1"/>
  <c r="G285" i="1"/>
  <c r="G273" i="1"/>
  <c r="G261" i="1"/>
  <c r="G249" i="1"/>
  <c r="G237" i="1"/>
  <c r="G225" i="1"/>
  <c r="G213" i="1"/>
  <c r="G201" i="1"/>
  <c r="G189" i="1"/>
  <c r="G177" i="1"/>
  <c r="G165" i="1"/>
  <c r="G153" i="1"/>
  <c r="G141" i="1"/>
  <c r="G129" i="1"/>
  <c r="G117" i="1"/>
  <c r="G105" i="1"/>
  <c r="G93" i="1"/>
  <c r="G81" i="1"/>
  <c r="G69" i="1"/>
  <c r="G57" i="1"/>
  <c r="G45" i="1"/>
  <c r="G33" i="1"/>
  <c r="G21" i="1"/>
  <c r="G9" i="1"/>
  <c r="G403" i="1"/>
  <c r="G283" i="1"/>
  <c r="G235" i="1"/>
  <c r="G127" i="1"/>
  <c r="G67" i="1"/>
  <c r="G7" i="1"/>
  <c r="G343" i="1"/>
  <c r="G271" i="1"/>
  <c r="G247" i="1"/>
  <c r="G139" i="1"/>
  <c r="G103" i="1"/>
  <c r="G79" i="1"/>
  <c r="G43" i="1"/>
  <c r="G19" i="1"/>
  <c r="G414" i="1"/>
  <c r="G402" i="1"/>
  <c r="G390" i="1"/>
  <c r="G378" i="1"/>
  <c r="G366" i="1"/>
  <c r="G354" i="1"/>
  <c r="G342" i="1"/>
  <c r="G330" i="1"/>
  <c r="G318" i="1"/>
  <c r="G306" i="1"/>
  <c r="G294" i="1"/>
  <c r="G282" i="1"/>
  <c r="G270" i="1"/>
  <c r="G258" i="1"/>
  <c r="G246" i="1"/>
  <c r="G234" i="1"/>
  <c r="G222" i="1"/>
  <c r="G210" i="1"/>
  <c r="G198" i="1"/>
  <c r="G186" i="1"/>
  <c r="G174" i="1"/>
  <c r="G162" i="1"/>
  <c r="G150" i="1"/>
  <c r="G138" i="1"/>
  <c r="G126" i="1"/>
  <c r="G114" i="1"/>
  <c r="G102" i="1"/>
  <c r="G90" i="1"/>
  <c r="G78" i="1"/>
  <c r="G66" i="1"/>
  <c r="G54" i="1"/>
  <c r="G42" i="1"/>
  <c r="G30" i="1"/>
  <c r="G18" i="1"/>
  <c r="G6" i="1"/>
  <c r="G415" i="1"/>
  <c r="G331" i="1"/>
  <c r="G259" i="1"/>
  <c r="G151" i="1"/>
  <c r="G115" i="1"/>
  <c r="G91" i="1"/>
  <c r="G55" i="1"/>
  <c r="G31" i="1"/>
  <c r="G413" i="1"/>
  <c r="G401" i="1"/>
  <c r="G389" i="1"/>
  <c r="G377" i="1"/>
  <c r="G365" i="1"/>
  <c r="G353" i="1"/>
  <c r="G341" i="1"/>
  <c r="G329" i="1"/>
  <c r="G317" i="1"/>
  <c r="G305" i="1"/>
  <c r="G293" i="1"/>
  <c r="G281" i="1"/>
  <c r="G269" i="1"/>
  <c r="G257" i="1"/>
  <c r="G245" i="1"/>
  <c r="G233" i="1"/>
  <c r="G221" i="1"/>
  <c r="G209" i="1"/>
  <c r="G197" i="1"/>
  <c r="G185" i="1"/>
  <c r="G173" i="1"/>
  <c r="G161" i="1"/>
  <c r="G149" i="1"/>
  <c r="G137" i="1"/>
  <c r="G125" i="1"/>
  <c r="G113" i="1"/>
  <c r="G101" i="1"/>
  <c r="G89" i="1"/>
  <c r="G77" i="1"/>
  <c r="G65" i="1"/>
  <c r="G53" i="1"/>
  <c r="G41" i="1"/>
  <c r="G29" i="1"/>
  <c r="G17" i="1"/>
  <c r="G295" i="1"/>
  <c r="G355" i="1"/>
  <c r="G199" i="1"/>
  <c r="G411" i="1"/>
  <c r="G399" i="1"/>
  <c r="G387" i="1"/>
  <c r="G375" i="1"/>
  <c r="G363" i="1"/>
  <c r="G351" i="1"/>
  <c r="G339" i="1"/>
  <c r="G327" i="1"/>
  <c r="G315" i="1"/>
  <c r="G303" i="1"/>
  <c r="G291" i="1"/>
  <c r="G279" i="1"/>
  <c r="G267" i="1"/>
  <c r="G255" i="1"/>
  <c r="G243" i="1"/>
  <c r="G231" i="1"/>
  <c r="G219" i="1"/>
  <c r="G207" i="1"/>
  <c r="G195" i="1"/>
  <c r="G183" i="1"/>
  <c r="G171" i="1"/>
  <c r="G159" i="1"/>
  <c r="G147" i="1"/>
  <c r="G135" i="1"/>
  <c r="G123" i="1"/>
  <c r="G111" i="1"/>
  <c r="G99" i="1"/>
  <c r="G87" i="1"/>
  <c r="G75" i="1"/>
  <c r="G63" i="1"/>
  <c r="G51" i="1"/>
  <c r="G39" i="1"/>
  <c r="G27" i="1"/>
  <c r="G15" i="1"/>
  <c r="G319" i="1"/>
  <c r="G175" i="1"/>
  <c r="G410" i="1"/>
  <c r="G398" i="1"/>
  <c r="G386" i="1"/>
  <c r="G374" i="1"/>
  <c r="G362" i="1"/>
  <c r="G350" i="1"/>
  <c r="G338" i="1"/>
  <c r="G326" i="1"/>
  <c r="G314" i="1"/>
  <c r="G302" i="1"/>
  <c r="G290" i="1"/>
  <c r="G278" i="1"/>
  <c r="G266" i="1"/>
  <c r="G254" i="1"/>
  <c r="G242" i="1"/>
  <c r="G230" i="1"/>
  <c r="G218" i="1"/>
  <c r="G206" i="1"/>
  <c r="G194" i="1"/>
  <c r="G182" i="1"/>
  <c r="G170" i="1"/>
  <c r="G158" i="1"/>
  <c r="G146" i="1"/>
  <c r="G134" i="1"/>
  <c r="G122" i="1"/>
  <c r="G110" i="1"/>
  <c r="G98" i="1"/>
  <c r="G86" i="1"/>
  <c r="G74" i="1"/>
  <c r="G62" i="1"/>
  <c r="G50" i="1"/>
  <c r="G38" i="1"/>
  <c r="G26" i="1"/>
  <c r="G14" i="1"/>
  <c r="G379" i="1"/>
  <c r="G223" i="1"/>
  <c r="G409" i="1"/>
  <c r="G397" i="1"/>
  <c r="G385" i="1"/>
  <c r="G373" i="1"/>
  <c r="G361" i="1"/>
  <c r="G349" i="1"/>
  <c r="G337" i="1"/>
  <c r="G325" i="1"/>
  <c r="G313" i="1"/>
  <c r="G301" i="1"/>
  <c r="G289" i="1"/>
  <c r="G277" i="1"/>
  <c r="G265" i="1"/>
  <c r="G253" i="1"/>
  <c r="G241" i="1"/>
  <c r="G229" i="1"/>
  <c r="G217" i="1"/>
  <c r="G205" i="1"/>
  <c r="G193" i="1"/>
  <c r="G181" i="1"/>
  <c r="G169" i="1"/>
  <c r="G157" i="1"/>
  <c r="G145" i="1"/>
  <c r="G133" i="1"/>
  <c r="G121" i="1"/>
  <c r="G109" i="1"/>
  <c r="G97" i="1"/>
  <c r="G85" i="1"/>
  <c r="G73" i="1"/>
  <c r="G61" i="1"/>
  <c r="G49" i="1"/>
  <c r="G37" i="1"/>
  <c r="G25" i="1"/>
  <c r="G13" i="1"/>
  <c r="G391" i="1"/>
  <c r="G211" i="1"/>
  <c r="G408" i="1"/>
  <c r="G396" i="1"/>
  <c r="G384" i="1"/>
  <c r="G372" i="1"/>
  <c r="G360" i="1"/>
  <c r="G348" i="1"/>
  <c r="G336" i="1"/>
  <c r="G324" i="1"/>
  <c r="G312" i="1"/>
  <c r="G300" i="1"/>
  <c r="G288" i="1"/>
  <c r="G276" i="1"/>
  <c r="G264" i="1"/>
  <c r="G252" i="1"/>
  <c r="G240" i="1"/>
  <c r="G228" i="1"/>
  <c r="G216" i="1"/>
  <c r="G204" i="1"/>
  <c r="G192" i="1"/>
  <c r="G180" i="1"/>
  <c r="G168" i="1"/>
  <c r="G156" i="1"/>
  <c r="G144" i="1"/>
  <c r="G132" i="1"/>
  <c r="G120" i="1"/>
  <c r="G108" i="1"/>
  <c r="G96" i="1"/>
  <c r="G84" i="1"/>
  <c r="G72" i="1"/>
  <c r="G60" i="1"/>
  <c r="G48" i="1"/>
  <c r="G36" i="1"/>
  <c r="G24" i="1"/>
  <c r="G12" i="1"/>
  <c r="G307" i="1"/>
  <c r="G163" i="1"/>
  <c r="G407" i="1"/>
  <c r="G395" i="1"/>
  <c r="G383" i="1"/>
  <c r="G371" i="1"/>
  <c r="G359" i="1"/>
  <c r="G347" i="1"/>
  <c r="G335" i="1"/>
  <c r="G323" i="1"/>
  <c r="G311" i="1"/>
  <c r="G299" i="1"/>
  <c r="G287" i="1"/>
  <c r="G275" i="1"/>
  <c r="G263" i="1"/>
  <c r="G251" i="1"/>
  <c r="G239" i="1"/>
  <c r="G227" i="1"/>
  <c r="G215" i="1"/>
  <c r="G203" i="1"/>
  <c r="G191" i="1"/>
  <c r="G179" i="1"/>
  <c r="G167" i="1"/>
  <c r="G155" i="1"/>
  <c r="G143" i="1"/>
  <c r="G131" i="1"/>
  <c r="G119" i="1"/>
  <c r="G107" i="1"/>
  <c r="G95" i="1"/>
  <c r="G83" i="1"/>
  <c r="G71" i="1"/>
  <c r="G59" i="1"/>
  <c r="G47" i="1"/>
  <c r="G35" i="1"/>
  <c r="G23" i="1"/>
  <c r="G11" i="1"/>
  <c r="G316" i="1"/>
  <c r="G148" i="1"/>
  <c r="G16" i="1"/>
  <c r="G340" i="1"/>
  <c r="G232" i="1"/>
  <c r="G28" i="1"/>
  <c r="G364" i="1"/>
  <c r="G220" i="1"/>
  <c r="G40" i="1"/>
  <c r="G352" i="1"/>
  <c r="G208" i="1"/>
  <c r="G64" i="1"/>
  <c r="G268" i="1"/>
  <c r="G76" i="1"/>
  <c r="G400" i="1"/>
  <c r="G280" i="1"/>
  <c r="G172" i="1"/>
  <c r="G88" i="1"/>
  <c r="G304" i="1"/>
  <c r="G184" i="1"/>
  <c r="G52" i="1"/>
  <c r="G388" i="1"/>
  <c r="G244" i="1"/>
  <c r="G100" i="1"/>
  <c r="G376" i="1"/>
  <c r="G256" i="1"/>
  <c r="G112" i="1"/>
  <c r="G412" i="1"/>
  <c r="G292" i="1"/>
  <c r="G160" i="1"/>
  <c r="G124" i="1"/>
  <c r="G328" i="1"/>
  <c r="G196" i="1"/>
  <c r="F400" i="1"/>
  <c r="I400" i="1" s="1"/>
  <c r="F388" i="1"/>
  <c r="D9" i="1"/>
  <c r="F290" i="1"/>
  <c r="I290" i="1" s="1"/>
  <c r="F266" i="1"/>
  <c r="F146" i="1"/>
  <c r="F122" i="1"/>
  <c r="F399" i="1"/>
  <c r="F267" i="1"/>
  <c r="F63" i="1"/>
  <c r="F363" i="1"/>
  <c r="F243" i="1"/>
  <c r="F171" i="1"/>
  <c r="I171" i="1" s="1"/>
  <c r="F51" i="1"/>
  <c r="F409" i="1"/>
  <c r="F397" i="1"/>
  <c r="I397" i="1" s="1"/>
  <c r="F385" i="1"/>
  <c r="F373" i="1"/>
  <c r="F361" i="1"/>
  <c r="F349" i="1"/>
  <c r="F337" i="1"/>
  <c r="F325" i="1"/>
  <c r="F313" i="1"/>
  <c r="F301" i="1"/>
  <c r="F289" i="1"/>
  <c r="F277" i="1"/>
  <c r="F265" i="1"/>
  <c r="F253" i="1"/>
  <c r="I253" i="1" s="1"/>
  <c r="F241" i="1"/>
  <c r="F229" i="1"/>
  <c r="F217" i="1"/>
  <c r="F205" i="1"/>
  <c r="F193" i="1"/>
  <c r="F181" i="1"/>
  <c r="F169" i="1"/>
  <c r="F157" i="1"/>
  <c r="F145" i="1"/>
  <c r="F133" i="1"/>
  <c r="F121" i="1"/>
  <c r="F109" i="1"/>
  <c r="I109" i="1" s="1"/>
  <c r="F97" i="1"/>
  <c r="F85" i="1"/>
  <c r="F73" i="1"/>
  <c r="F61" i="1"/>
  <c r="F49" i="1"/>
  <c r="F37" i="1"/>
  <c r="F25" i="1"/>
  <c r="F386" i="1"/>
  <c r="F254" i="1"/>
  <c r="I254" i="1" s="1"/>
  <c r="F278" i="1"/>
  <c r="F74" i="1"/>
  <c r="F327" i="1"/>
  <c r="F195" i="1"/>
  <c r="F99" i="1"/>
  <c r="F110" i="1"/>
  <c r="I110" i="1" s="1"/>
  <c r="F408" i="1"/>
  <c r="F396" i="1"/>
  <c r="F384" i="1"/>
  <c r="F372" i="1"/>
  <c r="F360" i="1"/>
  <c r="F348" i="1"/>
  <c r="F336" i="1"/>
  <c r="F324" i="1"/>
  <c r="F312" i="1"/>
  <c r="F300" i="1"/>
  <c r="F288" i="1"/>
  <c r="F276" i="1"/>
  <c r="F264" i="1"/>
  <c r="F252" i="1"/>
  <c r="F240" i="1"/>
  <c r="D6" i="1"/>
  <c r="F339" i="1"/>
  <c r="I339" i="1" s="1"/>
  <c r="F219" i="1"/>
  <c r="I219" i="1" s="1"/>
  <c r="F147" i="1"/>
  <c r="F39" i="1"/>
  <c r="F407" i="1"/>
  <c r="I407" i="1" s="1"/>
  <c r="F395" i="1"/>
  <c r="F383" i="1"/>
  <c r="F371" i="1"/>
  <c r="F359" i="1"/>
  <c r="F347" i="1"/>
  <c r="F335" i="1"/>
  <c r="F323" i="1"/>
  <c r="F311" i="1"/>
  <c r="F299" i="1"/>
  <c r="I299" i="1" s="1"/>
  <c r="F287" i="1"/>
  <c r="F275" i="1"/>
  <c r="F263" i="1"/>
  <c r="I263" i="1" s="1"/>
  <c r="F251" i="1"/>
  <c r="F239" i="1"/>
  <c r="F303" i="1"/>
  <c r="F207" i="1"/>
  <c r="F87" i="1"/>
  <c r="I87" i="1" s="1"/>
  <c r="F418" i="1"/>
  <c r="I418" i="1" s="1"/>
  <c r="F406" i="1"/>
  <c r="I406" i="1" s="1"/>
  <c r="F394" i="1"/>
  <c r="F382" i="1"/>
  <c r="I382" i="1" s="1"/>
  <c r="F370" i="1"/>
  <c r="I370" i="1" s="1"/>
  <c r="F358" i="1"/>
  <c r="I358" i="1" s="1"/>
  <c r="F346" i="1"/>
  <c r="I346" i="1" s="1"/>
  <c r="F334" i="1"/>
  <c r="I334" i="1" s="1"/>
  <c r="F322" i="1"/>
  <c r="I322" i="1" s="1"/>
  <c r="F310" i="1"/>
  <c r="I310" i="1" s="1"/>
  <c r="F298" i="1"/>
  <c r="I298" i="1" s="1"/>
  <c r="F286" i="1"/>
  <c r="F274" i="1"/>
  <c r="I274" i="1" s="1"/>
  <c r="F262" i="1"/>
  <c r="I262" i="1" s="1"/>
  <c r="F250" i="1"/>
  <c r="F238" i="1"/>
  <c r="I238" i="1" s="1"/>
  <c r="F226" i="1"/>
  <c r="I226" i="1" s="1"/>
  <c r="F214" i="1"/>
  <c r="I214" i="1" s="1"/>
  <c r="F375" i="1"/>
  <c r="I375" i="1" s="1"/>
  <c r="F279" i="1"/>
  <c r="I279" i="1" s="1"/>
  <c r="F135" i="1"/>
  <c r="F398" i="1"/>
  <c r="I398" i="1" s="1"/>
  <c r="F417" i="1"/>
  <c r="I417" i="1" s="1"/>
  <c r="F405" i="1"/>
  <c r="I405" i="1" s="1"/>
  <c r="F393" i="1"/>
  <c r="F381" i="1"/>
  <c r="I381" i="1" s="1"/>
  <c r="F369" i="1"/>
  <c r="I369" i="1" s="1"/>
  <c r="F357" i="1"/>
  <c r="I357" i="1" s="1"/>
  <c r="F345" i="1"/>
  <c r="I345" i="1" s="1"/>
  <c r="F333" i="1"/>
  <c r="I333" i="1" s="1"/>
  <c r="F321" i="1"/>
  <c r="I321" i="1" s="1"/>
  <c r="F309" i="1"/>
  <c r="I309" i="1" s="1"/>
  <c r="F297" i="1"/>
  <c r="I297" i="1" s="1"/>
  <c r="F285" i="1"/>
  <c r="F273" i="1"/>
  <c r="I273" i="1" s="1"/>
  <c r="F261" i="1"/>
  <c r="I261" i="1" s="1"/>
  <c r="F249" i="1"/>
  <c r="F237" i="1"/>
  <c r="I237" i="1" s="1"/>
  <c r="F387" i="1"/>
  <c r="F255" i="1"/>
  <c r="I255" i="1" s="1"/>
  <c r="F111" i="1"/>
  <c r="F416" i="1"/>
  <c r="I416" i="1" s="1"/>
  <c r="F404" i="1"/>
  <c r="I404" i="1" s="1"/>
  <c r="F392" i="1"/>
  <c r="I392" i="1" s="1"/>
  <c r="F380" i="1"/>
  <c r="I380" i="1" s="1"/>
  <c r="F368" i="1"/>
  <c r="I368" i="1" s="1"/>
  <c r="F356" i="1"/>
  <c r="I356" i="1" s="1"/>
  <c r="F344" i="1"/>
  <c r="I344" i="1" s="1"/>
  <c r="F332" i="1"/>
  <c r="I332" i="1" s="1"/>
  <c r="F320" i="1"/>
  <c r="F308" i="1"/>
  <c r="I308" i="1" s="1"/>
  <c r="F296" i="1"/>
  <c r="I296" i="1" s="1"/>
  <c r="F284" i="1"/>
  <c r="I284" i="1" s="1"/>
  <c r="F272" i="1"/>
  <c r="I272" i="1" s="1"/>
  <c r="F260" i="1"/>
  <c r="F248" i="1"/>
  <c r="I248" i="1" s="1"/>
  <c r="F236" i="1"/>
  <c r="I236" i="1" s="1"/>
  <c r="F224" i="1"/>
  <c r="F212" i="1"/>
  <c r="I212" i="1" s="1"/>
  <c r="F200" i="1"/>
  <c r="I200" i="1" s="1"/>
  <c r="F188" i="1"/>
  <c r="F176" i="1"/>
  <c r="I176" i="1" s="1"/>
  <c r="F164" i="1"/>
  <c r="I164" i="1" s="1"/>
  <c r="F152" i="1"/>
  <c r="I152" i="1" s="1"/>
  <c r="F140" i="1"/>
  <c r="I140" i="1" s="1"/>
  <c r="F128" i="1"/>
  <c r="I128" i="1" s="1"/>
  <c r="F116" i="1"/>
  <c r="I116" i="1" s="1"/>
  <c r="F104" i="1"/>
  <c r="I104" i="1" s="1"/>
  <c r="F92" i="1"/>
  <c r="I92" i="1" s="1"/>
  <c r="F80" i="1"/>
  <c r="F68" i="1"/>
  <c r="I68" i="1" s="1"/>
  <c r="F56" i="1"/>
  <c r="I56" i="1" s="1"/>
  <c r="F44" i="1"/>
  <c r="F32" i="1"/>
  <c r="I32" i="1" s="1"/>
  <c r="F20" i="1"/>
  <c r="I20" i="1" s="1"/>
  <c r="F8" i="1"/>
  <c r="I8" i="1" s="1"/>
  <c r="F351" i="1"/>
  <c r="F231" i="1"/>
  <c r="F159" i="1"/>
  <c r="F27" i="1"/>
  <c r="F415" i="1"/>
  <c r="I415" i="1" s="1"/>
  <c r="F403" i="1"/>
  <c r="F391" i="1"/>
  <c r="F379" i="1"/>
  <c r="F367" i="1"/>
  <c r="I367" i="1" s="1"/>
  <c r="F355" i="1"/>
  <c r="F343" i="1"/>
  <c r="I343" i="1" s="1"/>
  <c r="F331" i="1"/>
  <c r="I331" i="1" s="1"/>
  <c r="F319" i="1"/>
  <c r="F307" i="1"/>
  <c r="F295" i="1"/>
  <c r="I295" i="1" s="1"/>
  <c r="F283" i="1"/>
  <c r="I283" i="1" s="1"/>
  <c r="F271" i="1"/>
  <c r="I271" i="1" s="1"/>
  <c r="F259" i="1"/>
  <c r="F247" i="1"/>
  <c r="I247" i="1" s="1"/>
  <c r="F235" i="1"/>
  <c r="I235" i="1" s="1"/>
  <c r="F223" i="1"/>
  <c r="I223" i="1" s="1"/>
  <c r="F211" i="1"/>
  <c r="F199" i="1"/>
  <c r="I199" i="1" s="1"/>
  <c r="F187" i="1"/>
  <c r="I187" i="1" s="1"/>
  <c r="F175" i="1"/>
  <c r="I175" i="1" s="1"/>
  <c r="F163" i="1"/>
  <c r="I163" i="1" s="1"/>
  <c r="F151" i="1"/>
  <c r="I151" i="1" s="1"/>
  <c r="F139" i="1"/>
  <c r="I139" i="1" s="1"/>
  <c r="F127" i="1"/>
  <c r="F115" i="1"/>
  <c r="I115" i="1" s="1"/>
  <c r="F43" i="1"/>
  <c r="I43" i="1" s="1"/>
  <c r="F31" i="1"/>
  <c r="I31" i="1" s="1"/>
  <c r="F19" i="1"/>
  <c r="I19" i="1" s="1"/>
  <c r="F7" i="1"/>
  <c r="I7" i="1" s="1"/>
  <c r="F411" i="1"/>
  <c r="I411" i="1" s="1"/>
  <c r="F291" i="1"/>
  <c r="I291" i="1" s="1"/>
  <c r="F123" i="1"/>
  <c r="I123" i="1" s="1"/>
  <c r="F15" i="1"/>
  <c r="I15" i="1" s="1"/>
  <c r="F414" i="1"/>
  <c r="I414" i="1" s="1"/>
  <c r="F402" i="1"/>
  <c r="F390" i="1"/>
  <c r="I390" i="1" s="1"/>
  <c r="F378" i="1"/>
  <c r="I378" i="1" s="1"/>
  <c r="F366" i="1"/>
  <c r="I366" i="1" s="1"/>
  <c r="F354" i="1"/>
  <c r="I354" i="1" s="1"/>
  <c r="F342" i="1"/>
  <c r="I342" i="1" s="1"/>
  <c r="F330" i="1"/>
  <c r="I330" i="1" s="1"/>
  <c r="F318" i="1"/>
  <c r="I318" i="1" s="1"/>
  <c r="F306" i="1"/>
  <c r="I306" i="1" s="1"/>
  <c r="F294" i="1"/>
  <c r="I294" i="1" s="1"/>
  <c r="F282" i="1"/>
  <c r="I282" i="1" s="1"/>
  <c r="F270" i="1"/>
  <c r="I270" i="1" s="1"/>
  <c r="F258" i="1"/>
  <c r="F246" i="1"/>
  <c r="I246" i="1" s="1"/>
  <c r="F234" i="1"/>
  <c r="I234" i="1" s="1"/>
  <c r="F222" i="1"/>
  <c r="I222" i="1" s="1"/>
  <c r="F210" i="1"/>
  <c r="I210" i="1" s="1"/>
  <c r="F198" i="1"/>
  <c r="I198" i="1" s="1"/>
  <c r="F186" i="1"/>
  <c r="I186" i="1" s="1"/>
  <c r="F174" i="1"/>
  <c r="I174" i="1" s="1"/>
  <c r="F162" i="1"/>
  <c r="I162" i="1" s="1"/>
  <c r="F150" i="1"/>
  <c r="I150" i="1" s="1"/>
  <c r="F138" i="1"/>
  <c r="I138" i="1" s="1"/>
  <c r="F126" i="1"/>
  <c r="I126" i="1" s="1"/>
  <c r="F114" i="1"/>
  <c r="F102" i="1"/>
  <c r="I102" i="1" s="1"/>
  <c r="F90" i="1"/>
  <c r="I90" i="1" s="1"/>
  <c r="F78" i="1"/>
  <c r="I78" i="1" s="1"/>
  <c r="F66" i="1"/>
  <c r="I66" i="1" s="1"/>
  <c r="F54" i="1"/>
  <c r="I54" i="1" s="1"/>
  <c r="F42" i="1"/>
  <c r="I42" i="1" s="1"/>
  <c r="F30" i="1"/>
  <c r="I30" i="1" s="1"/>
  <c r="F18" i="1"/>
  <c r="I18" i="1" s="1"/>
  <c r="F6" i="1"/>
  <c r="I6" i="1" s="1"/>
  <c r="F315" i="1"/>
  <c r="I315" i="1" s="1"/>
  <c r="F183" i="1"/>
  <c r="I183" i="1" s="1"/>
  <c r="F75" i="1"/>
  <c r="I75" i="1" s="1"/>
  <c r="F413" i="1"/>
  <c r="I413" i="1" s="1"/>
  <c r="F401" i="1"/>
  <c r="I401" i="1" s="1"/>
  <c r="F389" i="1"/>
  <c r="I389" i="1" s="1"/>
  <c r="F377" i="1"/>
  <c r="I377" i="1" s="1"/>
  <c r="F365" i="1"/>
  <c r="I365" i="1" s="1"/>
  <c r="F353" i="1"/>
  <c r="I353" i="1" s="1"/>
  <c r="F341" i="1"/>
  <c r="F329" i="1"/>
  <c r="I329" i="1" s="1"/>
  <c r="F317" i="1"/>
  <c r="I317" i="1" s="1"/>
  <c r="F305" i="1"/>
  <c r="I305" i="1" s="1"/>
  <c r="F293" i="1"/>
  <c r="I293" i="1" s="1"/>
  <c r="F281" i="1"/>
  <c r="I281" i="1" s="1"/>
  <c r="F269" i="1"/>
  <c r="I269" i="1" s="1"/>
  <c r="F257" i="1"/>
  <c r="I257" i="1" s="1"/>
  <c r="F245" i="1"/>
  <c r="I245" i="1" s="1"/>
  <c r="F233" i="1"/>
  <c r="I233" i="1" s="1"/>
  <c r="F221" i="1"/>
  <c r="I221" i="1" s="1"/>
  <c r="F209" i="1"/>
  <c r="I209" i="1" s="1"/>
  <c r="F197" i="1"/>
  <c r="F185" i="1"/>
  <c r="I185" i="1" s="1"/>
  <c r="F173" i="1"/>
  <c r="I173" i="1" s="1"/>
  <c r="F161" i="1"/>
  <c r="I161" i="1" s="1"/>
  <c r="F149" i="1"/>
  <c r="I149" i="1" s="1"/>
  <c r="F137" i="1"/>
  <c r="I137" i="1" s="1"/>
  <c r="F125" i="1"/>
  <c r="I125" i="1" s="1"/>
  <c r="F113" i="1"/>
  <c r="I113" i="1" s="1"/>
  <c r="F101" i="1"/>
  <c r="I101" i="1" s="1"/>
  <c r="F89" i="1"/>
  <c r="I89" i="1" s="1"/>
  <c r="F77" i="1"/>
  <c r="I77" i="1" s="1"/>
  <c r="F65" i="1"/>
  <c r="I65" i="1" s="1"/>
  <c r="F41" i="1"/>
  <c r="I41" i="1" s="1"/>
  <c r="F29" i="1"/>
  <c r="I29" i="1" s="1"/>
  <c r="F17" i="1"/>
  <c r="I17" i="1" s="1"/>
  <c r="F5" i="1"/>
  <c r="I5" i="1" s="1"/>
  <c r="F103" i="1"/>
  <c r="I103" i="1" s="1"/>
  <c r="F91" i="1"/>
  <c r="I91" i="1" s="1"/>
  <c r="F79" i="1"/>
  <c r="I79" i="1" s="1"/>
  <c r="F67" i="1"/>
  <c r="I67" i="1" s="1"/>
  <c r="F55" i="1"/>
  <c r="I55" i="1" s="1"/>
  <c r="F134" i="1"/>
  <c r="I134" i="1" s="1"/>
  <c r="F53" i="1"/>
  <c r="F376" i="1"/>
  <c r="F242" i="1"/>
  <c r="F98" i="1"/>
  <c r="I98" i="1" s="1"/>
  <c r="D237" i="1"/>
  <c r="D213" i="1"/>
  <c r="D189" i="1"/>
  <c r="D165" i="1"/>
  <c r="D141" i="1"/>
  <c r="D117" i="1"/>
  <c r="D105" i="1"/>
  <c r="D93" i="1"/>
  <c r="D81" i="1"/>
  <c r="D69" i="1"/>
  <c r="D45" i="1"/>
  <c r="D33" i="1"/>
  <c r="D21" i="1"/>
  <c r="F374" i="1"/>
  <c r="I374" i="1" s="1"/>
  <c r="F230" i="1"/>
  <c r="I230" i="1" s="1"/>
  <c r="F86" i="1"/>
  <c r="I86" i="1" s="1"/>
  <c r="D249" i="1"/>
  <c r="D225" i="1"/>
  <c r="D201" i="1"/>
  <c r="D177" i="1"/>
  <c r="D153" i="1"/>
  <c r="D129" i="1"/>
  <c r="D57" i="1"/>
  <c r="F362" i="1"/>
  <c r="I362" i="1" s="1"/>
  <c r="F218" i="1"/>
  <c r="I218" i="1" s="1"/>
  <c r="D290" i="1"/>
  <c r="F13" i="1"/>
  <c r="I13" i="1" s="1"/>
  <c r="D247" i="1"/>
  <c r="D235" i="1"/>
  <c r="D223" i="1"/>
  <c r="D211" i="1"/>
  <c r="D199" i="1"/>
  <c r="D187" i="1"/>
  <c r="D175" i="1"/>
  <c r="D163" i="1"/>
  <c r="D151" i="1"/>
  <c r="D139" i="1"/>
  <c r="D127" i="1"/>
  <c r="D115" i="1"/>
  <c r="D103" i="1"/>
  <c r="D91" i="1"/>
  <c r="D79" i="1"/>
  <c r="D67" i="1"/>
  <c r="D55" i="1"/>
  <c r="D43" i="1"/>
  <c r="D31" i="1"/>
  <c r="D19" i="1"/>
  <c r="D7" i="1"/>
  <c r="F112" i="1"/>
  <c r="I112" i="1" s="1"/>
  <c r="F124" i="1"/>
  <c r="I124" i="1" s="1"/>
  <c r="F136" i="1"/>
  <c r="I136" i="1" s="1"/>
  <c r="F148" i="1"/>
  <c r="I148" i="1" s="1"/>
  <c r="F160" i="1"/>
  <c r="I160" i="1" s="1"/>
  <c r="F172" i="1"/>
  <c r="I172" i="1" s="1"/>
  <c r="F184" i="1"/>
  <c r="F196" i="1"/>
  <c r="I196" i="1" s="1"/>
  <c r="F208" i="1"/>
  <c r="I208" i="1" s="1"/>
  <c r="F220" i="1"/>
  <c r="I220" i="1" s="1"/>
  <c r="F232" i="1"/>
  <c r="F244" i="1"/>
  <c r="I244" i="1" s="1"/>
  <c r="F256" i="1"/>
  <c r="I256" i="1" s="1"/>
  <c r="F268" i="1"/>
  <c r="F280" i="1"/>
  <c r="I280" i="1" s="1"/>
  <c r="F292" i="1"/>
  <c r="F304" i="1"/>
  <c r="I304" i="1" s="1"/>
  <c r="F316" i="1"/>
  <c r="I316" i="1" s="1"/>
  <c r="F328" i="1"/>
  <c r="F340" i="1"/>
  <c r="I340" i="1" s="1"/>
  <c r="F352" i="1"/>
  <c r="F364" i="1"/>
  <c r="I364" i="1" s="1"/>
  <c r="F350" i="1"/>
  <c r="F206" i="1"/>
  <c r="F62" i="1"/>
  <c r="F228" i="1"/>
  <c r="I228" i="1" s="1"/>
  <c r="F216" i="1"/>
  <c r="I216" i="1" s="1"/>
  <c r="F204" i="1"/>
  <c r="F192" i="1"/>
  <c r="I192" i="1" s="1"/>
  <c r="F180" i="1"/>
  <c r="I180" i="1" s="1"/>
  <c r="F168" i="1"/>
  <c r="I168" i="1" s="1"/>
  <c r="F156" i="1"/>
  <c r="I156" i="1" s="1"/>
  <c r="F144" i="1"/>
  <c r="I144" i="1" s="1"/>
  <c r="F132" i="1"/>
  <c r="I132" i="1" s="1"/>
  <c r="F120" i="1"/>
  <c r="I120" i="1" s="1"/>
  <c r="F108" i="1"/>
  <c r="I108" i="1" s="1"/>
  <c r="F96" i="1"/>
  <c r="I96" i="1" s="1"/>
  <c r="F84" i="1"/>
  <c r="I84" i="1" s="1"/>
  <c r="F72" i="1"/>
  <c r="I72" i="1" s="1"/>
  <c r="F60" i="1"/>
  <c r="F48" i="1"/>
  <c r="I48" i="1" s="1"/>
  <c r="F36" i="1"/>
  <c r="I36" i="1" s="1"/>
  <c r="F24" i="1"/>
  <c r="I24" i="1" s="1"/>
  <c r="F12" i="1"/>
  <c r="I12" i="1" s="1"/>
  <c r="F338" i="1"/>
  <c r="I338" i="1" s="1"/>
  <c r="F194" i="1"/>
  <c r="I194" i="1" s="1"/>
  <c r="F50" i="1"/>
  <c r="I50" i="1" s="1"/>
  <c r="F227" i="1"/>
  <c r="I227" i="1" s="1"/>
  <c r="F215" i="1"/>
  <c r="I215" i="1" s="1"/>
  <c r="F203" i="1"/>
  <c r="F191" i="1"/>
  <c r="I191" i="1" s="1"/>
  <c r="F179" i="1"/>
  <c r="F167" i="1"/>
  <c r="I167" i="1" s="1"/>
  <c r="F155" i="1"/>
  <c r="I155" i="1" s="1"/>
  <c r="F143" i="1"/>
  <c r="F131" i="1"/>
  <c r="I131" i="1" s="1"/>
  <c r="F119" i="1"/>
  <c r="I119" i="1" s="1"/>
  <c r="F107" i="1"/>
  <c r="I107" i="1" s="1"/>
  <c r="F95" i="1"/>
  <c r="F83" i="1"/>
  <c r="I83" i="1" s="1"/>
  <c r="F71" i="1"/>
  <c r="I71" i="1" s="1"/>
  <c r="F59" i="1"/>
  <c r="F47" i="1"/>
  <c r="I47" i="1" s="1"/>
  <c r="F35" i="1"/>
  <c r="F23" i="1"/>
  <c r="I23" i="1" s="1"/>
  <c r="F11" i="1"/>
  <c r="I11" i="1" s="1"/>
  <c r="F326" i="1"/>
  <c r="I326" i="1" s="1"/>
  <c r="F182" i="1"/>
  <c r="I182" i="1" s="1"/>
  <c r="F38" i="1"/>
  <c r="F202" i="1"/>
  <c r="I202" i="1" s="1"/>
  <c r="F190" i="1"/>
  <c r="I190" i="1" s="1"/>
  <c r="F178" i="1"/>
  <c r="I178" i="1" s="1"/>
  <c r="F166" i="1"/>
  <c r="I166" i="1" s="1"/>
  <c r="F154" i="1"/>
  <c r="I154" i="1" s="1"/>
  <c r="F142" i="1"/>
  <c r="I142" i="1" s="1"/>
  <c r="F130" i="1"/>
  <c r="I130" i="1" s="1"/>
  <c r="F118" i="1"/>
  <c r="I118" i="1" s="1"/>
  <c r="F106" i="1"/>
  <c r="F94" i="1"/>
  <c r="I94" i="1" s="1"/>
  <c r="F82" i="1"/>
  <c r="I82" i="1" s="1"/>
  <c r="F70" i="1"/>
  <c r="I70" i="1" s="1"/>
  <c r="F58" i="1"/>
  <c r="I58" i="1" s="1"/>
  <c r="F46" i="1"/>
  <c r="I46" i="1" s="1"/>
  <c r="F34" i="1"/>
  <c r="I34" i="1" s="1"/>
  <c r="F22" i="1"/>
  <c r="I22" i="1" s="1"/>
  <c r="F10" i="1"/>
  <c r="I10" i="1" s="1"/>
  <c r="F412" i="1"/>
  <c r="I412" i="1" s="1"/>
  <c r="F314" i="1"/>
  <c r="I314" i="1" s="1"/>
  <c r="F170" i="1"/>
  <c r="I170" i="1" s="1"/>
  <c r="F26" i="1"/>
  <c r="I26" i="1" s="1"/>
  <c r="F225" i="1"/>
  <c r="I225" i="1" s="1"/>
  <c r="F213" i="1"/>
  <c r="I213" i="1" s="1"/>
  <c r="F201" i="1"/>
  <c r="I201" i="1" s="1"/>
  <c r="F189" i="1"/>
  <c r="I189" i="1" s="1"/>
  <c r="F177" i="1"/>
  <c r="I177" i="1" s="1"/>
  <c r="F165" i="1"/>
  <c r="I165" i="1" s="1"/>
  <c r="F153" i="1"/>
  <c r="I153" i="1" s="1"/>
  <c r="F141" i="1"/>
  <c r="I141" i="1" s="1"/>
  <c r="F129" i="1"/>
  <c r="I129" i="1" s="1"/>
  <c r="F117" i="1"/>
  <c r="I117" i="1" s="1"/>
  <c r="F105" i="1"/>
  <c r="F93" i="1"/>
  <c r="I93" i="1" s="1"/>
  <c r="F81" i="1"/>
  <c r="I81" i="1" s="1"/>
  <c r="F69" i="1"/>
  <c r="I69" i="1" s="1"/>
  <c r="F57" i="1"/>
  <c r="I57" i="1" s="1"/>
  <c r="F45" i="1"/>
  <c r="I45" i="1" s="1"/>
  <c r="F33" i="1"/>
  <c r="I33" i="1" s="1"/>
  <c r="F21" i="1"/>
  <c r="I21" i="1" s="1"/>
  <c r="F9" i="1"/>
  <c r="I9" i="1" s="1"/>
  <c r="F410" i="1"/>
  <c r="I410" i="1" s="1"/>
  <c r="F302" i="1"/>
  <c r="I302" i="1" s="1"/>
  <c r="F158" i="1"/>
  <c r="I158" i="1" s="1"/>
  <c r="F14" i="1"/>
  <c r="I14" i="1" s="1"/>
  <c r="F100" i="1"/>
  <c r="I100" i="1" s="1"/>
  <c r="F88" i="1"/>
  <c r="I88" i="1" s="1"/>
  <c r="F76" i="1"/>
  <c r="I76" i="1" s="1"/>
  <c r="F64" i="1"/>
  <c r="I64" i="1" s="1"/>
  <c r="F52" i="1"/>
  <c r="I52" i="1" s="1"/>
  <c r="F40" i="1"/>
  <c r="I40" i="1" s="1"/>
  <c r="F28" i="1"/>
  <c r="I28" i="1" s="1"/>
  <c r="F16" i="1"/>
  <c r="I16" i="1" s="1"/>
  <c r="D248" i="1"/>
  <c r="D236" i="1"/>
  <c r="D224" i="1"/>
  <c r="D212" i="1"/>
  <c r="D200" i="1"/>
  <c r="D188" i="1"/>
  <c r="D176" i="1"/>
  <c r="D164" i="1"/>
  <c r="D152" i="1"/>
  <c r="D140" i="1"/>
  <c r="D128" i="1"/>
  <c r="D116" i="1"/>
  <c r="D104" i="1"/>
  <c r="D92" i="1"/>
  <c r="D80" i="1"/>
  <c r="D68" i="1"/>
  <c r="D56" i="1"/>
  <c r="D44" i="1"/>
  <c r="D32" i="1"/>
  <c r="D20" i="1"/>
  <c r="D8" i="1"/>
  <c r="D150" i="1"/>
  <c r="D257" i="1"/>
  <c r="D245" i="1"/>
  <c r="D233" i="1"/>
  <c r="D221" i="1"/>
  <c r="D209" i="1"/>
  <c r="D197" i="1"/>
  <c r="D185" i="1"/>
  <c r="D173" i="1"/>
  <c r="D161" i="1"/>
  <c r="D149" i="1"/>
  <c r="D137" i="1"/>
  <c r="D125" i="1"/>
  <c r="D113" i="1"/>
  <c r="D101" i="1"/>
  <c r="D89" i="1"/>
  <c r="D77" i="1"/>
  <c r="D65" i="1"/>
  <c r="D53" i="1"/>
  <c r="D41" i="1"/>
  <c r="D29" i="1"/>
  <c r="D17" i="1"/>
  <c r="D5" i="1"/>
  <c r="D174" i="1"/>
  <c r="D78" i="1"/>
  <c r="D244" i="1"/>
  <c r="D232" i="1"/>
  <c r="D220" i="1"/>
  <c r="D208" i="1"/>
  <c r="D196" i="1"/>
  <c r="D184" i="1"/>
  <c r="D172" i="1"/>
  <c r="D160" i="1"/>
  <c r="D148" i="1"/>
  <c r="D136" i="1"/>
  <c r="D124" i="1"/>
  <c r="D112" i="1"/>
  <c r="D100" i="1"/>
  <c r="D88" i="1"/>
  <c r="D76" i="1"/>
  <c r="D64" i="1"/>
  <c r="D52" i="1"/>
  <c r="D40" i="1"/>
  <c r="D28" i="1"/>
  <c r="D16" i="1"/>
  <c r="F4" i="1"/>
  <c r="D246" i="1"/>
  <c r="D162" i="1"/>
  <c r="D18" i="1"/>
  <c r="D243" i="1"/>
  <c r="D231" i="1"/>
  <c r="D219" i="1"/>
  <c r="D207" i="1"/>
  <c r="D195" i="1"/>
  <c r="D183" i="1"/>
  <c r="D171" i="1"/>
  <c r="D159" i="1"/>
  <c r="D147" i="1"/>
  <c r="D135" i="1"/>
  <c r="D123" i="1"/>
  <c r="D111" i="1"/>
  <c r="D99" i="1"/>
  <c r="D87" i="1"/>
  <c r="D75" i="1"/>
  <c r="D63" i="1"/>
  <c r="D51" i="1"/>
  <c r="D39" i="1"/>
  <c r="D27" i="1"/>
  <c r="D15" i="1"/>
  <c r="D234" i="1"/>
  <c r="D114" i="1"/>
  <c r="D30" i="1"/>
  <c r="D14" i="1"/>
  <c r="D222" i="1"/>
  <c r="D126" i="1"/>
  <c r="D241" i="1"/>
  <c r="D229" i="1"/>
  <c r="D217" i="1"/>
  <c r="D205" i="1"/>
  <c r="D193" i="1"/>
  <c r="D181" i="1"/>
  <c r="D169" i="1"/>
  <c r="D157" i="1"/>
  <c r="D145" i="1"/>
  <c r="D133" i="1"/>
  <c r="D121" i="1"/>
  <c r="D109" i="1"/>
  <c r="D97" i="1"/>
  <c r="D85" i="1"/>
  <c r="D73" i="1"/>
  <c r="D61" i="1"/>
  <c r="D49" i="1"/>
  <c r="D37" i="1"/>
  <c r="D25" i="1"/>
  <c r="D13" i="1"/>
  <c r="D210" i="1"/>
  <c r="D138" i="1"/>
  <c r="D54" i="1"/>
  <c r="D12" i="1"/>
  <c r="D186" i="1"/>
  <c r="D90" i="1"/>
  <c r="D42" i="1"/>
  <c r="D239" i="1"/>
  <c r="D227" i="1"/>
  <c r="D215" i="1"/>
  <c r="D203" i="1"/>
  <c r="D191" i="1"/>
  <c r="D179" i="1"/>
  <c r="D167" i="1"/>
  <c r="D155" i="1"/>
  <c r="D143" i="1"/>
  <c r="D131" i="1"/>
  <c r="D119" i="1"/>
  <c r="D107" i="1"/>
  <c r="D95" i="1"/>
  <c r="D83" i="1"/>
  <c r="D71" i="1"/>
  <c r="D59" i="1"/>
  <c r="D47" i="1"/>
  <c r="D35" i="1"/>
  <c r="D23" i="1"/>
  <c r="D11" i="1"/>
  <c r="D198" i="1"/>
  <c r="D102" i="1"/>
  <c r="D66" i="1"/>
  <c r="D4" i="1"/>
  <c r="D238" i="1"/>
  <c r="D226" i="1"/>
  <c r="D214" i="1"/>
  <c r="D202" i="1"/>
  <c r="D190" i="1"/>
  <c r="D178" i="1"/>
  <c r="D166" i="1"/>
  <c r="D154" i="1"/>
  <c r="D142" i="1"/>
  <c r="D130" i="1"/>
  <c r="D118" i="1"/>
  <c r="D106" i="1"/>
  <c r="D94" i="1"/>
  <c r="D82" i="1"/>
  <c r="D70" i="1"/>
  <c r="D58" i="1"/>
  <c r="D46" i="1"/>
  <c r="D34" i="1"/>
  <c r="D22" i="1"/>
  <c r="D10" i="1"/>
  <c r="D362" i="1"/>
  <c r="D348" i="1"/>
  <c r="D264" i="1"/>
  <c r="D168" i="1"/>
  <c r="D108" i="1"/>
  <c r="D412" i="1"/>
  <c r="D400" i="1"/>
  <c r="D388" i="1"/>
  <c r="D376" i="1"/>
  <c r="D364" i="1"/>
  <c r="D352" i="1"/>
  <c r="D340" i="1"/>
  <c r="D328" i="1"/>
  <c r="D316" i="1"/>
  <c r="D304" i="1"/>
  <c r="D292" i="1"/>
  <c r="D280" i="1"/>
  <c r="D268" i="1"/>
  <c r="D256" i="1"/>
  <c r="D326" i="1"/>
  <c r="D324" i="1"/>
  <c r="D216" i="1"/>
  <c r="D132" i="1"/>
  <c r="D120" i="1"/>
  <c r="D411" i="1"/>
  <c r="D399" i="1"/>
  <c r="D387" i="1"/>
  <c r="D375" i="1"/>
  <c r="D363" i="1"/>
  <c r="D351" i="1"/>
  <c r="D339" i="1"/>
  <c r="D327" i="1"/>
  <c r="D315" i="1"/>
  <c r="D303" i="1"/>
  <c r="D291" i="1"/>
  <c r="D279" i="1"/>
  <c r="D267" i="1"/>
  <c r="D255" i="1"/>
  <c r="D410" i="1"/>
  <c r="D386" i="1"/>
  <c r="D302" i="1"/>
  <c r="D266" i="1"/>
  <c r="D254" i="1"/>
  <c r="D242" i="1"/>
  <c r="D230" i="1"/>
  <c r="D218" i="1"/>
  <c r="D206" i="1"/>
  <c r="D194" i="1"/>
  <c r="D182" i="1"/>
  <c r="D170" i="1"/>
  <c r="D158" i="1"/>
  <c r="D146" i="1"/>
  <c r="D134" i="1"/>
  <c r="D122" i="1"/>
  <c r="D110" i="1"/>
  <c r="D98" i="1"/>
  <c r="D86" i="1"/>
  <c r="D74" i="1"/>
  <c r="D62" i="1"/>
  <c r="D50" i="1"/>
  <c r="D38" i="1"/>
  <c r="D26" i="1"/>
  <c r="D409" i="1"/>
  <c r="D397" i="1"/>
  <c r="D385" i="1"/>
  <c r="D373" i="1"/>
  <c r="D361" i="1"/>
  <c r="D349" i="1"/>
  <c r="D337" i="1"/>
  <c r="D325" i="1"/>
  <c r="D313" i="1"/>
  <c r="D301" i="1"/>
  <c r="D289" i="1"/>
  <c r="D277" i="1"/>
  <c r="D265" i="1"/>
  <c r="D253" i="1"/>
  <c r="D398" i="1"/>
  <c r="D336" i="1"/>
  <c r="D24" i="1"/>
  <c r="D407" i="1"/>
  <c r="D395" i="1"/>
  <c r="D383" i="1"/>
  <c r="D371" i="1"/>
  <c r="D359" i="1"/>
  <c r="D347" i="1"/>
  <c r="D335" i="1"/>
  <c r="D323" i="1"/>
  <c r="D311" i="1"/>
  <c r="D299" i="1"/>
  <c r="D287" i="1"/>
  <c r="D275" i="1"/>
  <c r="D263" i="1"/>
  <c r="D251" i="1"/>
  <c r="D278" i="1"/>
  <c r="D384" i="1"/>
  <c r="D276" i="1"/>
  <c r="D156" i="1"/>
  <c r="D36" i="1"/>
  <c r="D418" i="1"/>
  <c r="D406" i="1"/>
  <c r="D394" i="1"/>
  <c r="D382" i="1"/>
  <c r="D370" i="1"/>
  <c r="D358" i="1"/>
  <c r="D346" i="1"/>
  <c r="D334" i="1"/>
  <c r="D322" i="1"/>
  <c r="D310" i="1"/>
  <c r="D298" i="1"/>
  <c r="D286" i="1"/>
  <c r="D274" i="1"/>
  <c r="D262" i="1"/>
  <c r="D250" i="1"/>
  <c r="D350" i="1"/>
  <c r="D360" i="1"/>
  <c r="D252" i="1"/>
  <c r="D180" i="1"/>
  <c r="D48" i="1"/>
  <c r="D417" i="1"/>
  <c r="D405" i="1"/>
  <c r="D393" i="1"/>
  <c r="D381" i="1"/>
  <c r="D369" i="1"/>
  <c r="D357" i="1"/>
  <c r="D345" i="1"/>
  <c r="D333" i="1"/>
  <c r="D321" i="1"/>
  <c r="D309" i="1"/>
  <c r="D297" i="1"/>
  <c r="D285" i="1"/>
  <c r="D273" i="1"/>
  <c r="D261" i="1"/>
  <c r="D314" i="1"/>
  <c r="D372" i="1"/>
  <c r="D228" i="1"/>
  <c r="D60" i="1"/>
  <c r="D416" i="1"/>
  <c r="D404" i="1"/>
  <c r="D392" i="1"/>
  <c r="D380" i="1"/>
  <c r="D368" i="1"/>
  <c r="D356" i="1"/>
  <c r="D344" i="1"/>
  <c r="D332" i="1"/>
  <c r="D320" i="1"/>
  <c r="D308" i="1"/>
  <c r="D296" i="1"/>
  <c r="D284" i="1"/>
  <c r="D272" i="1"/>
  <c r="D260" i="1"/>
  <c r="D338" i="1"/>
  <c r="D312" i="1"/>
  <c r="D240" i="1"/>
  <c r="D144" i="1"/>
  <c r="D84" i="1"/>
  <c r="D415" i="1"/>
  <c r="D403" i="1"/>
  <c r="D391" i="1"/>
  <c r="D379" i="1"/>
  <c r="D367" i="1"/>
  <c r="D355" i="1"/>
  <c r="D343" i="1"/>
  <c r="D331" i="1"/>
  <c r="D319" i="1"/>
  <c r="D307" i="1"/>
  <c r="D295" i="1"/>
  <c r="D283" i="1"/>
  <c r="D271" i="1"/>
  <c r="D259" i="1"/>
  <c r="D374" i="1"/>
  <c r="D408" i="1"/>
  <c r="D300" i="1"/>
  <c r="D204" i="1"/>
  <c r="D72" i="1"/>
  <c r="D414" i="1"/>
  <c r="D402" i="1"/>
  <c r="D390" i="1"/>
  <c r="D378" i="1"/>
  <c r="D366" i="1"/>
  <c r="D354" i="1"/>
  <c r="D342" i="1"/>
  <c r="D330" i="1"/>
  <c r="D318" i="1"/>
  <c r="D306" i="1"/>
  <c r="D294" i="1"/>
  <c r="D282" i="1"/>
  <c r="D270" i="1"/>
  <c r="D258" i="1"/>
  <c r="D396" i="1"/>
  <c r="D288" i="1"/>
  <c r="D192" i="1"/>
  <c r="D96" i="1"/>
  <c r="D413" i="1"/>
  <c r="D401" i="1"/>
  <c r="D389" i="1"/>
  <c r="D377" i="1"/>
  <c r="D365" i="1"/>
  <c r="D353" i="1"/>
  <c r="D341" i="1"/>
  <c r="D329" i="1"/>
  <c r="D317" i="1"/>
  <c r="D305" i="1"/>
  <c r="D293" i="1"/>
  <c r="D281" i="1"/>
  <c r="D269" i="1"/>
  <c r="J33" i="6" l="1"/>
  <c r="J105" i="6"/>
  <c r="J46" i="6"/>
  <c r="J118" i="6"/>
  <c r="J59" i="6"/>
  <c r="J131" i="6"/>
  <c r="J6" i="6"/>
  <c r="J78" i="6"/>
  <c r="J150" i="6"/>
  <c r="J25" i="6"/>
  <c r="J97" i="6"/>
  <c r="J44" i="6"/>
  <c r="J116" i="6"/>
  <c r="J39" i="6"/>
  <c r="J111" i="6"/>
  <c r="J52" i="6"/>
  <c r="J124" i="6"/>
  <c r="J65" i="6"/>
  <c r="J137" i="6"/>
  <c r="J12" i="6"/>
  <c r="J84" i="6"/>
  <c r="J156" i="6"/>
  <c r="J31" i="6"/>
  <c r="J103" i="6"/>
  <c r="J50" i="6"/>
  <c r="J122" i="6"/>
  <c r="J45" i="6"/>
  <c r="J117" i="6"/>
  <c r="J58" i="6"/>
  <c r="J130" i="6"/>
  <c r="J71" i="6"/>
  <c r="J143" i="6"/>
  <c r="J18" i="6"/>
  <c r="J90" i="6"/>
  <c r="J162" i="6"/>
  <c r="J37" i="6"/>
  <c r="J109" i="6"/>
  <c r="J56" i="6"/>
  <c r="J128" i="6"/>
  <c r="J51" i="6"/>
  <c r="J123" i="6"/>
  <c r="J64" i="6"/>
  <c r="J136" i="6"/>
  <c r="J5" i="6"/>
  <c r="J77" i="6"/>
  <c r="J149" i="6"/>
  <c r="J24" i="6"/>
  <c r="J96" i="6"/>
  <c r="J43" i="6"/>
  <c r="J115" i="6"/>
  <c r="J62" i="6"/>
  <c r="J134" i="6"/>
  <c r="J57" i="6"/>
  <c r="J129" i="6"/>
  <c r="J70" i="6"/>
  <c r="J142" i="6"/>
  <c r="J11" i="6"/>
  <c r="J83" i="6"/>
  <c r="J155" i="6"/>
  <c r="J30" i="6"/>
  <c r="J102" i="6"/>
  <c r="J49" i="6"/>
  <c r="J121" i="6"/>
  <c r="J68" i="6"/>
  <c r="J140" i="6"/>
  <c r="J63" i="6"/>
  <c r="J135" i="6"/>
  <c r="J4" i="6"/>
  <c r="J76" i="6"/>
  <c r="J148" i="6"/>
  <c r="J17" i="6"/>
  <c r="J89" i="6"/>
  <c r="J161" i="6"/>
  <c r="J36" i="6"/>
  <c r="J108" i="6"/>
  <c r="J55" i="6"/>
  <c r="J127" i="6"/>
  <c r="J74" i="6"/>
  <c r="J146" i="6"/>
  <c r="J2" i="6"/>
  <c r="J69" i="6"/>
  <c r="J141" i="6"/>
  <c r="J10" i="6"/>
  <c r="J82" i="6"/>
  <c r="J154" i="6"/>
  <c r="J23" i="6"/>
  <c r="J95" i="6"/>
  <c r="J42" i="6"/>
  <c r="J114" i="6"/>
  <c r="J61" i="6"/>
  <c r="J133" i="6"/>
  <c r="J8" i="6"/>
  <c r="J80" i="6"/>
  <c r="J152" i="6"/>
  <c r="J3" i="6"/>
  <c r="J75" i="6"/>
  <c r="J147" i="6"/>
  <c r="J16" i="6"/>
  <c r="J88" i="6"/>
  <c r="J160" i="6"/>
  <c r="J29" i="6"/>
  <c r="J101" i="6"/>
  <c r="J48" i="6"/>
  <c r="J120" i="6"/>
  <c r="J67" i="6"/>
  <c r="J139" i="6"/>
  <c r="J14" i="6"/>
  <c r="J86" i="6"/>
  <c r="J158" i="6"/>
  <c r="J9" i="6"/>
  <c r="J81" i="6"/>
  <c r="J153" i="6"/>
  <c r="J22" i="6"/>
  <c r="J94" i="6"/>
  <c r="J35" i="6"/>
  <c r="J107" i="6"/>
  <c r="J54" i="6"/>
  <c r="J126" i="6"/>
  <c r="J73" i="6"/>
  <c r="J145" i="6"/>
  <c r="J20" i="6"/>
  <c r="J92" i="6"/>
  <c r="J164" i="6"/>
  <c r="J15" i="6"/>
  <c r="J87" i="6"/>
  <c r="J159" i="6"/>
  <c r="J28" i="6"/>
  <c r="J100" i="6"/>
  <c r="J41" i="6"/>
  <c r="J113" i="6"/>
  <c r="J60" i="6"/>
  <c r="J132" i="6"/>
  <c r="J7" i="6"/>
  <c r="J79" i="6"/>
  <c r="J151" i="6"/>
  <c r="J26" i="6"/>
  <c r="J98" i="6"/>
  <c r="J21" i="6"/>
  <c r="J93" i="6"/>
  <c r="J34" i="6"/>
  <c r="J106" i="6"/>
  <c r="J47" i="6"/>
  <c r="J119" i="6"/>
  <c r="J66" i="6"/>
  <c r="J138" i="6"/>
  <c r="J13" i="6"/>
  <c r="J85" i="6"/>
  <c r="J157" i="6"/>
  <c r="J32" i="6"/>
  <c r="J104" i="6"/>
  <c r="J27" i="6"/>
  <c r="J99" i="6"/>
  <c r="J40" i="6"/>
  <c r="J112" i="6"/>
  <c r="J53" i="6"/>
  <c r="J125" i="6"/>
  <c r="J72" i="6"/>
  <c r="J144" i="6"/>
  <c r="J19" i="6"/>
  <c r="J91" i="6"/>
  <c r="J163" i="6"/>
  <c r="J38" i="6"/>
  <c r="J110" i="6"/>
  <c r="I143" i="1"/>
  <c r="I391" i="1"/>
  <c r="I264" i="1"/>
  <c r="I408" i="1"/>
  <c r="I399" i="1"/>
  <c r="I268" i="1"/>
  <c r="I121" i="1"/>
  <c r="I265" i="1"/>
  <c r="I409" i="1"/>
  <c r="I319" i="1"/>
  <c r="I111" i="1"/>
  <c r="I376" i="1"/>
  <c r="I211" i="1"/>
  <c r="I320" i="1"/>
  <c r="I267" i="1"/>
  <c r="I359" i="1"/>
  <c r="I122" i="1"/>
  <c r="I231" i="1"/>
  <c r="I74" i="1"/>
  <c r="I336" i="1"/>
  <c r="I51" i="1"/>
  <c r="I328" i="1"/>
  <c r="I184" i="1"/>
  <c r="I207" i="1"/>
  <c r="I61" i="1"/>
  <c r="I205" i="1"/>
  <c r="I349" i="1"/>
  <c r="I106" i="1"/>
  <c r="I259" i="1"/>
  <c r="I276" i="1"/>
  <c r="I105" i="1"/>
  <c r="I127" i="1"/>
  <c r="I135" i="1"/>
  <c r="I60" i="1"/>
  <c r="I204" i="1"/>
  <c r="I114" i="1"/>
  <c r="I258" i="1"/>
  <c r="I402" i="1"/>
  <c r="I260" i="1"/>
  <c r="I59" i="1"/>
  <c r="I203" i="1"/>
  <c r="I307" i="1"/>
  <c r="I275" i="1"/>
  <c r="I62" i="1"/>
  <c r="I351" i="1"/>
  <c r="I287" i="1"/>
  <c r="I147" i="1"/>
  <c r="I278" i="1"/>
  <c r="I133" i="1"/>
  <c r="I277" i="1"/>
  <c r="I206" i="1"/>
  <c r="I348" i="1"/>
  <c r="I145" i="1"/>
  <c r="I289" i="1"/>
  <c r="I350" i="1"/>
  <c r="I197" i="1"/>
  <c r="I341" i="1"/>
  <c r="I250" i="1"/>
  <c r="I394" i="1"/>
  <c r="I53" i="1"/>
  <c r="I44" i="1"/>
  <c r="I188" i="1"/>
  <c r="I249" i="1"/>
  <c r="I393" i="1"/>
  <c r="I335" i="1"/>
  <c r="I63" i="1"/>
  <c r="I4" i="1"/>
  <c r="I347" i="1"/>
  <c r="I252" i="1"/>
  <c r="I396" i="1"/>
  <c r="I49" i="1"/>
  <c r="I193" i="1"/>
  <c r="I337" i="1"/>
  <c r="I403" i="1"/>
  <c r="I80" i="1"/>
  <c r="I224" i="1"/>
  <c r="I285" i="1"/>
  <c r="I303" i="1"/>
  <c r="I371" i="1"/>
  <c r="I73" i="1"/>
  <c r="I217" i="1"/>
  <c r="I361" i="1"/>
  <c r="I239" i="1"/>
  <c r="I383" i="1"/>
  <c r="I288" i="1"/>
  <c r="I99" i="1"/>
  <c r="I85" i="1"/>
  <c r="I229" i="1"/>
  <c r="I373" i="1"/>
  <c r="I146" i="1"/>
  <c r="I35" i="1"/>
  <c r="I179" i="1"/>
  <c r="I292" i="1"/>
  <c r="I27" i="1"/>
  <c r="I251" i="1"/>
  <c r="I395" i="1"/>
  <c r="I300" i="1"/>
  <c r="I195" i="1"/>
  <c r="I97" i="1"/>
  <c r="I241" i="1"/>
  <c r="I385" i="1"/>
  <c r="I266" i="1"/>
  <c r="I159" i="1"/>
  <c r="I312" i="1"/>
  <c r="I327" i="1"/>
  <c r="I39" i="1"/>
  <c r="I324" i="1"/>
  <c r="I388" i="1"/>
  <c r="I95" i="1"/>
  <c r="I232" i="1"/>
  <c r="I242" i="1"/>
  <c r="I387" i="1"/>
  <c r="I311" i="1"/>
  <c r="I360" i="1"/>
  <c r="I386" i="1"/>
  <c r="I157" i="1"/>
  <c r="I301" i="1"/>
  <c r="I243" i="1"/>
  <c r="I355" i="1"/>
  <c r="I323" i="1"/>
  <c r="I372" i="1"/>
  <c r="I25" i="1"/>
  <c r="I169" i="1"/>
  <c r="I313" i="1"/>
  <c r="I363" i="1"/>
  <c r="I38" i="1"/>
  <c r="I352" i="1"/>
  <c r="I240" i="1"/>
  <c r="I384" i="1"/>
  <c r="I37" i="1"/>
  <c r="I181" i="1"/>
  <c r="I325" i="1"/>
  <c r="I379" i="1"/>
  <c r="I28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<sst xmlns="http://schemas.openxmlformats.org/spreadsheetml/2006/main" count="18334" uniqueCount="3025">
  <si>
    <t xml:space="preserve">        tnx_id,</t>
  </si>
  <si>
    <t xml:space="preserve">        towerrec,</t>
  </si>
  <si>
    <t xml:space="preserve">        towerdatabase,</t>
  </si>
  <si>
    <t xml:space="preserve">        towername,</t>
  </si>
  <si>
    <t xml:space="preserve">        towerheight,</t>
  </si>
  <si>
    <t xml:space="preserve">        towerfacewidth,</t>
  </si>
  <si>
    <t xml:space="preserve">        towernumsections,</t>
  </si>
  <si>
    <t xml:space="preserve">        towersectionlength,</t>
  </si>
  <si>
    <t xml:space="preserve">        towerdiagonalspacing,</t>
  </si>
  <si>
    <t xml:space="preserve">        towerdiagonalspacingex,</t>
  </si>
  <si>
    <t xml:space="preserve">        towerbracetype,</t>
  </si>
  <si>
    <t xml:space="preserve">        towerfacebevel,</t>
  </si>
  <si>
    <t xml:space="preserve">        towertopgirtoffset,</t>
  </si>
  <si>
    <t xml:space="preserve">        towerbotgirtoffset,</t>
  </si>
  <si>
    <t xml:space="preserve">        towerhaskbraceendpanels,</t>
  </si>
  <si>
    <t xml:space="preserve">        towerhashorizontals,</t>
  </si>
  <si>
    <t xml:space="preserve">        towerlegtype,</t>
  </si>
  <si>
    <t xml:space="preserve">        towerlegsize,</t>
  </si>
  <si>
    <t xml:space="preserve">        towerleggrade,</t>
  </si>
  <si>
    <t xml:space="preserve">        towerlegmatlgrade,</t>
  </si>
  <si>
    <t xml:space="preserve">        towerdiagonalgrade,</t>
  </si>
  <si>
    <t xml:space="preserve">        towerdiagonalmatlgrade,</t>
  </si>
  <si>
    <t xml:space="preserve">        towerinnerbracinggrade,</t>
  </si>
  <si>
    <t xml:space="preserve">        towerinnerbracingmatlgrade,</t>
  </si>
  <si>
    <t xml:space="preserve">        towertopgirtgrade,</t>
  </si>
  <si>
    <t xml:space="preserve">        towertopgirtmatlgrade,</t>
  </si>
  <si>
    <t xml:space="preserve">        towerbotgirtgrade,</t>
  </si>
  <si>
    <t xml:space="preserve">        towerbotgirtmatlgrade,</t>
  </si>
  <si>
    <t xml:space="preserve">        towerinnergirtgrade,</t>
  </si>
  <si>
    <t xml:space="preserve">        towerinnergirtmatlgrade,</t>
  </si>
  <si>
    <t xml:space="preserve">        towerlonghorizontalgrade,</t>
  </si>
  <si>
    <t xml:space="preserve">        towerlonghorizontalmatlgrade,</t>
  </si>
  <si>
    <t xml:space="preserve">        towershorthorizontalgrade,</t>
  </si>
  <si>
    <t xml:space="preserve">        towershorthorizontalmatlgrade,</t>
  </si>
  <si>
    <t xml:space="preserve">        towerdiagonaltype,</t>
  </si>
  <si>
    <t xml:space="preserve">        towerdiagonalsize,</t>
  </si>
  <si>
    <t xml:space="preserve">        towerinnerbracingtype,</t>
  </si>
  <si>
    <t xml:space="preserve">        towerinnerbracingsize,</t>
  </si>
  <si>
    <t xml:space="preserve">        towertopgirttype,</t>
  </si>
  <si>
    <t xml:space="preserve">        towertopgirtsize,</t>
  </si>
  <si>
    <t xml:space="preserve">        towerbotgirttype,</t>
  </si>
  <si>
    <t xml:space="preserve">        towerbotgirtsize,</t>
  </si>
  <si>
    <t xml:space="preserve">        towernuminnergirts,</t>
  </si>
  <si>
    <t xml:space="preserve">        towerinnergirttype,</t>
  </si>
  <si>
    <t xml:space="preserve">        towerinnergirtsize,</t>
  </si>
  <si>
    <t xml:space="preserve">        towerlonghorizontaltype,</t>
  </si>
  <si>
    <t xml:space="preserve">        towerlonghorizontalsize,</t>
  </si>
  <si>
    <t xml:space="preserve">        towershorthorizontaltype,</t>
  </si>
  <si>
    <t xml:space="preserve">        towershorthorizontalsize,</t>
  </si>
  <si>
    <t xml:space="preserve">        towerredundantgrade,</t>
  </si>
  <si>
    <t xml:space="preserve">        towerredundantmatlgrade,</t>
  </si>
  <si>
    <t xml:space="preserve">        towerredundanttype,</t>
  </si>
  <si>
    <t xml:space="preserve">        towerredundantdiagtype,</t>
  </si>
  <si>
    <t xml:space="preserve">        towerredundantsubdiagonaltype,</t>
  </si>
  <si>
    <t xml:space="preserve">        towerredundantsubhorizontaltype,</t>
  </si>
  <si>
    <t xml:space="preserve">        towerredundantverticaltype,</t>
  </si>
  <si>
    <t xml:space="preserve">        towerredundanthiptype,</t>
  </si>
  <si>
    <t xml:space="preserve">        towerredundanthipdiagonaltype,</t>
  </si>
  <si>
    <t xml:space="preserve">        towerredundanthorizontalsize,</t>
  </si>
  <si>
    <t xml:space="preserve">        towerredundanthorizontalsize2,</t>
  </si>
  <si>
    <t xml:space="preserve">        towerredundanthorizontalsize3,</t>
  </si>
  <si>
    <t xml:space="preserve">        towerredundanthorizontalsize4,</t>
  </si>
  <si>
    <t xml:space="preserve">        towerredundantdiagonalsize,</t>
  </si>
  <si>
    <t xml:space="preserve">        towerredundantdiagonalsize2,</t>
  </si>
  <si>
    <t xml:space="preserve">        towerredundantdiagonalsize3,</t>
  </si>
  <si>
    <t xml:space="preserve">        towerredundantdiagonalsize4,</t>
  </si>
  <si>
    <t xml:space="preserve">        towerredundantsubhorizontalsize,</t>
  </si>
  <si>
    <t xml:space="preserve">        towerredundantsubdiagonalsize,</t>
  </si>
  <si>
    <t xml:space="preserve">        towersubdiaglocation,</t>
  </si>
  <si>
    <t xml:space="preserve">        towerredundantverticalsize,</t>
  </si>
  <si>
    <t xml:space="preserve">        towerredundanthipsize,</t>
  </si>
  <si>
    <t xml:space="preserve">        towerredundanthipsize2,</t>
  </si>
  <si>
    <t xml:space="preserve">        towerredundanthipsize3,</t>
  </si>
  <si>
    <t xml:space="preserve">        towerredundanthipsize4,</t>
  </si>
  <si>
    <t xml:space="preserve">        towerredundanthipdiagonalsize,</t>
  </si>
  <si>
    <t xml:space="preserve">        towerredundanthipdiagonalsize2,</t>
  </si>
  <si>
    <t xml:space="preserve">        towerredundanthipdiagonalsize3,</t>
  </si>
  <si>
    <t xml:space="preserve">        towerredundanthipdiagonalsize4,</t>
  </si>
  <si>
    <t xml:space="preserve">        towerswmult,</t>
  </si>
  <si>
    <t xml:space="preserve">        towerwpmult,</t>
  </si>
  <si>
    <t xml:space="preserve">        towerautocalcksingleangle,</t>
  </si>
  <si>
    <t xml:space="preserve">        towerautocalcksolidround,</t>
  </si>
  <si>
    <t xml:space="preserve">        towerafgusset,</t>
  </si>
  <si>
    <t xml:space="preserve">        towertfgusset,</t>
  </si>
  <si>
    <t xml:space="preserve">        towergussetboltedgedistance,</t>
  </si>
  <si>
    <t xml:space="preserve">        towergussetgrade,</t>
  </si>
  <si>
    <t xml:space="preserve">        towergussetmatlgrade,</t>
  </si>
  <si>
    <t xml:space="preserve">        towerafmult,</t>
  </si>
  <si>
    <t xml:space="preserve">        towerarmult,</t>
  </si>
  <si>
    <t xml:space="preserve">        towerflatipapole,</t>
  </si>
  <si>
    <t xml:space="preserve">        towerroundipapole,</t>
  </si>
  <si>
    <t xml:space="preserve">        towerflatipaleg,</t>
  </si>
  <si>
    <t xml:space="preserve">        towerroundipaleg,</t>
  </si>
  <si>
    <t xml:space="preserve">        towerflatipahorizontal,</t>
  </si>
  <si>
    <t xml:space="preserve">        towerroundipahorizontal,</t>
  </si>
  <si>
    <t xml:space="preserve">        towerflatipadiagonal,</t>
  </si>
  <si>
    <t xml:space="preserve">        towerroundipadiagonal,</t>
  </si>
  <si>
    <t xml:space="preserve">        towercsa_s37_speedupfactor,</t>
  </si>
  <si>
    <t xml:space="preserve">        towerklegs,</t>
  </si>
  <si>
    <t xml:space="preserve">        towerkxbraceddiags,</t>
  </si>
  <si>
    <t xml:space="preserve">        towerkkbraceddiags,</t>
  </si>
  <si>
    <t xml:space="preserve">        towerkzbraceddiags,</t>
  </si>
  <si>
    <t xml:space="preserve">        towerkhorzs,</t>
  </si>
  <si>
    <t xml:space="preserve">        towerksechorzs,</t>
  </si>
  <si>
    <t xml:space="preserve">        towerkgirts,</t>
  </si>
  <si>
    <t xml:space="preserve">        towerkinners,</t>
  </si>
  <si>
    <t xml:space="preserve">        towerkxbraceddiagsy,</t>
  </si>
  <si>
    <t xml:space="preserve">        towerkkbraceddiagsy,</t>
  </si>
  <si>
    <t xml:space="preserve">        towerkzbraceddiagsy,</t>
  </si>
  <si>
    <t xml:space="preserve">        towerkhorzsy,</t>
  </si>
  <si>
    <t xml:space="preserve">        towerksechorzsy,</t>
  </si>
  <si>
    <t xml:space="preserve">        towerkgirtsy,</t>
  </si>
  <si>
    <t xml:space="preserve">        towerkinnersy,</t>
  </si>
  <si>
    <t xml:space="preserve">        towerkredhorz,</t>
  </si>
  <si>
    <t xml:space="preserve">        towerkreddiag,</t>
  </si>
  <si>
    <t xml:space="preserve">        towerkredsubdiag,</t>
  </si>
  <si>
    <t xml:space="preserve">        towerkredsubhorz,</t>
  </si>
  <si>
    <t xml:space="preserve">        towerkredvert,</t>
  </si>
  <si>
    <t xml:space="preserve">        towerkredhip,</t>
  </si>
  <si>
    <t xml:space="preserve">        towerkredhipdiag,</t>
  </si>
  <si>
    <t xml:space="preserve">        towerktlx,</t>
  </si>
  <si>
    <t xml:space="preserve">        towerktlz,</t>
  </si>
  <si>
    <t xml:space="preserve">        towerktlleg,</t>
  </si>
  <si>
    <t xml:space="preserve">        towerinnerktlx,</t>
  </si>
  <si>
    <t xml:space="preserve">        towerinnerktlz,</t>
  </si>
  <si>
    <t xml:space="preserve">        towerinnerktlleg,</t>
  </si>
  <si>
    <t xml:space="preserve">        towerstitchboltlocationhoriz,</t>
  </si>
  <si>
    <t xml:space="preserve">        towerstitchboltlocationdiag,</t>
  </si>
  <si>
    <t xml:space="preserve">        towerstitchboltlocationred,</t>
  </si>
  <si>
    <t xml:space="preserve">        towerstitchspacing,</t>
  </si>
  <si>
    <t xml:space="preserve">        towerstitchspacingdiag,</t>
  </si>
  <si>
    <t xml:space="preserve">        towerstitchspacinghorz,</t>
  </si>
  <si>
    <t xml:space="preserve">        towerstitchspacingred,</t>
  </si>
  <si>
    <t xml:space="preserve">        towerlegnetwidthdeduct,</t>
  </si>
  <si>
    <t xml:space="preserve">        towerlegufactor,</t>
  </si>
  <si>
    <t xml:space="preserve">        towerdiagonalnetwidthdeduct,</t>
  </si>
  <si>
    <t xml:space="preserve">        towertopgirtnetwidthdeduct,</t>
  </si>
  <si>
    <t xml:space="preserve">        towerbotgirtnetwidthdeduct,</t>
  </si>
  <si>
    <t xml:space="preserve">        towerinnergirtnetwidthdeduct,</t>
  </si>
  <si>
    <t xml:space="preserve">        towerhorizontalnetwidthdeduct,</t>
  </si>
  <si>
    <t xml:space="preserve">        towershorthorizontalnetwidthdeduct,</t>
  </si>
  <si>
    <t xml:space="preserve">        towerdiagonalufactor,</t>
  </si>
  <si>
    <t xml:space="preserve">        towertopgirtufactor,</t>
  </si>
  <si>
    <t xml:space="preserve">        towerbotgirtufactor,</t>
  </si>
  <si>
    <t xml:space="preserve">        towerinnergirtufactor,</t>
  </si>
  <si>
    <t xml:space="preserve">        towerhorizontalufactor,</t>
  </si>
  <si>
    <t xml:space="preserve">        towershorthorizontalufactor,</t>
  </si>
  <si>
    <t xml:space="preserve">        towerlegconntype,</t>
  </si>
  <si>
    <t xml:space="preserve">        towerlegnumbolts,</t>
  </si>
  <si>
    <t xml:space="preserve">        towerdiagonalnumbolts,</t>
  </si>
  <si>
    <t xml:space="preserve">        towertopgirtnumbolts,</t>
  </si>
  <si>
    <t xml:space="preserve">        towerbotgirtnumbolts,</t>
  </si>
  <si>
    <t xml:space="preserve">        towerinnergirtnumbolts,</t>
  </si>
  <si>
    <t xml:space="preserve">        towerhorizontalnumbolts,</t>
  </si>
  <si>
    <t xml:space="preserve">        towershorthorizontalnumbolts,</t>
  </si>
  <si>
    <t xml:space="preserve">        towerlegboltgrade,</t>
  </si>
  <si>
    <t xml:space="preserve">        towerlegboltsize,</t>
  </si>
  <si>
    <t xml:space="preserve">        towerdiagonalboltgrade,</t>
  </si>
  <si>
    <t xml:space="preserve">        towerdiagonalboltsize,</t>
  </si>
  <si>
    <t xml:space="preserve">        towertopgirtboltgrade,</t>
  </si>
  <si>
    <t xml:space="preserve">        towertopgirtboltsize,</t>
  </si>
  <si>
    <t xml:space="preserve">        towerbotgirtboltgrade,</t>
  </si>
  <si>
    <t xml:space="preserve">        towerbotgirtboltsize,</t>
  </si>
  <si>
    <t xml:space="preserve">        towerinnergirtboltgrade,</t>
  </si>
  <si>
    <t xml:space="preserve">        towerinnergirtboltsize,</t>
  </si>
  <si>
    <t xml:space="preserve">        towerhorizontalboltgrade,</t>
  </si>
  <si>
    <t xml:space="preserve">        towerhorizontalboltsize,</t>
  </si>
  <si>
    <t xml:space="preserve">        towershorthorizontalboltgrade,</t>
  </si>
  <si>
    <t xml:space="preserve">        towershorthorizontalboltsize,</t>
  </si>
  <si>
    <t xml:space="preserve">        towerlegboltedgedistance,</t>
  </si>
  <si>
    <t xml:space="preserve">        towerdiagonalboltedgedistance,</t>
  </si>
  <si>
    <t xml:space="preserve">        towertopgirtboltedgedistance,</t>
  </si>
  <si>
    <t xml:space="preserve">        towerbotgirtboltedgedistance,</t>
  </si>
  <si>
    <t xml:space="preserve">        towerinnergirtboltedgedistance,</t>
  </si>
  <si>
    <t xml:space="preserve">        towerhorizontalboltedgedistance,</t>
  </si>
  <si>
    <t xml:space="preserve">        towershorthorizontalboltedgedistance,</t>
  </si>
  <si>
    <t xml:space="preserve">        towerdiagonalgageg1distance,</t>
  </si>
  <si>
    <t xml:space="preserve">        towertopgirtgageg1distance,</t>
  </si>
  <si>
    <t xml:space="preserve">        towerbotgirtgageg1distance,</t>
  </si>
  <si>
    <t xml:space="preserve">        towerinnergirtgageg1distance,</t>
  </si>
  <si>
    <t xml:space="preserve">        towerhorizontalgageg1distance,</t>
  </si>
  <si>
    <t xml:space="preserve">        towershorthorizontalgageg1distance,</t>
  </si>
  <si>
    <t xml:space="preserve">        towerredundanthorizontalboltgrade,</t>
  </si>
  <si>
    <t xml:space="preserve">        towerredundanthorizontalboltsize,</t>
  </si>
  <si>
    <t xml:space="preserve">        towerredundanthorizontalnumbolts,</t>
  </si>
  <si>
    <t xml:space="preserve">        towerredundanthorizontalboltedgedistance,</t>
  </si>
  <si>
    <t xml:space="preserve">        towerredundanthorizontalgageg1distance,</t>
  </si>
  <si>
    <t xml:space="preserve">        towerredundanthorizontalnetwidthdeduct,</t>
  </si>
  <si>
    <t xml:space="preserve">        towerredundanthorizontalufactor,</t>
  </si>
  <si>
    <t xml:space="preserve">        towerredundantdiagonalboltgrade,</t>
  </si>
  <si>
    <t xml:space="preserve">        towerredundantdiagonalboltsize,</t>
  </si>
  <si>
    <t xml:space="preserve">        towerredundantdiagonalnumbolts,</t>
  </si>
  <si>
    <t xml:space="preserve">        towerredundantdiagonalboltedgedistance,</t>
  </si>
  <si>
    <t xml:space="preserve">        towerredundantdiagonalgageg1distance,</t>
  </si>
  <si>
    <t xml:space="preserve">        towerredundantdiagonalnetwidthdeduct,</t>
  </si>
  <si>
    <t xml:space="preserve">        towerredundantdiagonalufactor,</t>
  </si>
  <si>
    <t xml:space="preserve">        towerredundantsubdiagonalboltgrade,</t>
  </si>
  <si>
    <t xml:space="preserve">        towerredundantsubdiagonalboltsize,</t>
  </si>
  <si>
    <t xml:space="preserve">        towerredundantsubdiagonalnumbolts,</t>
  </si>
  <si>
    <t xml:space="preserve">        towerredundantsubdiagonalboltedgedistance,</t>
  </si>
  <si>
    <t xml:space="preserve">        towerredundantsubdiagonalgageg1distance,</t>
  </si>
  <si>
    <t xml:space="preserve">        towerredundantsubdiagonalnetwidthdeduct,</t>
  </si>
  <si>
    <t xml:space="preserve">        towerredundantsubdiagonalufactor,</t>
  </si>
  <si>
    <t xml:space="preserve">        towerredundantsubhorizontalboltgrade,</t>
  </si>
  <si>
    <t xml:space="preserve">        towerredundantsubhorizontalboltsize,</t>
  </si>
  <si>
    <t xml:space="preserve">        towerredundantsubhorizontalnumbolts,</t>
  </si>
  <si>
    <t xml:space="preserve">        towerredundantsubhorizontalboltedgedistance,</t>
  </si>
  <si>
    <t xml:space="preserve">        towerredundantsubhorizontalgageg1distance,</t>
  </si>
  <si>
    <t xml:space="preserve">        towerredundantsubhorizontalnetwidthdeduct,</t>
  </si>
  <si>
    <t xml:space="preserve">        towerredundantsubhorizontalufactor,</t>
  </si>
  <si>
    <t xml:space="preserve">        towerredundantverticalboltgrade,</t>
  </si>
  <si>
    <t xml:space="preserve">        towerredundantverticalboltsize,</t>
  </si>
  <si>
    <t xml:space="preserve">        towerredundantverticalnumbolts,</t>
  </si>
  <si>
    <t xml:space="preserve">        towerredundantverticalboltedgedistance,</t>
  </si>
  <si>
    <t xml:space="preserve">        towerredundantverticalgageg1distance,</t>
  </si>
  <si>
    <t xml:space="preserve">        towerredundantverticalnetwidthdeduct,</t>
  </si>
  <si>
    <t xml:space="preserve">        towerredundantverticalufactor,</t>
  </si>
  <si>
    <t xml:space="preserve">        towerredundanthipboltgrade,</t>
  </si>
  <si>
    <t xml:space="preserve">        towerredundanthipboltsize,</t>
  </si>
  <si>
    <t xml:space="preserve">        towerredundanthipnumbolts,</t>
  </si>
  <si>
    <t xml:space="preserve">        towerredundanthipboltedgedistance,</t>
  </si>
  <si>
    <t xml:space="preserve">        towerredundanthipgageg1distance,</t>
  </si>
  <si>
    <t xml:space="preserve">        towerredundanthipnetwidthdeduct,</t>
  </si>
  <si>
    <t xml:space="preserve">        towerredundanthipufactor,</t>
  </si>
  <si>
    <t xml:space="preserve">        towerredundanthipdiagonalboltgrade,</t>
  </si>
  <si>
    <t xml:space="preserve">        towerredundanthipdiagonalboltsize,</t>
  </si>
  <si>
    <t xml:space="preserve">        towerredundanthipdiagonalnumbolts,</t>
  </si>
  <si>
    <t xml:space="preserve">        towerredundanthipdiagonalboltedgedistance,</t>
  </si>
  <si>
    <t xml:space="preserve">        towerredundanthipdiagonalgageg1distance,</t>
  </si>
  <si>
    <t xml:space="preserve">        towerredundanthipdiagonalnetwidthdeduct,</t>
  </si>
  <si>
    <t xml:space="preserve">        towerredundanthipdiagonalufactor,</t>
  </si>
  <si>
    <t xml:space="preserve">        towerdiagonaloutofplanerestraint,</t>
  </si>
  <si>
    <t xml:space="preserve">        towertopgirtoutofplanerestraint,</t>
  </si>
  <si>
    <t xml:space="preserve">        towerbottomgirtoutofplanerestraint,</t>
  </si>
  <si>
    <t xml:space="preserve">        towermidgirtoutofplanerestraint,</t>
  </si>
  <si>
    <t xml:space="preserve">        towerhorizontaloutofplanerestraint,</t>
  </si>
  <si>
    <t xml:space="preserve">        towersecondaryhorizontaloutofplanerestraint,</t>
  </si>
  <si>
    <t xml:space="preserve">        toweruniqueflag,</t>
  </si>
  <si>
    <t xml:space="preserve">        towerdiagoffsetney,</t>
  </si>
  <si>
    <t xml:space="preserve">        towerdiagoffsetnex,</t>
  </si>
  <si>
    <t xml:space="preserve">        towerdiagoffsetpey,</t>
  </si>
  <si>
    <t xml:space="preserve">        towerdiagoffsetpex,</t>
  </si>
  <si>
    <t xml:space="preserve">        towerkbraceoffsetney,</t>
  </si>
  <si>
    <t xml:space="preserve">        towerkbraceoffsetnex,</t>
  </si>
  <si>
    <t xml:space="preserve">        towerkbraceoffsetpey,</t>
  </si>
  <si>
    <t xml:space="preserve">        towerkbraceoffsetpex</t>
  </si>
  <si>
    <t xml:space="preserve">    )</t>
  </si>
  <si>
    <t>'12',</t>
  </si>
  <si>
    <t>NULL,</t>
  </si>
  <si>
    <t>'240',</t>
  </si>
  <si>
    <t>'300.46875',</t>
  </si>
  <si>
    <t>'1',</t>
  </si>
  <si>
    <t>'K1 Down',</t>
  </si>
  <si>
    <t>'8.3806',</t>
  </si>
  <si>
    <t>'0',</t>
  </si>
  <si>
    <t>'False',</t>
  </si>
  <si>
    <t>'True',</t>
  </si>
  <si>
    <t>'Pipe',</t>
  </si>
  <si>
    <t>'ROHN 6 EH',</t>
  </si>
  <si>
    <t>'50000',</t>
  </si>
  <si>
    <t>'A572-50',</t>
  </si>
  <si>
    <t>'35000',</t>
  </si>
  <si>
    <t>'A53-B-35',</t>
  </si>
  <si>
    <t>'36000',</t>
  </si>
  <si>
    <t>'A36',</t>
  </si>
  <si>
    <t>'ROHN 2.5 EH',</t>
  </si>
  <si>
    <t>'ROHN 2 STD',</t>
  </si>
  <si>
    <t>'Single Angle',</t>
  </si>
  <si>
    <t>'Solid Round',</t>
  </si>
  <si>
    <t>'ROHN 2.5 STD',</t>
  </si>
  <si>
    <t>'Double Angle',</t>
  </si>
  <si>
    <t>'ROHN 1.5 STD',</t>
  </si>
  <si>
    <t>'0.25',</t>
  </si>
  <si>
    <t>'1.05',</t>
  </si>
  <si>
    <t>'0.375',</t>
  </si>
  <si>
    <t>'1.1875',</t>
  </si>
  <si>
    <t>'1.03',</t>
  </si>
  <si>
    <t>'Mid-Point',</t>
  </si>
  <si>
    <t>'0.75',</t>
  </si>
  <si>
    <t>'Flange',</t>
  </si>
  <si>
    <t>'3',</t>
  </si>
  <si>
    <t>'2',</t>
  </si>
  <si>
    <t>'A325X',</t>
  </si>
  <si>
    <t>'0.625',</t>
  </si>
  <si>
    <t>'A325N',</t>
  </si>
  <si>
    <t>'0' )</t>
  </si>
  <si>
    <t xml:space="preserve"> </t>
  </si>
  <si>
    <t>TopLevelID,</t>
  </si>
  <si>
    <t>TowerRec</t>
  </si>
  <si>
    <t>TowerDatabase</t>
  </si>
  <si>
    <t>TowerName</t>
  </si>
  <si>
    <t>TowerHeight</t>
  </si>
  <si>
    <t>TowerFaceWidth</t>
  </si>
  <si>
    <t>TowerNumSections</t>
  </si>
  <si>
    <t>TowerSectionLength</t>
  </si>
  <si>
    <t>TowerDiagonalSpacing</t>
  </si>
  <si>
    <t>TowerDiagonalSpacingEx</t>
  </si>
  <si>
    <t>TowerBraceType</t>
  </si>
  <si>
    <t>K1 Down</t>
  </si>
  <si>
    <t>TowerFaceBevel</t>
  </si>
  <si>
    <t>TowerTopGirtOffset</t>
  </si>
  <si>
    <t>TowerBotGirtOffset</t>
  </si>
  <si>
    <t>TowerHasKBraceEndPanels</t>
  </si>
  <si>
    <t>No</t>
  </si>
  <si>
    <t>TowerHasHorizontals</t>
  </si>
  <si>
    <t>Yes</t>
  </si>
  <si>
    <t>TowerLegType</t>
  </si>
  <si>
    <t>Pipe</t>
  </si>
  <si>
    <t>TowerLegSize</t>
  </si>
  <si>
    <t>ROHN 6 EH</t>
  </si>
  <si>
    <t>TowerLegGrade</t>
  </si>
  <si>
    <t>TowerLegMatlGrade</t>
  </si>
  <si>
    <t>A572-50</t>
  </si>
  <si>
    <t>TowerDiagonalGrade</t>
  </si>
  <si>
    <t>TowerDiagonalMatlGrade</t>
  </si>
  <si>
    <t>A53-B-35</t>
  </si>
  <si>
    <t>TowerInnerBracingGrade</t>
  </si>
  <si>
    <t>TowerInnerBracingMatlGrade</t>
  </si>
  <si>
    <t>TowerTopGirtGrade</t>
  </si>
  <si>
    <t>TowerTopGirtMatlGrade</t>
  </si>
  <si>
    <t>A36</t>
  </si>
  <si>
    <t>TowerBotGirtGrade</t>
  </si>
  <si>
    <t>TowerBotGirtMatlGrade</t>
  </si>
  <si>
    <t>TowerInnerGirtGrade</t>
  </si>
  <si>
    <t>TowerInnerGirtMatlGrade</t>
  </si>
  <si>
    <t>TowerLongHorizontalGrade</t>
  </si>
  <si>
    <t>TowerLongHorizontalMatlGrade</t>
  </si>
  <si>
    <t>TowerShortHorizontalGrade</t>
  </si>
  <si>
    <t>TowerShortHorizontalMatlGrade</t>
  </si>
  <si>
    <t>TowerDiagonalType</t>
  </si>
  <si>
    <t>TowerDiagonalSize</t>
  </si>
  <si>
    <t>ROHN 2.5 EH</t>
  </si>
  <si>
    <t>TowerInnerBracingType</t>
  </si>
  <si>
    <t>TowerInnerBracingSize</t>
  </si>
  <si>
    <t>ROHN 2 STD</t>
  </si>
  <si>
    <t>TowerTopGirtType</t>
  </si>
  <si>
    <t>Single Angle</t>
  </si>
  <si>
    <t>TowerTopGirtSize</t>
  </si>
  <si>
    <t>TowerBotGirtType</t>
  </si>
  <si>
    <t>TowerBotGirtSize</t>
  </si>
  <si>
    <t>TowerNumInnerGirts</t>
  </si>
  <si>
    <t>TowerInnerGirtType</t>
  </si>
  <si>
    <t>Solid Round</t>
  </si>
  <si>
    <t>TowerInnerGirtSize</t>
  </si>
  <si>
    <t>TowerLongHorizontalType</t>
  </si>
  <si>
    <t>TowerLongHorizontalSize</t>
  </si>
  <si>
    <t>ROHN 2.5 STD</t>
  </si>
  <si>
    <t>TowerShortHorizontalType</t>
  </si>
  <si>
    <t>TowerShortHorizontalSize</t>
  </si>
  <si>
    <t>TowerRedundantHorizontalGrade</t>
  </si>
  <si>
    <t>TowerRedundantHorizontalGradeOverwrite</t>
  </si>
  <si>
    <t>TowerRedundantHorizontalMatlGrade</t>
  </si>
  <si>
    <t>TowerRedundantHorizontalMatlGradeOverwrite</t>
  </si>
  <si>
    <t>TowerRedundantHorizontalGrade2</t>
  </si>
  <si>
    <t>TowerRedundantHorizontalGrade2Overwrite</t>
  </si>
  <si>
    <t>TowerRedundantHorizontalMatlGrade2</t>
  </si>
  <si>
    <t>TowerRedundantHorizontalMatlGrade2Overwrite</t>
  </si>
  <si>
    <t>TowerRedundantHorizontalGrade3</t>
  </si>
  <si>
    <t>TowerRedundantHorizontalGrade3Overwrite</t>
  </si>
  <si>
    <t>TowerRedundantHorizontalMatlGrade3</t>
  </si>
  <si>
    <t>TowerRedundantHorizontalMatlGrade3Overwrite</t>
  </si>
  <si>
    <t>TowerRedundantHorizontalGrade4</t>
  </si>
  <si>
    <t>TowerRedundantHorizontalGrade4Overwrite</t>
  </si>
  <si>
    <t>TowerRedundantHorizontalMatlGrade4</t>
  </si>
  <si>
    <t>TowerRedundantHorizontalMatlGrade4Overwrite</t>
  </si>
  <si>
    <t>TowerRedundantDiagonalGrade</t>
  </si>
  <si>
    <t>TowerRedundantDiagonalGradeOverwrite</t>
  </si>
  <si>
    <t>TowerRedundantDiagonalMatlGrade</t>
  </si>
  <si>
    <t>TowerRedundantDiagonalMatlGradeOverwrite</t>
  </si>
  <si>
    <t>TowerRedundantDiagonalGrade2</t>
  </si>
  <si>
    <t>TowerRedundantDiagonalGrade2Overwrite</t>
  </si>
  <si>
    <t>TowerRedundantDiagonalMatlGrade2</t>
  </si>
  <si>
    <t>TowerRedundantDiagonalMatlGrade2Overwrite</t>
  </si>
  <si>
    <t>TowerRedundantDiagonalGrade3</t>
  </si>
  <si>
    <t>TowerRedundantDiagonalGrade3Overwrite</t>
  </si>
  <si>
    <t>TowerRedundantDiagonalMatlGrade3</t>
  </si>
  <si>
    <t>TowerRedundantDiagonalMatlGrade3Overwrite</t>
  </si>
  <si>
    <t>TowerRedundantDiagonalGrade4</t>
  </si>
  <si>
    <t>TowerRedundantDiagonalGrade4Overwrite</t>
  </si>
  <si>
    <t>TowerRedundantDiagonalMatlGrade4</t>
  </si>
  <si>
    <t>TowerRedundantDiagonalMatlGrade4Overwrite</t>
  </si>
  <si>
    <t>TowerRedundantSubHorizontalGrade</t>
  </si>
  <si>
    <t>TowerRedundantSubHorizontalGradeOverwrite</t>
  </si>
  <si>
    <t>TowerRedundantSubHorizontalMatlGrade</t>
  </si>
  <si>
    <t>TowerRedundantSubHorizontalMatlGradeOverwrite</t>
  </si>
  <si>
    <t>TowerRedundantSubDiagonalGrade</t>
  </si>
  <si>
    <t>TowerRedundantSubDiagonalGradeOverwrite</t>
  </si>
  <si>
    <t>TowerRedundantSubDiagonalMatlGrade</t>
  </si>
  <si>
    <t>TowerRedundantSubDiagonalMatlGradeOverwrite</t>
  </si>
  <si>
    <t>TowerRedundantVerticalGrade</t>
  </si>
  <si>
    <t>TowerRedundantVerticalGradeOverwrite</t>
  </si>
  <si>
    <t>TowerRedundantVerticalMatlGrade3</t>
  </si>
  <si>
    <t>TowerRedundantVerticalMatlGrade3Overwrite</t>
  </si>
  <si>
    <t>TowerRedundantHipGrade</t>
  </si>
  <si>
    <t>TowerRedundantHipGradeOverwrite</t>
  </si>
  <si>
    <t>TowerRedundantHipMatlGrade</t>
  </si>
  <si>
    <t>TowerRedundantHipMatlGradeOverwrite</t>
  </si>
  <si>
    <t>TowerRedundantHipGrade2</t>
  </si>
  <si>
    <t>TowerRedundantHipGrade2Overwrite</t>
  </si>
  <si>
    <t>TowerRedundantHipMatlGrade2</t>
  </si>
  <si>
    <t>TowerRedundantHipMatlGrade2Overwrite</t>
  </si>
  <si>
    <t>TowerRedundantHipGrade3</t>
  </si>
  <si>
    <t>TowerRedundantHipGrade3Overwrite</t>
  </si>
  <si>
    <t>TowerRedundantHipMatlGrade3</t>
  </si>
  <si>
    <t>TowerRedundantHipMatlGrade3Overwrite</t>
  </si>
  <si>
    <t>TowerRedundantHipGrade4</t>
  </si>
  <si>
    <t>TowerRedundantHipGrade4Overwrite</t>
  </si>
  <si>
    <t>TowerRedundantHipMatlGrade4</t>
  </si>
  <si>
    <t>TowerRedundantHipMatlGrade4Overwrite</t>
  </si>
  <si>
    <t>TowerRedundantHipDiagonalGrade</t>
  </si>
  <si>
    <t>TowerRedundantHipDiagonalGradeOverwrite</t>
  </si>
  <si>
    <t>TowerRedundantHipDiagonalMatlGrade</t>
  </si>
  <si>
    <t>TowerRedundantHipDiagonalMatlGradeOverwrite</t>
  </si>
  <si>
    <t>TowerRedundantHipDiagonalGrade2</t>
  </si>
  <si>
    <t>TowerRedundantHipDiagonalGrade2Overwrite</t>
  </si>
  <si>
    <t>TowerRedundantHipDiagonalMatlGrade2</t>
  </si>
  <si>
    <t>TowerRedundantHipDiagonalMatlGrade2Overwrite</t>
  </si>
  <si>
    <t>TowerRedundantHipDiagonalGrade3</t>
  </si>
  <si>
    <t>TowerRedundantHipDiagonalGrade3Overwrite</t>
  </si>
  <si>
    <t>TowerRedundantHipDiagonalMatlGrade3</t>
  </si>
  <si>
    <t>TowerRedundantHipDiagonalMatlGrade3Overwrite</t>
  </si>
  <si>
    <t>TowerRedundantHipDiagonalGrade4</t>
  </si>
  <si>
    <t>TowerRedundantHipDiagonalGrade4Overwrite</t>
  </si>
  <si>
    <t>TowerRedundantHipDiagonalMatlGrade4</t>
  </si>
  <si>
    <t>TowerRedundantHipDiagonalMatlGrade4Overwrite</t>
  </si>
  <si>
    <t>TowerRedundantHorizontalType</t>
  </si>
  <si>
    <t>TowerRedundantHorizontalType2</t>
  </si>
  <si>
    <t>TowerRedundantHorizontalType3</t>
  </si>
  <si>
    <t>TowerRedundantHorizontalType4</t>
  </si>
  <si>
    <t>TowerRedundantDiagType</t>
  </si>
  <si>
    <t>TowerRedundantDiagType2</t>
  </si>
  <si>
    <t>TowerRedundantDiagType3</t>
  </si>
  <si>
    <t>TowerRedundantDiagType4</t>
  </si>
  <si>
    <t>TowerRedundantSubDiagonalType</t>
  </si>
  <si>
    <t>Double Angle</t>
  </si>
  <si>
    <t>TowerRedundantSubHorizontalType</t>
  </si>
  <si>
    <t>TowerRedundantVerticalType</t>
  </si>
  <si>
    <t>TowerRedundantHipType</t>
  </si>
  <si>
    <t>TowerRedundantHipType2</t>
  </si>
  <si>
    <t>TowerRedundantHipType3</t>
  </si>
  <si>
    <t>TowerRedundantHipType4</t>
  </si>
  <si>
    <t>TowerRedundantHipDiagonalType</t>
  </si>
  <si>
    <t>TowerRedundantHipDiagonalType2</t>
  </si>
  <si>
    <t>TowerRedundantHipDiagonalType3</t>
  </si>
  <si>
    <t>TowerRedundantHipDiagonalType4</t>
  </si>
  <si>
    <t>TowerRedundantHorizontalSize</t>
  </si>
  <si>
    <t>ROHN 1.5 STD</t>
  </si>
  <si>
    <t>TowerRedundantHorizontalSize2</t>
  </si>
  <si>
    <t>TowerRedundantHorizontalSize3</t>
  </si>
  <si>
    <t>TowerRedundantHorizontalSize4</t>
  </si>
  <si>
    <t>TowerRedundantDiagonalSize</t>
  </si>
  <si>
    <t>TowerRedundantDiagonalSize2</t>
  </si>
  <si>
    <t>TowerRedundantDiagonalSize3</t>
  </si>
  <si>
    <t>TowerRedundantDiagonalSize4</t>
  </si>
  <si>
    <t>TowerRedundantSubHorizontalSize</t>
  </si>
  <si>
    <t>TowerRedundantSubDiagonalSize</t>
  </si>
  <si>
    <t>TowerSubDiagLocation</t>
  </si>
  <si>
    <t>TowerRedundantVerticalSize</t>
  </si>
  <si>
    <t>TowerRedundantHipSize</t>
  </si>
  <si>
    <t>TowerRedundantHipSize2</t>
  </si>
  <si>
    <t>TowerRedundantHipSize3</t>
  </si>
  <si>
    <t>TowerRedundantHipSize4</t>
  </si>
  <si>
    <t>TowerRedundantHipDiagonalSize</t>
  </si>
  <si>
    <t>TowerRedundantHipDiagonalSize2</t>
  </si>
  <si>
    <t>TowerRedundantHipDiagonalSize3</t>
  </si>
  <si>
    <t>TowerRedundantHipDiagonalSize4</t>
  </si>
  <si>
    <t>TowerSWMult</t>
  </si>
  <si>
    <t>TowerWPMult</t>
  </si>
  <si>
    <t>TowerAutoCalcKSingleAngle</t>
  </si>
  <si>
    <t>TowerAutoCalcKSolidRound</t>
  </si>
  <si>
    <t>TowerAfGusset</t>
  </si>
  <si>
    <t>TowerTfGusset</t>
  </si>
  <si>
    <t>TowerGussetBoltEdgeDistance</t>
  </si>
  <si>
    <t>TowerGussetGrade</t>
  </si>
  <si>
    <t>TowerGussetMatlGrade</t>
  </si>
  <si>
    <t>TowerAfMult</t>
  </si>
  <si>
    <t>TowerArMult</t>
  </si>
  <si>
    <t>TowerFlatIPAPole</t>
  </si>
  <si>
    <t>TowerRoundIPAPole</t>
  </si>
  <si>
    <t>TowerFlatIPALeg</t>
  </si>
  <si>
    <t>TowerRoundIPALeg</t>
  </si>
  <si>
    <t>TowerFlatIPAHorizontal</t>
  </si>
  <si>
    <t>TowerRoundIPAHorizontal</t>
  </si>
  <si>
    <t>TowerFlatIPADiagonal</t>
  </si>
  <si>
    <t>TowerRoundIPADiagonal</t>
  </si>
  <si>
    <t>TowerCSA_S37_SpeedUpFactor</t>
  </si>
  <si>
    <t>TowerKLegs</t>
  </si>
  <si>
    <t>TowerKXBracedDiags</t>
  </si>
  <si>
    <t>TowerKKBracedDiags</t>
  </si>
  <si>
    <t>TowerKZBracedDiags</t>
  </si>
  <si>
    <t>TowerKHorzs</t>
  </si>
  <si>
    <t>TowerKSecHorzs</t>
  </si>
  <si>
    <t>TowerKGirts</t>
  </si>
  <si>
    <t>TowerKInners</t>
  </si>
  <si>
    <t>TowerKXBracedDiagsY</t>
  </si>
  <si>
    <t>TowerKKBracedDiagsY</t>
  </si>
  <si>
    <t>TowerKZBracedDiagsY</t>
  </si>
  <si>
    <t>TowerKHorzsY</t>
  </si>
  <si>
    <t>TowerKSecHorzsY</t>
  </si>
  <si>
    <t>TowerKGirtsY</t>
  </si>
  <si>
    <t>TowerKInnersY</t>
  </si>
  <si>
    <t>TowerKRedHorz</t>
  </si>
  <si>
    <t>TowerKRedDiag</t>
  </si>
  <si>
    <t>TowerKRedSubDiag</t>
  </si>
  <si>
    <t>TowerKRedSubHorz</t>
  </si>
  <si>
    <t>TowerKRedVert</t>
  </si>
  <si>
    <t>TowerKRedHip</t>
  </si>
  <si>
    <t>TowerKRedHipDiag</t>
  </si>
  <si>
    <t>TowerKTLX</t>
  </si>
  <si>
    <t>TowerKTLZ</t>
  </si>
  <si>
    <t>TowerKTLLeg</t>
  </si>
  <si>
    <t>TowerInnerKTLX</t>
  </si>
  <si>
    <t>TowerInnerKTLZ</t>
  </si>
  <si>
    <t>TowerInnerKTLLeg</t>
  </si>
  <si>
    <t>TowerStitchBoltLocationHoriz</t>
  </si>
  <si>
    <t>Mid-Point</t>
  </si>
  <si>
    <t>TowerStitchBoltLocationDiag</t>
  </si>
  <si>
    <t>TowerStitchBoltLocationRed</t>
  </si>
  <si>
    <t>TowerStitchSpacing</t>
  </si>
  <si>
    <t>TowerStitchSpacingDiag</t>
  </si>
  <si>
    <t>TowerStitchSpacingHorz</t>
  </si>
  <si>
    <t>TowerStitchSpacingRed</t>
  </si>
  <si>
    <t>TowerLegNetWidthDeduct</t>
  </si>
  <si>
    <t>TowerLegUFactor</t>
  </si>
  <si>
    <t>TowerDiagonalNetWidthDeduct</t>
  </si>
  <si>
    <t>TowerTopGirtNetWidthDeduct</t>
  </si>
  <si>
    <t>TowerBotGirtNetWidthDeduct</t>
  </si>
  <si>
    <t>TowerInnerGirtNetWidthDeduct</t>
  </si>
  <si>
    <t>TowerHorizontalNetWidthDeduct</t>
  </si>
  <si>
    <t>TowerShortHorizontalNetWidthDeduct</t>
  </si>
  <si>
    <t>TowerDiagonalUFactor</t>
  </si>
  <si>
    <t>TowerTopGirtUFactor</t>
  </si>
  <si>
    <t>TowerBotGirtUFactor</t>
  </si>
  <si>
    <t>TowerInnerGirtUFactor</t>
  </si>
  <si>
    <t>TowerHorizontalUFactor</t>
  </si>
  <si>
    <t>TowerShortHorizontalUFactor</t>
  </si>
  <si>
    <t>TowerLegConnType</t>
  </si>
  <si>
    <t>Flange</t>
  </si>
  <si>
    <t>TowerLegNumBolts</t>
  </si>
  <si>
    <t>TowerDiagonalNumBolts</t>
  </si>
  <si>
    <t>TowerTopGirtNumBolts</t>
  </si>
  <si>
    <t>TowerBotGirtNumBolts</t>
  </si>
  <si>
    <t>TowerInnerGirtNumBolts</t>
  </si>
  <si>
    <t>TowerHorizontalNumBolts</t>
  </si>
  <si>
    <t>TowerShortHorizontalNumBolts</t>
  </si>
  <si>
    <t>TowerLegBoltGrade</t>
  </si>
  <si>
    <t>A325X</t>
  </si>
  <si>
    <t>TowerLegBoltSize</t>
  </si>
  <si>
    <t>TowerDiagonalBoltGrade</t>
  </si>
  <si>
    <t>TowerDiagonalBoltSize</t>
  </si>
  <si>
    <t>TowerTopGirtBoltGrade</t>
  </si>
  <si>
    <t>A325N</t>
  </si>
  <si>
    <t>TowerTopGirtBoltSize</t>
  </si>
  <si>
    <t>TowerBotGirtBoltGrade</t>
  </si>
  <si>
    <t>TowerBotGirtBoltSize</t>
  </si>
  <si>
    <t>TowerInnerGirtBoltGrade</t>
  </si>
  <si>
    <t>TowerInnerGirtBoltSize</t>
  </si>
  <si>
    <t>TowerHorizontalBoltGrade</t>
  </si>
  <si>
    <t>TowerHorizontalBoltSize</t>
  </si>
  <si>
    <t>TowerShortHorizontalBoltGrade</t>
  </si>
  <si>
    <t>TowerShortHorizontalBoltSize</t>
  </si>
  <si>
    <t>TowerLegBoltEdgeDistance</t>
  </si>
  <si>
    <t>TowerDiagonalBoltEdgeDistance</t>
  </si>
  <si>
    <t>TowerTopGirtBoltEdgeDistance</t>
  </si>
  <si>
    <t>TowerBotGirtBoltEdgeDistance</t>
  </si>
  <si>
    <t>TowerInnerGirtBoltEdgeDistance</t>
  </si>
  <si>
    <t>TowerHorizontalBoltEdgeDistance</t>
  </si>
  <si>
    <t>TowerShortHorizontalBoltEdgeDistance</t>
  </si>
  <si>
    <t>TowerDiagonalGageG1Distance</t>
  </si>
  <si>
    <t>TowerTopGirtGageG1Distance</t>
  </si>
  <si>
    <t>TowerBotGirtGageG1Distance</t>
  </si>
  <si>
    <t>TowerInnerGirtGageG1Distance</t>
  </si>
  <si>
    <t>TowerHorizontalGageG1Distance</t>
  </si>
  <si>
    <t>TowerShortHorizontalGageG1Distance</t>
  </si>
  <si>
    <t>TowerRedundantHorizontalBoltGrade1</t>
  </si>
  <si>
    <t>TowerRedundantHorizontalBoltSize1</t>
  </si>
  <si>
    <t>TowerRedundantHorizontalNumBolts1</t>
  </si>
  <si>
    <t>TowerRedundantHorizontalBoltEdgeDistance1</t>
  </si>
  <si>
    <t>TowerRedundantHorizontalGageG1Distance1</t>
  </si>
  <si>
    <t>TowerRedundantHorizontalNetWidthDeduct1</t>
  </si>
  <si>
    <t>TowerRedundantHorizontalUFactor1</t>
  </si>
  <si>
    <t>TowerRedundantHorizontalBoltGrade2</t>
  </si>
  <si>
    <t>TowerRedundantHorizontalBoltSize2</t>
  </si>
  <si>
    <t>TowerRedundantHorizontalNumBolts2</t>
  </si>
  <si>
    <t>TowerRedundantHorizontalBoltEdgeDistance2</t>
  </si>
  <si>
    <t>TowerRedundantHorizontalGageG1Distance2</t>
  </si>
  <si>
    <t>TowerRedundantHorizontalNetWidthDeduct2</t>
  </si>
  <si>
    <t>TowerRedundantHorizontalUFactor2</t>
  </si>
  <si>
    <t>TowerRedundantHorizontalBoltGrade3</t>
  </si>
  <si>
    <t>TowerRedundantHorizontalBoltSize3</t>
  </si>
  <si>
    <t>TowerRedundantHorizontalNumBolts3</t>
  </si>
  <si>
    <t>TowerRedundantHorizontalBoltEdgeDistance3</t>
  </si>
  <si>
    <t>TowerRedundantHorizontalGageG1Distance3</t>
  </si>
  <si>
    <t>TowerRedundantHorizontalNetWidthDeduct3</t>
  </si>
  <si>
    <t>TowerRedundantHorizontalUFactor3</t>
  </si>
  <si>
    <t>TowerRedundantHorizontalBoltGrade4</t>
  </si>
  <si>
    <t>TowerRedundantHorizontalBoltSize4</t>
  </si>
  <si>
    <t>TowerRedundantHorizontalNumBolts4</t>
  </si>
  <si>
    <t>TowerRedundantHorizontalBoltEdgeDistance4</t>
  </si>
  <si>
    <t>TowerRedundantHorizontalGageG1Distance4</t>
  </si>
  <si>
    <t>TowerRedundantHorizontalNetWidthDeduct4</t>
  </si>
  <si>
    <t>TowerRedundantHorizontalUFactor4</t>
  </si>
  <si>
    <t>TowerRedundantDiagonalBoltGrade1</t>
  </si>
  <si>
    <t>TowerRedundantDiagonalBoltSize1</t>
  </si>
  <si>
    <t>TowerRedundantDiagonalNumBolts1</t>
  </si>
  <si>
    <t>TowerRedundantDiagonalBoltEdgeDistance1</t>
  </si>
  <si>
    <t>TowerRedundantDiagonalGageG1Distance1</t>
  </si>
  <si>
    <t>TowerRedundantDiagonalNetWidthDeduct1</t>
  </si>
  <si>
    <t>TowerRedundantDiagonalUFactor1</t>
  </si>
  <si>
    <t>TowerRedundantDiagonalBoltGrade2</t>
  </si>
  <si>
    <t>TowerRedundantDiagonalBoltSize2</t>
  </si>
  <si>
    <t>TowerRedundantDiagonalNumBolts2</t>
  </si>
  <si>
    <t>TowerRedundantDiagonalBoltEdgeDistance2</t>
  </si>
  <si>
    <t>TowerRedundantDiagonalGageG1Distance2</t>
  </si>
  <si>
    <t>TowerRedundantDiagonalNetWidthDeduct2</t>
  </si>
  <si>
    <t>TowerRedundantDiagonalUFactor2</t>
  </si>
  <si>
    <t>TowerRedundantDiagonalBoltGrade3</t>
  </si>
  <si>
    <t>TowerRedundantDiagonalBoltSize3</t>
  </si>
  <si>
    <t>TowerRedundantDiagonalNumBolts3</t>
  </si>
  <si>
    <t>TowerRedundantDiagonalBoltEdgeDistance3</t>
  </si>
  <si>
    <t>TowerRedundantDiagonalGageG1Distance3</t>
  </si>
  <si>
    <t>TowerRedundantDiagonalNetWidthDeduct3</t>
  </si>
  <si>
    <t>TowerRedundantDiagonalUFactor3</t>
  </si>
  <si>
    <t>TowerRedundantDiagonalBoltGrade4</t>
  </si>
  <si>
    <t>TowerRedundantDiagonalBoltSize4</t>
  </si>
  <si>
    <t>TowerRedundantDiagonalNumBolts4</t>
  </si>
  <si>
    <t>TowerRedundantDiagonalBoltEdgeDistance4</t>
  </si>
  <si>
    <t>TowerRedundantDiagonalGageG1Distance4</t>
  </si>
  <si>
    <t>TowerRedundantDiagonalNetWidthDeduct4</t>
  </si>
  <si>
    <t>TowerRedundantDiagonalUFactor4</t>
  </si>
  <si>
    <t>TowerRedundantSubDiagonalBoltGrade</t>
  </si>
  <si>
    <t>TowerRedundantSubDiagonalBoltSize</t>
  </si>
  <si>
    <t>TowerRedundantSubDiagonalNumBolts</t>
  </si>
  <si>
    <t>TowerRedundantSubDiagonalBoltEdgeDistance</t>
  </si>
  <si>
    <t>TowerRedundantSubDiagonalGageG1Distance</t>
  </si>
  <si>
    <t>TowerRedundantSubDiagonalNetWidthDeduct</t>
  </si>
  <si>
    <t>TowerRedundantSubDiagonalUFactor</t>
  </si>
  <si>
    <t>TowerRedundantSubHorizontalBoltGrade</t>
  </si>
  <si>
    <t>TowerRedundantSubHorizontalBoltSize</t>
  </si>
  <si>
    <t>TowerRedundantSubHorizontalNumBolts</t>
  </si>
  <si>
    <t>TowerRedundantSubHorizontalBoltEdgeDistance</t>
  </si>
  <si>
    <t>TowerRedundantSubHorizontalGageG1Distance</t>
  </si>
  <si>
    <t>TowerRedundantSubHorizontalNetWidthDeduct</t>
  </si>
  <si>
    <t>TowerRedundantSubHorizontalUFactor</t>
  </si>
  <si>
    <t>TowerRedundantVerticalBoltGrade</t>
  </si>
  <si>
    <t>TowerRedundantVerticalBoltSize</t>
  </si>
  <si>
    <t>TowerRedundantVerticalNumBolts</t>
  </si>
  <si>
    <t>TowerRedundantVerticalBoltEdgeDistance</t>
  </si>
  <si>
    <t>TowerRedundantVerticalGageG1Distance</t>
  </si>
  <si>
    <t>TowerRedundantVerticalNetWidthDeduct</t>
  </si>
  <si>
    <t>TowerRedundantVerticalUFactor</t>
  </si>
  <si>
    <t>TowerRedundantHipBoltGrade1</t>
  </si>
  <si>
    <t>TowerRedundantHipBoltSize1</t>
  </si>
  <si>
    <t>TowerRedundantHipNumBolts1</t>
  </si>
  <si>
    <t>TowerRedundantHipBoltEdgeDistance1</t>
  </si>
  <si>
    <t>TowerRedundantHipGageG1Distance1</t>
  </si>
  <si>
    <t>TowerRedundantHipNetWidthDeduct1</t>
  </si>
  <si>
    <t>TowerRedundantHipUFactor1</t>
  </si>
  <si>
    <t>TowerRedundantHipBoltGrade2</t>
  </si>
  <si>
    <t>TowerRedundantHipBoltSize2</t>
  </si>
  <si>
    <t>TowerRedundantHipNumBolts2</t>
  </si>
  <si>
    <t>TowerRedundantHipBoltEdgeDistance2</t>
  </si>
  <si>
    <t>TowerRedundantHipGageG1Distance2</t>
  </si>
  <si>
    <t>TowerRedundantHipNetWidthDeduct2</t>
  </si>
  <si>
    <t>TowerRedundantHipUFactor2</t>
  </si>
  <si>
    <t>TowerRedundantHipBoltGrade3</t>
  </si>
  <si>
    <t>TowerRedundantHipBoltSize3</t>
  </si>
  <si>
    <t>TowerRedundantHipNumBolts3</t>
  </si>
  <si>
    <t>TowerRedundantHipBoltEdgeDistance3</t>
  </si>
  <si>
    <t>TowerRedundantHipGageG1Distance3</t>
  </si>
  <si>
    <t>TowerRedundantHipNetWidthDeduct3</t>
  </si>
  <si>
    <t>TowerRedundantHipUFactor3</t>
  </si>
  <si>
    <t>TowerRedundantHipBoltGrade4</t>
  </si>
  <si>
    <t>TowerRedundantHipBoltSize4</t>
  </si>
  <si>
    <t>TowerRedundantHipNumBolts4</t>
  </si>
  <si>
    <t>TowerRedundantHipBoltEdgeDistance4</t>
  </si>
  <si>
    <t>TowerRedundantHipGageG1Distance4</t>
  </si>
  <si>
    <t>TowerRedundantHipNetWidthDeduct4</t>
  </si>
  <si>
    <t>TowerRedundantHipUFactor4</t>
  </si>
  <si>
    <t>TowerRedundantHipDiagonalBoltGrade1</t>
  </si>
  <si>
    <t>TowerRedundantHipDiagonalBoltSize1</t>
  </si>
  <si>
    <t>TowerRedundantHipDiagonalNumBolts1</t>
  </si>
  <si>
    <t>TowerRedundantHipDiagonalBoltEdgeDistance1</t>
  </si>
  <si>
    <t>TowerRedundantHipDiagonalGageG1Distance1</t>
  </si>
  <si>
    <t>TowerRedundantHipDiagonalNetWidthDeduct1</t>
  </si>
  <si>
    <t>TowerRedundantHipDiagonalUFactor1</t>
  </si>
  <si>
    <t>TowerRedundantHipDiagonalBoltGrade2</t>
  </si>
  <si>
    <t>TowerRedundantHipDiagonalBoltSize2</t>
  </si>
  <si>
    <t>TowerRedundantHipDiagonalNumBolts2</t>
  </si>
  <si>
    <t>TowerRedundantHipDiagonalBoltEdgeDistance2</t>
  </si>
  <si>
    <t>TowerRedundantHipDiagonalGageG1Distance2</t>
  </si>
  <si>
    <t>TowerRedundantHipDiagonalNetWidthDeduct2</t>
  </si>
  <si>
    <t>TowerRedundantHipDiagonalUFactor2</t>
  </si>
  <si>
    <t>TowerRedundantHipDiagonalBoltGrade3</t>
  </si>
  <si>
    <t>TowerRedundantHipDiagonalBoltSize3</t>
  </si>
  <si>
    <t>TowerRedundantHipDiagonalNumBolts3</t>
  </si>
  <si>
    <t>TowerRedundantHipDiagonalBoltEdgeDistance3</t>
  </si>
  <si>
    <t>TowerRedundantHipDiagonalGageG1Distance3</t>
  </si>
  <si>
    <t>TowerRedundantHipDiagonalNetWidthDeduct3</t>
  </si>
  <si>
    <t>TowerRedundantHipDiagonalUFactor3</t>
  </si>
  <si>
    <t>TowerRedundantHipDiagonalBoltGrade4</t>
  </si>
  <si>
    <t>TowerRedundantHipDiagonalBoltSize4</t>
  </si>
  <si>
    <t>TowerRedundantHipDiagonalNumBolts4</t>
  </si>
  <si>
    <t>TowerRedundantHipDiagonalBoltEdgeDistance4</t>
  </si>
  <si>
    <t>TowerRedundantHipDiagonalGageG1Distance4</t>
  </si>
  <si>
    <t>TowerRedundantHipDiagonalNetWidthDeduct4</t>
  </si>
  <si>
    <t>TowerRedundantHipDiagonalUFactor4</t>
  </si>
  <si>
    <t>TowerDiagonalOutOfPlaneRestraint</t>
  </si>
  <si>
    <t>TowerTopGirtOutOfPlaneRestraint</t>
  </si>
  <si>
    <t>TowerBottomGirtOutOfPlaneRestraint</t>
  </si>
  <si>
    <t>TowerMidGirtOutOfPlaneRestraint</t>
  </si>
  <si>
    <t>TowerHorizontalOutOfPlaneRestraint</t>
  </si>
  <si>
    <t>TowerSecondaryHorizontalOutOfPlaneRestraint</t>
  </si>
  <si>
    <t>TowerUniqueFlag</t>
  </si>
  <si>
    <t>TowerDiagOffsetNEY</t>
  </si>
  <si>
    <t>TowerDiagOffsetNEX</t>
  </si>
  <si>
    <t>TowerDiagOffsetPEY</t>
  </si>
  <si>
    <t>TowerDiagOffsetPEX</t>
  </si>
  <si>
    <t>TowerKbraceOffsetNEY</t>
  </si>
  <si>
    <t>TowerKbraceOffsetNEX</t>
  </si>
  <si>
    <t>TowerKbraceOffsetPEY</t>
  </si>
  <si>
    <t>TowerKbraceOffsetPEX</t>
  </si>
  <si>
    <t>Column</t>
  </si>
  <si>
    <t>6)</t>
  </si>
  <si>
    <t>int</t>
  </si>
  <si>
    <t>tnx_id</t>
  </si>
  <si>
    <t>nvarchar(1000)</t>
  </si>
  <si>
    <t>decimal(18,</t>
  </si>
  <si>
    <t>nvarchar(100)</t>
  </si>
  <si>
    <t>bit</t>
  </si>
  <si>
    <t>TowerRedundantGrade</t>
  </si>
  <si>
    <t>TowerRedundantMatlGrade</t>
  </si>
  <si>
    <t>TowerRedundantType</t>
  </si>
  <si>
    <t>TowerRedundantHorizontalBoltGrade</t>
  </si>
  <si>
    <t>TowerRedundantHorizontalBoltSize</t>
  </si>
  <si>
    <t>TowerRedundantHorizontalNumBolts</t>
  </si>
  <si>
    <t>TowerRedundantHorizontalBoltEdgeDistance</t>
  </si>
  <si>
    <t>TowerRedundantHorizontalGageG1Distance</t>
  </si>
  <si>
    <t>TowerRedundantHorizontalNetWidthDeduct</t>
  </si>
  <si>
    <t>TowerRedundantHorizontalUFactor</t>
  </si>
  <si>
    <t>TowerRedundantDiagonalBoltGrade</t>
  </si>
  <si>
    <t>TowerRedundantDiagonalBoltSize</t>
  </si>
  <si>
    <t>TowerRedundantDiagonalNumBolts</t>
  </si>
  <si>
    <t>TowerRedundantDiagonalBoltEdgeDistance</t>
  </si>
  <si>
    <t>TowerRedundantDiagonalGageG1Distance</t>
  </si>
  <si>
    <t>TowerRedundantDiagonalNetWidthDeduct</t>
  </si>
  <si>
    <t>TowerRedundantDiagonalUFactor</t>
  </si>
  <si>
    <t>TowerRedundantHipBoltGrade</t>
  </si>
  <si>
    <t>TowerRedundantHipBoltSize</t>
  </si>
  <si>
    <t>TowerRedundantHipNumBolts</t>
  </si>
  <si>
    <t>TowerRedundantHipBoltEdgeDistance</t>
  </si>
  <si>
    <t>TowerRedundantHipGageG1Distance</t>
  </si>
  <si>
    <t>TowerRedundantHipNetWidthDeduct</t>
  </si>
  <si>
    <t>TowerRedundantHipUFactor</t>
  </si>
  <si>
    <t>TowerRedundantHipDiagonalBoltGrade</t>
  </si>
  <si>
    <t>TowerRedundantHipDiagonalBoltSize</t>
  </si>
  <si>
    <t>TowerRedundantHipDiagonalNumBolts</t>
  </si>
  <si>
    <t>TowerRedundantHipDiagonalBoltEdgeDistance</t>
  </si>
  <si>
    <t>TowerRedundantHipDiagonalGageG1Distance</t>
  </si>
  <si>
    <t>TowerRedundantHipDiagonalNetWidthDeduct</t>
  </si>
  <si>
    <t>TowerRedundantHipDiagonalUFactor</t>
  </si>
  <si>
    <t>In Structure Creation?</t>
  </si>
  <si>
    <t>In EDS Table?</t>
  </si>
  <si>
    <t>ID</t>
  </si>
  <si>
    <t>Unchecked</t>
  </si>
  <si>
    <t>tnxID</t>
  </si>
  <si>
    <t>Checked</t>
  </si>
  <si>
    <t>varchar(25)</t>
  </si>
  <si>
    <t>varchar(1000)</t>
  </si>
  <si>
    <t>varchar(50)</t>
  </si>
  <si>
    <t>In Predictive DB?</t>
  </si>
  <si>
    <t>AntennaRec</t>
  </si>
  <si>
    <t>AntennaBraceType</t>
  </si>
  <si>
    <t>AntennaHeight</t>
  </si>
  <si>
    <t>AntennaDiagonalSpacing</t>
  </si>
  <si>
    <t>AntennaDiagonalSpacingEx</t>
  </si>
  <si>
    <t>AntennaNumSections</t>
  </si>
  <si>
    <t>AntennaNumSesctions</t>
  </si>
  <si>
    <t>AntennaSectionLength</t>
  </si>
  <si>
    <t>AntennaLegType</t>
  </si>
  <si>
    <t>AntennaLegSize</t>
  </si>
  <si>
    <t>AntennaLegGrade</t>
  </si>
  <si>
    <t>AntennaLegMatlGrade</t>
  </si>
  <si>
    <t>AntennaDiagonalGrade</t>
  </si>
  <si>
    <t>AntennaDiagonalMatlGrade</t>
  </si>
  <si>
    <t>AntennaInnerBracingGrade</t>
  </si>
  <si>
    <t>AntennaInnerBracingMatlGrade</t>
  </si>
  <si>
    <t>AntennaTopGirtGrade</t>
  </si>
  <si>
    <t>AntennaTopGirtMatlGrade</t>
  </si>
  <si>
    <t>AntennaBotGirtGrade</t>
  </si>
  <si>
    <t>AntennaBotGirtMatlGrade</t>
  </si>
  <si>
    <t>AntennaInnerGirtGrade</t>
  </si>
  <si>
    <t>AntennaInnerGirtMatlGrade</t>
  </si>
  <si>
    <t>AntennaLongHorizontalGrade</t>
  </si>
  <si>
    <t>AntennaLongHorizontalMatlGrade</t>
  </si>
  <si>
    <t>AntennaShortHorizontalGrade</t>
  </si>
  <si>
    <t>AntennaShortHorizontalMatlGrade</t>
  </si>
  <si>
    <t>AntennaDiagonalType</t>
  </si>
  <si>
    <t>AntennaDiagonalSize</t>
  </si>
  <si>
    <t>AntennaInnerBracingType</t>
  </si>
  <si>
    <t>AntennaInnerBracingSize</t>
  </si>
  <si>
    <t>AntennaTopGirtType</t>
  </si>
  <si>
    <t>AntennaTopGirtSize</t>
  </si>
  <si>
    <t>AntennaBotGirtType</t>
  </si>
  <si>
    <t>AntennaBotGirtSize</t>
  </si>
  <si>
    <t>AntennaTopGirtOffset</t>
  </si>
  <si>
    <t>AntennaBotGirtOffset</t>
  </si>
  <si>
    <t>AntennaHasKBraceEndPanels</t>
  </si>
  <si>
    <t>AntennaHasHorizontals</t>
  </si>
  <si>
    <t>AntennaLongHorizontalType</t>
  </si>
  <si>
    <t>AntennaLongHorizontalSize</t>
  </si>
  <si>
    <t>AntennaShortHorizontalType</t>
  </si>
  <si>
    <t>AntennaShortHorizontalSize</t>
  </si>
  <si>
    <t>AntennaRedundantGrade</t>
  </si>
  <si>
    <t>AntennaRedundantMatlGrade</t>
  </si>
  <si>
    <t>AntennaRedundantType</t>
  </si>
  <si>
    <t>AntennaRedundantDiagType</t>
  </si>
  <si>
    <t>AntennaRedundantSubDiagonalType</t>
  </si>
  <si>
    <t>AntennaRedundantSubHorizontalType</t>
  </si>
  <si>
    <t>AntennaRedundantVerticalType</t>
  </si>
  <si>
    <t>AntennaRedundantHipType</t>
  </si>
  <si>
    <t>AntennaRedundantHipDiagonalType</t>
  </si>
  <si>
    <t>AntennaRedundantHorizontalSize</t>
  </si>
  <si>
    <t>AntennaRedundantHorizontalSize2</t>
  </si>
  <si>
    <t>AntennaRedundantHorizontalSize3</t>
  </si>
  <si>
    <t>AntennaRedundantHorizontalSize4</t>
  </si>
  <si>
    <t>AntennaRedundantDiagonalSize</t>
  </si>
  <si>
    <t>AntennaRedundantDiagonalSize2</t>
  </si>
  <si>
    <t>AntennaRedundantDiagonalSize3</t>
  </si>
  <si>
    <t>AntennaRedundantDiagonalSize4</t>
  </si>
  <si>
    <t>AntennaRedundantSubHorizontalSize</t>
  </si>
  <si>
    <t>AntennaRedundantSubDiagonalSize</t>
  </si>
  <si>
    <t>AntennaSubDiagLocation</t>
  </si>
  <si>
    <t>AntennaRedundantVerticalSize</t>
  </si>
  <si>
    <t>AntennaRedundantHipDiagonalSize</t>
  </si>
  <si>
    <t>AntennaRedundantHipDiagonalSize2</t>
  </si>
  <si>
    <t>AntennaRedundantHipDiagonalSize3</t>
  </si>
  <si>
    <t>AntennaRedundantHipDiagonalSize4</t>
  </si>
  <si>
    <t>AntennaRedundantHipSize</t>
  </si>
  <si>
    <t>AntennaRedundantHipSize2</t>
  </si>
  <si>
    <t>AntennaRedundantHipSize3</t>
  </si>
  <si>
    <t>AntennaRedundantHipSize4</t>
  </si>
  <si>
    <t>AntennaNumInnerGirts</t>
  </si>
  <si>
    <t>AntennaInnerGirtType</t>
  </si>
  <si>
    <t>AntennaInnerGirtSize</t>
  </si>
  <si>
    <t>AntennaPoleShapeType</t>
  </si>
  <si>
    <t>AntennaPoleSize</t>
  </si>
  <si>
    <t>AntennaPoleGrade</t>
  </si>
  <si>
    <t>AntennaPoleMatlGrade</t>
  </si>
  <si>
    <t>AntennaPoleSpliceLength</t>
  </si>
  <si>
    <t>AntennaTaperPoleNumSides</t>
  </si>
  <si>
    <t>AntennaTaperPoleTopDiameter</t>
  </si>
  <si>
    <t>AntennaTaperPoleBotDiameter</t>
  </si>
  <si>
    <t>AntennaTaperPoleWallThickness</t>
  </si>
  <si>
    <t>AntennaTaperPoleBendRadius</t>
  </si>
  <si>
    <t>AntennaTaperPoleGrade</t>
  </si>
  <si>
    <t>AntennaTaperPoleMatlGrade</t>
  </si>
  <si>
    <t>AntennaSWMult</t>
  </si>
  <si>
    <t>AntennaWPMult</t>
  </si>
  <si>
    <t>AntennaAutoCalcKSingleAngle</t>
  </si>
  <si>
    <t>AntennaAutoCalcKSolidRound</t>
  </si>
  <si>
    <t>AntennaAfGusset</t>
  </si>
  <si>
    <t>AntennaTfGusset</t>
  </si>
  <si>
    <t>AntennaGussetBoltEdgeDistance</t>
  </si>
  <si>
    <t>AntennaGussetGrade</t>
  </si>
  <si>
    <t>AntennaGussetMatlGrade</t>
  </si>
  <si>
    <t>AntennaAfMult</t>
  </si>
  <si>
    <t>AntennaArMult</t>
  </si>
  <si>
    <t>AntennaFlatIPAPole</t>
  </si>
  <si>
    <t>AntennaRoundIPAPole</t>
  </si>
  <si>
    <t>AntennaFlatIPALeg</t>
  </si>
  <si>
    <t>AntennaRoundIPALeg</t>
  </si>
  <si>
    <t>AntennaFlatIPAHorizontal</t>
  </si>
  <si>
    <t>AntennaRoundIPAHorizontal</t>
  </si>
  <si>
    <t>AntennaFlatIPADiagonal</t>
  </si>
  <si>
    <t>AntennaRoundIPADiagonal</t>
  </si>
  <si>
    <t>AntennaCSA_S37_SpeedUpFactor</t>
  </si>
  <si>
    <t>AntennaKLegs</t>
  </si>
  <si>
    <t>AntennaKXBracedDiags</t>
  </si>
  <si>
    <t>AntennaKKBracedDiags</t>
  </si>
  <si>
    <t>AntennaKZBracedDiags</t>
  </si>
  <si>
    <t>AntennaKHorzs</t>
  </si>
  <si>
    <t>AntennaKSecHorzs</t>
  </si>
  <si>
    <t>AntennaKGirts</t>
  </si>
  <si>
    <t>AntennaKInners</t>
  </si>
  <si>
    <t>AntennaKXBracedDiagsY</t>
  </si>
  <si>
    <t>AntennaKKBracedDiagsY</t>
  </si>
  <si>
    <t>AntennaKZBracedDiagsY</t>
  </si>
  <si>
    <t>AntennaKHorzsY</t>
  </si>
  <si>
    <t>AntennaKSecHorzsY</t>
  </si>
  <si>
    <t>AntennaKGirtsY</t>
  </si>
  <si>
    <t>AntennaKInnersY</t>
  </si>
  <si>
    <t>AntennaKRedHorz</t>
  </si>
  <si>
    <t>AntennaKRedDiag</t>
  </si>
  <si>
    <t>AntennaKRedSubDiag</t>
  </si>
  <si>
    <t>AntennaKRedSubHorz</t>
  </si>
  <si>
    <t>AntennaKRedVert</t>
  </si>
  <si>
    <t>AntennaKRedHip</t>
  </si>
  <si>
    <t>AntennaKRedHipDiag</t>
  </si>
  <si>
    <t>AntennaKTLX</t>
  </si>
  <si>
    <t>AntennaKTLZ</t>
  </si>
  <si>
    <t>AntennaKTLLeg</t>
  </si>
  <si>
    <t>AntennaInnerKTLX</t>
  </si>
  <si>
    <t>AntennaInnerKTLZ</t>
  </si>
  <si>
    <t>AntennaInnerKTLLeg</t>
  </si>
  <si>
    <t>AntennaStitchBoltLocationHoriz</t>
  </si>
  <si>
    <t>AntennaStitchBoltLocationDiag</t>
  </si>
  <si>
    <t>AntennaStitchSpacing</t>
  </si>
  <si>
    <t>AntennaStitchSpacingHorz</t>
  </si>
  <si>
    <t>AntennaStitchSpacingDiag</t>
  </si>
  <si>
    <t>AntennaStitchSpacingRed</t>
  </si>
  <si>
    <t>AntennaLegNetWidthDeduct</t>
  </si>
  <si>
    <t>AntennaLegUFactor</t>
  </si>
  <si>
    <t>AntennaDiagonalNetWidthDeduct</t>
  </si>
  <si>
    <t>AntennaTopGirtNetWidthDeduct</t>
  </si>
  <si>
    <t>AntennaBotGirtNetWidthDeduct</t>
  </si>
  <si>
    <t>AntennaInnerGirtNetWidthDeduct</t>
  </si>
  <si>
    <t>AntennaHorizontalNetWidthDeduct1</t>
  </si>
  <si>
    <t>AntennaHorizontalNetWidthDeduct2</t>
  </si>
  <si>
    <t>AntennaShortHorizontalNetWidthDeduct</t>
  </si>
  <si>
    <t>AntennaDiagonalUFactor</t>
  </si>
  <si>
    <t>AntennaTopGirtUFactor</t>
  </si>
  <si>
    <t>AntennaBotGirtUFactor</t>
  </si>
  <si>
    <t>AntennaInnerGirtUFactor</t>
  </si>
  <si>
    <t>AntennaHorizontalUFactor</t>
  </si>
  <si>
    <t>AntennaShortHorizontalUFactor</t>
  </si>
  <si>
    <t>AntennaLegConnType</t>
  </si>
  <si>
    <t>AntennaLegNumBolts</t>
  </si>
  <si>
    <t>AntennaDiagonalNumBolts</t>
  </si>
  <si>
    <t>AntennaTopGirtNumBolts</t>
  </si>
  <si>
    <t>AntennaBotGirtNumBolts</t>
  </si>
  <si>
    <t>AntennaInnerGirtNumBolts</t>
  </si>
  <si>
    <t>AntennaHorizontalNumBolts</t>
  </si>
  <si>
    <t>AntennaShortHorizontalNumBolts</t>
  </si>
  <si>
    <t>AntennaLegBoltGrade</t>
  </si>
  <si>
    <t>AntennaLegBoltSize</t>
  </si>
  <si>
    <t>AntennaDiagonalBoltGrade</t>
  </si>
  <si>
    <t>AntennaDiagonalBoltSize</t>
  </si>
  <si>
    <t>AntennaTopGirtBoltGrade</t>
  </si>
  <si>
    <t>AntennaTopGirtBoltSize</t>
  </si>
  <si>
    <t>AntennaBotGirtBoltGrade</t>
  </si>
  <si>
    <t>AntennaBotGirtBoltSize</t>
  </si>
  <si>
    <t>AntennaInnerGirtBoltGrade</t>
  </si>
  <si>
    <t>AntennaInnerGirtBoltSize</t>
  </si>
  <si>
    <t>AntennaHorizontalBoltGrade</t>
  </si>
  <si>
    <t>AntennaHorizontalBoltSize</t>
  </si>
  <si>
    <t>AntennaShortHorizontalBoltGrade</t>
  </si>
  <si>
    <t>AntennaShortHorizontalBoltSize</t>
  </si>
  <si>
    <t>AntennaLegBoltEdgeDistance</t>
  </si>
  <si>
    <t>AntennaDiagonalBoltEdgeDistance</t>
  </si>
  <si>
    <t>AntennaTopGirtBoltEdgeDistance</t>
  </si>
  <si>
    <t>AntennaBotGirtBoltEdgeDistance</t>
  </si>
  <si>
    <t>AntennaInnerGirtBoltEdgeDistance</t>
  </si>
  <si>
    <t>AntennaHorizontalBoltEdgeDistance</t>
  </si>
  <si>
    <t>AntennaShortHorizontalBoltEdgeDistance</t>
  </si>
  <si>
    <t>AntennaDiagonalGageG1Distance</t>
  </si>
  <si>
    <t>AntennaTopGirtGageG1Distance</t>
  </si>
  <si>
    <t>AntennaBotGirtGageG1Distance</t>
  </si>
  <si>
    <t>AntennaInnerGirtGageG1Distance</t>
  </si>
  <si>
    <t>AntennaHorizontalGageG1Distance</t>
  </si>
  <si>
    <t>AntennaShortHorizontalGageG1Distance</t>
  </si>
  <si>
    <t>AntennaDiagOffsetNEY</t>
  </si>
  <si>
    <t>AntennaDiagOffsetNEX</t>
  </si>
  <si>
    <t>AntennaDiagOffsetPEY</t>
  </si>
  <si>
    <t>AntennaDiagOffsetPEX</t>
  </si>
  <si>
    <t>AntennaKbraceOffsetNEY</t>
  </si>
  <si>
    <t>AntennaKbraceOffsetNEX</t>
  </si>
  <si>
    <t>AntennaKbraceOffsetPEY</t>
  </si>
  <si>
    <t>AntennaKbraceOffsetPEX</t>
  </si>
  <si>
    <t>nvarchar(50)</t>
  </si>
  <si>
    <t>AntennaHorizontalNetWidthDeduct</t>
  </si>
  <si>
    <t>AntennaRedundantHorizontalBoltGrade</t>
  </si>
  <si>
    <t>AntennaRedundantHorizontalBoltSize</t>
  </si>
  <si>
    <t>AntennaRedundantHorizontalNumBolts</t>
  </si>
  <si>
    <t>AntennaRedundantHorizontalBoltEdgeDistance</t>
  </si>
  <si>
    <t>AntennaRedundantHorizontalGageG1Distance</t>
  </si>
  <si>
    <t>AntennaRedundantHorizontalNetWidthDeduct</t>
  </si>
  <si>
    <t>AntennaRedundantHorizontalUFactor</t>
  </si>
  <si>
    <t>AntennaRedundantDiagonalBoltGrade</t>
  </si>
  <si>
    <t>AntennaRedundantDiagonalBoltSize</t>
  </si>
  <si>
    <t>AntennaRedundantDiagonalNumBolts</t>
  </si>
  <si>
    <t>AntennaRedundantDiagonalBoltEdgeDistance</t>
  </si>
  <si>
    <t>AntennaRedundantDiagonalGageG1Distance</t>
  </si>
  <si>
    <t>AntennaRedundantDiagonalNetWidthDeduct</t>
  </si>
  <si>
    <t>AntennaRedundantDiagonalUFactor</t>
  </si>
  <si>
    <t>AntennaRedundantSubDiagonalBoltGrade</t>
  </si>
  <si>
    <t>AntennaRedundantSubDiagonalBoltSize</t>
  </si>
  <si>
    <t>AntennaRedundantSubDiagonalNumBolts</t>
  </si>
  <si>
    <t>AntennaRedundantSubDiagonalBoltEdgeDistance</t>
  </si>
  <si>
    <t>AntennaRedundantSubDiagonalGageG1Distance</t>
  </si>
  <si>
    <t>AntennaRedundantSubDiagonalNetWidthDeduct</t>
  </si>
  <si>
    <t>AntennaRedundantSubDiagonalUFactor</t>
  </si>
  <si>
    <t>AntennaRedundantSubHorizontalBoltGrade</t>
  </si>
  <si>
    <t>AntennaRedundantSubHorizontalBoltSize</t>
  </si>
  <si>
    <t>AntennaRedundantSubHorizontalNumBolts</t>
  </si>
  <si>
    <t>AntennaRedundantSubHorizontalBoltEdgeDistance</t>
  </si>
  <si>
    <t>AntennaRedundantSubHorizontalGageG1Distance</t>
  </si>
  <si>
    <t>AntennaRedundantSubHorizontalNetWidthDeduct</t>
  </si>
  <si>
    <t>AntennaRedundantSubHorizontalUFactor</t>
  </si>
  <si>
    <t>AntennaRedundantVerticalBoltGrade</t>
  </si>
  <si>
    <t>AntennaRedundantVerticalBoltSize</t>
  </si>
  <si>
    <t>AntennaRedundantVerticalNumBolts</t>
  </si>
  <si>
    <t>AntennaRedundantVerticalBoltEdgeDistance</t>
  </si>
  <si>
    <t>AntennaRedundantVerticalGageG1Distance</t>
  </si>
  <si>
    <t>AntennaRedundantVerticalNetWidthDeduct</t>
  </si>
  <si>
    <t>AntennaRedundantVerticalUFactor</t>
  </si>
  <si>
    <t>AntennaRedundantHipBoltGrade</t>
  </si>
  <si>
    <t>AntennaRedundantHipBoltSize</t>
  </si>
  <si>
    <t>AntennaRedundantHipNumBolts</t>
  </si>
  <si>
    <t>AntennaRedundantHipBoltEdgeDistance</t>
  </si>
  <si>
    <t>AntennaRedundantHipGageG1Distance</t>
  </si>
  <si>
    <t>AntennaRedundantHipNetWidthDeduct</t>
  </si>
  <si>
    <t>AntennaRedundantHipUFactor</t>
  </si>
  <si>
    <t>AntennaRedundantHipDiagonalBoltGrade</t>
  </si>
  <si>
    <t>AntennaRedundantHipDiagonalBoltSize</t>
  </si>
  <si>
    <t>AntennaRedundantHipDiagonalNumBolts</t>
  </si>
  <si>
    <t>AntennaRedundantHipDiagonalBoltEdgeDistance</t>
  </si>
  <si>
    <t>AntennaRedundantHipDiagonalGageG1Distance</t>
  </si>
  <si>
    <t>AntennaRedundantHipDiagonalNetWidthDeduct</t>
  </si>
  <si>
    <t>AntennaRedundantHipDiagonalUFactor</t>
  </si>
  <si>
    <t>AntennaDiagonalOutOfPlaneRestraint</t>
  </si>
  <si>
    <t>AntennaTopGirtOutOfPlaneRestraint</t>
  </si>
  <si>
    <t>AntennaBottomGirtOutOfPlaneRestraint</t>
  </si>
  <si>
    <t>AntennaMidGirtOutOfPlaneRestraint</t>
  </si>
  <si>
    <t>AntennaHorizontalOutOfPlaneRestraint</t>
  </si>
  <si>
    <t>AntennaSecondaryHorizontalOutOfPlaneRestraint</t>
  </si>
  <si>
    <t>2L3x3x1/4</t>
  </si>
  <si>
    <t>Length</t>
  </si>
  <si>
    <t>VValues</t>
  </si>
  <si>
    <t>NumAntennaRecs</t>
  </si>
  <si>
    <t>NumTowerRecs</t>
  </si>
  <si>
    <t>Diamond</t>
  </si>
  <si>
    <t>Portal</t>
  </si>
  <si>
    <t>Z Brace</t>
  </si>
  <si>
    <t>Double K4A</t>
  </si>
  <si>
    <t>M Brace</t>
  </si>
  <si>
    <t>K4A Down</t>
  </si>
  <si>
    <t>Cranked K2</t>
  </si>
  <si>
    <t>Flat Bar</t>
  </si>
  <si>
    <t>1x1/2</t>
  </si>
  <si>
    <t>AntennaRedundantHorizontalGrade</t>
  </si>
  <si>
    <t>AntennaRedundantHorizontalMatlGrade</t>
  </si>
  <si>
    <t>AntennaRedundantHorizontalGrade2</t>
  </si>
  <si>
    <t>AntennaRedundantHorizontalMatlGrade2</t>
  </si>
  <si>
    <t>AntennaRedundantHorizontalGrade3</t>
  </si>
  <si>
    <t>AntennaRedundantHorizontalMatlGrade3</t>
  </si>
  <si>
    <t>AntennaRedundantHorizontalGrade4</t>
  </si>
  <si>
    <t>AntennaRedundantHorizontalMatlGrade4</t>
  </si>
  <si>
    <t>AntennaRedundantDiagonalGrade</t>
  </si>
  <si>
    <t>AntennaRedundantDiagonalMatlGrade</t>
  </si>
  <si>
    <t>AntennaRedundantDiagonalGrade2</t>
  </si>
  <si>
    <t>AntennaRedundantDiagonalMatlGrade2</t>
  </si>
  <si>
    <t>AntennaRedundantDiagonalGrade3</t>
  </si>
  <si>
    <t>AntennaRedundantDiagonalMatlGrade3</t>
  </si>
  <si>
    <t>AntennaRedundantDiagonalGrade4</t>
  </si>
  <si>
    <t>AntennaRedundantDiagonalMatlGrade4</t>
  </si>
  <si>
    <t>AntennaRedundantSubHorizontalGrade</t>
  </si>
  <si>
    <t>AntennaRedundantSubHorizontalMatlGrade</t>
  </si>
  <si>
    <t>AntennaRedundantSubDiagonalGrade</t>
  </si>
  <si>
    <t>AntennaRedundantSubDiagonalMatlGrade</t>
  </si>
  <si>
    <t>AntennaRedundantVerticalGrade</t>
  </si>
  <si>
    <t>AntennaRedundantVerticalMatlGrade3</t>
  </si>
  <si>
    <t>AntennaRedundantHipGrade</t>
  </si>
  <si>
    <t>AntennaRedundantHipMatlGrade</t>
  </si>
  <si>
    <t>AntennaRedundantHipGrade2</t>
  </si>
  <si>
    <t>AntennaRedundantHipMatlGrade2</t>
  </si>
  <si>
    <t>AntennaRedundantHipGrade3</t>
  </si>
  <si>
    <t>AntennaRedundantHipMatlGrade3</t>
  </si>
  <si>
    <t>AntennaRedundantHipGrade4</t>
  </si>
  <si>
    <t>AntennaRedundantHipMatlGrade4</t>
  </si>
  <si>
    <t>AntennaRedundantHipDiagonalGrade</t>
  </si>
  <si>
    <t>AntennaRedundantHipDiagonalMatlGrade</t>
  </si>
  <si>
    <t>AntennaRedundantHipDiagonalGrade2</t>
  </si>
  <si>
    <t>AntennaRedundantHipDiagonalMatlGrade2</t>
  </si>
  <si>
    <t>AntennaRedundantHipDiagonalGrade3</t>
  </si>
  <si>
    <t>AntennaRedundantHipDiagonalMatlGrade3</t>
  </si>
  <si>
    <t>AntennaRedundantHipDiagonalGrade4</t>
  </si>
  <si>
    <t>AntennaRedundantHipDiagonalMatlGrade4</t>
  </si>
  <si>
    <t>Double Equal Angle</t>
  </si>
  <si>
    <t>AntennaRedundantHorizontalType</t>
  </si>
  <si>
    <t>AntennaRedundantHorizontalType2</t>
  </si>
  <si>
    <t>AntennaRedundantHorizontalType3</t>
  </si>
  <si>
    <t>AntennaRedundantHorizontalType4</t>
  </si>
  <si>
    <t>AntennaRedundantDiagType2</t>
  </si>
  <si>
    <t>AntennaRedundantDiagType3</t>
  </si>
  <si>
    <t>AntennaRedundantDiagType4</t>
  </si>
  <si>
    <t>AntennaRedundantHipType2</t>
  </si>
  <si>
    <t>AntennaRedundantHipType3</t>
  </si>
  <si>
    <t>AntennaRedundantHipType4</t>
  </si>
  <si>
    <t>AntennaRedundantHipDiagonalType2</t>
  </si>
  <si>
    <t>AntennaRedundantHipDiagonalType3</t>
  </si>
  <si>
    <t>AntennaRedundantHipDiagonalType4</t>
  </si>
  <si>
    <t>P8x.406</t>
  </si>
  <si>
    <t>A572-65</t>
  </si>
  <si>
    <t>Numeric Input</t>
  </si>
  <si>
    <t>AntennaRedundantHorizontalBoltGrade1</t>
  </si>
  <si>
    <t>AntennaRedundantHorizontalBoltSize1</t>
  </si>
  <si>
    <t>AntennaRedundantHorizontalNumBolts1</t>
  </si>
  <si>
    <t>AntennaRedundantHorizontalBoltEdgeDistance1</t>
  </si>
  <si>
    <t>AntennaRedundantHorizontalGageG1Distance1</t>
  </si>
  <si>
    <t>AntennaRedundantHorizontalNetWidthDeduct1</t>
  </si>
  <si>
    <t>AntennaRedundantHorizontalUFactor1</t>
  </si>
  <si>
    <t>AntennaRedundantHorizontalBoltGrade2</t>
  </si>
  <si>
    <t>AntennaRedundantHorizontalBoltSize2</t>
  </si>
  <si>
    <t>AntennaRedundantHorizontalNumBolts2</t>
  </si>
  <si>
    <t>AntennaRedundantHorizontalBoltEdgeDistance2</t>
  </si>
  <si>
    <t>AntennaRedundantHorizontalGageG1Distance2</t>
  </si>
  <si>
    <t>AntennaRedundantHorizontalNetWidthDeduct2</t>
  </si>
  <si>
    <t>AntennaRedundantHorizontalUFactor2</t>
  </si>
  <si>
    <t>AntennaRedundantHorizontalBoltGrade3</t>
  </si>
  <si>
    <t>AntennaRedundantHorizontalBoltSize3</t>
  </si>
  <si>
    <t>AntennaRedundantHorizontalNumBolts3</t>
  </si>
  <si>
    <t>AntennaRedundantHorizontalBoltEdgeDistance3</t>
  </si>
  <si>
    <t>AntennaRedundantHorizontalGageG1Distance3</t>
  </si>
  <si>
    <t>AntennaRedundantHorizontalNetWidthDeduct3</t>
  </si>
  <si>
    <t>AntennaRedundantHorizontalUFactor3</t>
  </si>
  <si>
    <t>AntennaRedundantHorizontalBoltGrade4</t>
  </si>
  <si>
    <t>AntennaRedundantHorizontalBoltSize4</t>
  </si>
  <si>
    <t>AntennaRedundantHorizontalNumBolts4</t>
  </si>
  <si>
    <t>AntennaRedundantHorizontalBoltEdgeDistance4</t>
  </si>
  <si>
    <t>AntennaRedundantHorizontalGageG1Distance4</t>
  </si>
  <si>
    <t>AntennaRedundantHorizontalNetWidthDeduct4</t>
  </si>
  <si>
    <t>AntennaRedundantHorizontalUFactor4</t>
  </si>
  <si>
    <t>AntennaRedundantDiagonalBoltGrade1</t>
  </si>
  <si>
    <t>AntennaRedundantDiagonalBoltSize1</t>
  </si>
  <si>
    <t>AntennaRedundantDiagonalNumBolts1</t>
  </si>
  <si>
    <t>AntennaRedundantDiagonalBoltEdgeDistance1</t>
  </si>
  <si>
    <t>AntennaRedundantDiagonalGageG1Distance1</t>
  </si>
  <si>
    <t>AntennaRedundantDiagonalNetWidthDeduct1</t>
  </si>
  <si>
    <t>AntennaRedundantDiagonalUFactor1</t>
  </si>
  <si>
    <t>AntennaRedundantDiagonalBoltGrade2</t>
  </si>
  <si>
    <t>AntennaRedundantDiagonalBoltSize2</t>
  </si>
  <si>
    <t>AntennaRedundantDiagonalNumBolts2</t>
  </si>
  <si>
    <t>AntennaRedundantDiagonalBoltEdgeDistance2</t>
  </si>
  <si>
    <t>AntennaRedundantDiagonalGageG1Distance2</t>
  </si>
  <si>
    <t>AntennaRedundantDiagonalNetWidthDeduct2</t>
  </si>
  <si>
    <t>AntennaRedundantDiagonalUFactor2</t>
  </si>
  <si>
    <t>AntennaRedundantDiagonalBoltGrade3</t>
  </si>
  <si>
    <t>AntennaRedundantDiagonalBoltSize3</t>
  </si>
  <si>
    <t>AntennaRedundantDiagonalNumBolts3</t>
  </si>
  <si>
    <t>AntennaRedundantDiagonalBoltEdgeDistance3</t>
  </si>
  <si>
    <t>AntennaRedundantDiagonalGageG1Distance3</t>
  </si>
  <si>
    <t>AntennaRedundantDiagonalNetWidthDeduct3</t>
  </si>
  <si>
    <t>AntennaRedundantDiagonalUFactor3</t>
  </si>
  <si>
    <t>AntennaRedundantDiagonalBoltGrade4</t>
  </si>
  <si>
    <t>AntennaRedundantDiagonalBoltSize4</t>
  </si>
  <si>
    <t>AntennaRedundantDiagonalNumBolts4</t>
  </si>
  <si>
    <t>AntennaRedundantDiagonalBoltEdgeDistance4</t>
  </si>
  <si>
    <t>AntennaRedundantDiagonalGageG1Distance4</t>
  </si>
  <si>
    <t>AntennaRedundantDiagonalNetWidthDeduct4</t>
  </si>
  <si>
    <t>AntennaRedundantDiagonalUFactor4</t>
  </si>
  <si>
    <t>AntennaRedundantHipBoltGrade1</t>
  </si>
  <si>
    <t>AntennaRedundantHipBoltSize1</t>
  </si>
  <si>
    <t>AntennaRedundantHipNumBolts1</t>
  </si>
  <si>
    <t>AntennaRedundantHipBoltEdgeDistance1</t>
  </si>
  <si>
    <t>AntennaRedundantHipGageG1Distance1</t>
  </si>
  <si>
    <t>AntennaRedundantHipNetWidthDeduct1</t>
  </si>
  <si>
    <t>AntennaRedundantHipUFactor1</t>
  </si>
  <si>
    <t>AntennaRedundantHipBoltGrade2</t>
  </si>
  <si>
    <t>AntennaRedundantHipBoltSize2</t>
  </si>
  <si>
    <t>AntennaRedundantHipNumBolts2</t>
  </si>
  <si>
    <t>AntennaRedundantHipBoltEdgeDistance2</t>
  </si>
  <si>
    <t>AntennaRedundantHipGageG1Distance2</t>
  </si>
  <si>
    <t>AntennaRedundantHipNetWidthDeduct2</t>
  </si>
  <si>
    <t>AntennaRedundantHipUFactor2</t>
  </si>
  <si>
    <t>AntennaRedundantHipBoltGrade3</t>
  </si>
  <si>
    <t>AntennaRedundantHipBoltSize3</t>
  </si>
  <si>
    <t>AntennaRedundantHipNumBolts3</t>
  </si>
  <si>
    <t>AntennaRedundantHipBoltEdgeDistance3</t>
  </si>
  <si>
    <t>AntennaRedundantHipGageG1Distance3</t>
  </si>
  <si>
    <t>AntennaRedundantHipNetWidthDeduct3</t>
  </si>
  <si>
    <t>AntennaRedundantHipUFactor3</t>
  </si>
  <si>
    <t>AntennaRedundantHipBoltGrade4</t>
  </si>
  <si>
    <t>AntennaRedundantHipBoltSize4</t>
  </si>
  <si>
    <t>AntennaRedundantHipNumBolts4</t>
  </si>
  <si>
    <t>AntennaRedundantHipBoltEdgeDistance4</t>
  </si>
  <si>
    <t>AntennaRedundantHipGageG1Distance4</t>
  </si>
  <si>
    <t>AntennaRedundantHipNetWidthDeduct4</t>
  </si>
  <si>
    <t>AntennaRedundantHipUFactor4</t>
  </si>
  <si>
    <t>AntennaRedundantHipDiagonalBoltGrade1</t>
  </si>
  <si>
    <t>AntennaRedundantHipDiagonalBoltSize1</t>
  </si>
  <si>
    <t>AntennaRedundantHipDiagonalNumBolts1</t>
  </si>
  <si>
    <t>AntennaRedundantHipDiagonalBoltEdgeDistance1</t>
  </si>
  <si>
    <t>AntennaRedundantHipDiagonalGageG1Distance1</t>
  </si>
  <si>
    <t>AntennaRedundantHipDiagonalNetWidthDeduct1</t>
  </si>
  <si>
    <t>AntennaRedundantHipDiagonalUFactor1</t>
  </si>
  <si>
    <t>AntennaRedundantHipDiagonalBoltGrade2</t>
  </si>
  <si>
    <t>AntennaRedundantHipDiagonalBoltSize2</t>
  </si>
  <si>
    <t>AntennaRedundantHipDiagonalNumBolts2</t>
  </si>
  <si>
    <t>AntennaRedundantHipDiagonalBoltEdgeDistance2</t>
  </si>
  <si>
    <t>AntennaRedundantHipDiagonalGageG1Distance2</t>
  </si>
  <si>
    <t>AntennaRedundantHipDiagonalNetWidthDeduct2</t>
  </si>
  <si>
    <t>AntennaRedundantHipDiagonalUFactor2</t>
  </si>
  <si>
    <t>AntennaRedundantHipDiagonalBoltGrade3</t>
  </si>
  <si>
    <t>AntennaRedundantHipDiagonalBoltSize3</t>
  </si>
  <si>
    <t>AntennaRedundantHipDiagonalNumBolts3</t>
  </si>
  <si>
    <t>AntennaRedundantHipDiagonalBoltEdgeDistance3</t>
  </si>
  <si>
    <t>AntennaRedundantHipDiagonalGageG1Distance3</t>
  </si>
  <si>
    <t>AntennaRedundantHipDiagonalNetWidthDeduct3</t>
  </si>
  <si>
    <t>AntennaRedundantHipDiagonalUFactor3</t>
  </si>
  <si>
    <t>AntennaRedundantHipDiagonalBoltGrade4</t>
  </si>
  <si>
    <t>AntennaRedundantHipDiagonalBoltSize4</t>
  </si>
  <si>
    <t>AntennaRedundantHipDiagonalNumBolts4</t>
  </si>
  <si>
    <t>AntennaRedundantHipDiagonalBoltEdgeDistance4</t>
  </si>
  <si>
    <t>AntennaRedundantHipDiagonalGageG1Distance4</t>
  </si>
  <si>
    <t>AntennaRedundantHipDiagonalNetWidthDeduct4</t>
  </si>
  <si>
    <t>AntennaRedundantHipDiagonalUFactor4</t>
  </si>
  <si>
    <t>2L5x5x5/16x1/2SISIName</t>
  </si>
  <si>
    <t>2L5x5x5/16x1/2</t>
  </si>
  <si>
    <t>5 5 0.3125 0.5 6.0546875 14.84045418 4.08369779 1.56558889 2.24995332986245 7.35378265 2.99611048 0.837 1.9375 1.9375 0.99385568</t>
  </si>
  <si>
    <t>Diag Up</t>
  </si>
  <si>
    <t>Data Type</t>
  </si>
  <si>
    <t>Column Name</t>
  </si>
  <si>
    <t>SQL Type</t>
  </si>
  <si>
    <t>VB Type</t>
  </si>
  <si>
    <t>Define</t>
  </si>
  <si>
    <t>Property</t>
  </si>
  <si>
    <t>Construct From DataRow</t>
  </si>
  <si>
    <t>Generate SQL</t>
  </si>
  <si>
    <t>Equals</t>
  </si>
  <si>
    <t>BuildFromFile</t>
  </si>
  <si>
    <t>GenerateERI</t>
  </si>
  <si>
    <t>Column Name with Spaces</t>
  </si>
  <si>
    <t>Nullable?</t>
  </si>
  <si>
    <t>String</t>
  </si>
  <si>
    <t>Number</t>
  </si>
  <si>
    <t>Bool</t>
  </si>
  <si>
    <t>varchar</t>
  </si>
  <si>
    <t>decimal(18, 6)</t>
  </si>
  <si>
    <t>Boolean</t>
  </si>
  <si>
    <t>SQL Column Add</t>
  </si>
  <si>
    <t>DBtoStr</t>
  </si>
  <si>
    <t>DBtoNullableDec</t>
  </si>
  <si>
    <t>DBtoNullableBool</t>
  </si>
  <si>
    <t>Integer</t>
  </si>
  <si>
    <t>DBtoNullableInt</t>
  </si>
  <si>
    <t xml:space="preserve">	antennarec</t>
  </si>
  <si>
    <t>antennarec</t>
  </si>
  <si>
    <t>Double?</t>
  </si>
  <si>
    <t>Integer?</t>
  </si>
  <si>
    <t>SQL InsertValues</t>
  </si>
  <si>
    <t>SQL InsertFields</t>
  </si>
  <si>
    <t>SQLUpdateFieldsandValues</t>
  </si>
  <si>
    <t xml:space="preserve">        SQLInsertValues = SQLInsertValues.AddtoDBString(Me.Rec.NullableToString.FormatDBValue)</t>
  </si>
  <si>
    <t xml:space="preserve">        SQLInsertValues = SQLInsertValues.AddtoDBString(Me.TowerDatabase.NullableToString.FormatDBValue)</t>
  </si>
  <si>
    <t xml:space="preserve">        SQLInsertValues = SQLInsertValues.AddtoDBString(Me.TowerName.NullableToString.FormatDBValue)</t>
  </si>
  <si>
    <t xml:space="preserve">        SQLInsertValues = SQLInsertValues.AddtoDBString(Me.TowerHeight.NullableToString.FormatDBValue)</t>
  </si>
  <si>
    <t xml:space="preserve">        SQLInsertValues = SQLInsertValues.AddtoDBString(Me.TowerFaceWidth.NullableToString.FormatDBValue)</t>
  </si>
  <si>
    <t xml:space="preserve">        SQLInsertValues = SQLInsertValues.AddtoDBString(Me.TowerNumSections.NullableToString.FormatDBValue)</t>
  </si>
  <si>
    <t xml:space="preserve">        SQLInsertValues = SQLInsertValues.AddtoDBString(Me.TowerSectionLength.NullableToString.FormatDBValue)</t>
  </si>
  <si>
    <t xml:space="preserve">        SQLInsertValues = SQLInsertValues.AddtoDBString(Me.TowerDiagonalSpacing.NullableToString.FormatDBValue)</t>
  </si>
  <si>
    <t xml:space="preserve">        SQLInsertValues = SQLInsertValues.AddtoDBString(Me.TowerDiagonalSpacingEx.NullableToString.FormatDBValue)</t>
  </si>
  <si>
    <t xml:space="preserve">        SQLInsertValues = SQLInsertValues.AddtoDBString(Me.TowerBraceType.NullableToString.FormatDBValue)</t>
  </si>
  <si>
    <t xml:space="preserve">        SQLInsertValues = SQLInsertValues.AddtoDBString(Me.TowerFaceBevel.NullableToString.FormatDBValue)</t>
  </si>
  <si>
    <t xml:space="preserve">        SQLInsertValues = SQLInsertValues.AddtoDBString(Me.TowerTopGirtOffset.NullableToString.FormatDBValue)</t>
  </si>
  <si>
    <t xml:space="preserve">        SQLInsertValues = SQLInsertValues.AddtoDBString(Me.TowerBotGirtOffset.NullableToString.FormatDBValue)</t>
  </si>
  <si>
    <t xml:space="preserve">        SQLInsertValues = SQLInsertValues.AddtoDBString(Me.TowerHasKBraceEndPanels.NullableToString.FormatDBValue)</t>
  </si>
  <si>
    <t xml:space="preserve">        SQLInsertValues = SQLInsertValues.AddtoDBString(Me.TowerHasHorizontals.NullableToString.FormatDBValue)</t>
  </si>
  <si>
    <t xml:space="preserve">        SQLInsertValues = SQLInsertValues.AddtoDBString(Me.TowerLegType.NullableToString.FormatDBValue)</t>
  </si>
  <si>
    <t xml:space="preserve">        SQLInsertValues = SQLInsertValues.AddtoDBString(Me.TowerLegSize.NullableToString.FormatDBValue)</t>
  </si>
  <si>
    <t xml:space="preserve">        SQLInsertValues = SQLInsertValues.AddtoDBString(Me.TowerLegGrade.NullableToString.FormatDBValue)</t>
  </si>
  <si>
    <t xml:space="preserve">        SQLInsertValues = SQLInsertValues.AddtoDBString(Me.TowerLegMatlGrade.NullableToString.FormatDBValue)</t>
  </si>
  <si>
    <t xml:space="preserve">        SQLInsertValues = SQLInsertValues.AddtoDBString(Me.TowerDiagonalGrade.NullableToString.FormatDBValue)</t>
  </si>
  <si>
    <t xml:space="preserve">        SQLInsertValues = SQLInsertValues.AddtoDBString(Me.TowerDiagonalMatlGrade.NullableToString.FormatDBValue)</t>
  </si>
  <si>
    <t xml:space="preserve">        SQLInsertValues = SQLInsertValues.AddtoDBString(Me.TowerInnerBracingGrade.NullableToString.FormatDBValue)</t>
  </si>
  <si>
    <t xml:space="preserve">        SQLInsertValues = SQLInsertValues.AddtoDBString(Me.TowerInnerBracingMatlGrade.NullableToString.FormatDBValue)</t>
  </si>
  <si>
    <t xml:space="preserve">        SQLInsertValues = SQLInsertValues.AddtoDBString(Me.TowerTopGirtGrade.NullableToString.FormatDBValue)</t>
  </si>
  <si>
    <t xml:space="preserve">        SQLInsertValues = SQLInsertValues.AddtoDBString(Me.TowerTopGirtMatlGrade.NullableToString.FormatDBValue)</t>
  </si>
  <si>
    <t xml:space="preserve">        SQLInsertValues = SQLInsertValues.AddtoDBString(Me.TowerBotGirtGrade.NullableToString.FormatDBValue)</t>
  </si>
  <si>
    <t xml:space="preserve">        SQLInsertValues = SQLInsertValues.AddtoDBString(Me.TowerBotGirtMatlGrade.NullableToString.FormatDBValue)</t>
  </si>
  <si>
    <t xml:space="preserve">        SQLInsertValues = SQLInsertValues.AddtoDBString(Me.TowerInnerGirtGrade.NullableToString.FormatDBValue)</t>
  </si>
  <si>
    <t xml:space="preserve">        SQLInsertValues = SQLInsertValues.AddtoDBString(Me.TowerInnerGirtMatlGrade.NullableToString.FormatDBValue)</t>
  </si>
  <si>
    <t xml:space="preserve">        SQLInsertValues = SQLInsertValues.AddtoDBString(Me.TowerLongHorizontalGrade.NullableToString.FormatDBValue)</t>
  </si>
  <si>
    <t xml:space="preserve">        SQLInsertValues = SQLInsertValues.AddtoDBString(Me.TowerLongHorizontalMatlGrade.NullableToString.FormatDBValue)</t>
  </si>
  <si>
    <t xml:space="preserve">        SQLInsertValues = SQLInsertValues.AddtoDBString(Me.TowerShortHorizontalGrade.NullableToString.FormatDBValue)</t>
  </si>
  <si>
    <t xml:space="preserve">        SQLInsertValues = SQLInsertValues.AddtoDBString(Me.TowerShortHorizontalMatlGrade.NullableToString.FormatDBValue)</t>
  </si>
  <si>
    <t xml:space="preserve">        SQLInsertValues = SQLInsertValues.AddtoDBString(Me.TowerDiagonalType.NullableToString.FormatDBValue)</t>
  </si>
  <si>
    <t xml:space="preserve">        SQLInsertValues = SQLInsertValues.AddtoDBString(Me.TowerDiagonalSize.NullableToString.FormatDBValue)</t>
  </si>
  <si>
    <t xml:space="preserve">        SQLInsertValues = SQLInsertValues.AddtoDBString(Me.TowerInnerBracingType.NullableToString.FormatDBValue)</t>
  </si>
  <si>
    <t xml:space="preserve">        SQLInsertValues = SQLInsertValues.AddtoDBString(Me.TowerInnerBracingSize.NullableToString.FormatDBValue)</t>
  </si>
  <si>
    <t xml:space="preserve">        SQLInsertValues = SQLInsertValues.AddtoDBString(Me.TowerTopGirtType.NullableToString.FormatDBValue)</t>
  </si>
  <si>
    <t xml:space="preserve">        SQLInsertValues = SQLInsertValues.AddtoDBString(Me.TowerTopGirtSize.NullableToString.FormatDBValue)</t>
  </si>
  <si>
    <t xml:space="preserve">        SQLInsertValues = SQLInsertValues.AddtoDBString(Me.TowerBotGirtType.NullableToString.FormatDBValue)</t>
  </si>
  <si>
    <t xml:space="preserve">        SQLInsertValues = SQLInsertValues.AddtoDBString(Me.TowerBotGirtSize.NullableToString.FormatDBValue)</t>
  </si>
  <si>
    <t xml:space="preserve">        SQLInsertValues = SQLInsertValues.AddtoDBString(Me.TowerNumInnerGirts.NullableToString.FormatDBValue)</t>
  </si>
  <si>
    <t xml:space="preserve">        SQLInsertValues = SQLInsertValues.AddtoDBString(Me.TowerInnerGirtType.NullableToString.FormatDBValue)</t>
  </si>
  <si>
    <t xml:space="preserve">        SQLInsertValues = SQLInsertValues.AddtoDBString(Me.TowerInnerGirtSize.NullableToString.FormatDBValue)</t>
  </si>
  <si>
    <t xml:space="preserve">        SQLInsertValues = SQLInsertValues.AddtoDBString(Me.TowerLongHorizontalType.NullableToString.FormatDBValue)</t>
  </si>
  <si>
    <t xml:space="preserve">        SQLInsertValues = SQLInsertValues.AddtoDBString(Me.TowerLongHorizontalSize.NullableToString.FormatDBValue)</t>
  </si>
  <si>
    <t xml:space="preserve">        SQLInsertValues = SQLInsertValues.AddtoDBString(Me.TowerShortHorizontalType.NullableToString.FormatDBValue)</t>
  </si>
  <si>
    <t xml:space="preserve">        SQLInsertValues = SQLInsertValues.AddtoDBString(Me.TowerShortHorizontalSize.NullableToString.FormatDBValue)</t>
  </si>
  <si>
    <t xml:space="preserve">        SQLInsertValues = SQLInsertValues.AddtoDBString(Me.TowerRedundantGrade.NullableToString.FormatDBValue)</t>
  </si>
  <si>
    <t xml:space="preserve">        SQLInsertValues = SQLInsertValues.AddtoDBString(Me.TowerRedundantMatlGrade.NullableToString.FormatDBValue)</t>
  </si>
  <si>
    <t xml:space="preserve">        SQLInsertValues = SQLInsertValues.AddtoDBString(Me.TowerRedundantType.NullableToString.FormatDBValue)</t>
  </si>
  <si>
    <t xml:space="preserve">        SQLInsertValues = SQLInsertValues.AddtoDBString(Me.TowerRedundantDiagType.NullableToString.FormatDBValue)</t>
  </si>
  <si>
    <t xml:space="preserve">        SQLInsertValues = SQLInsertValues.AddtoDBString(Me.TowerRedundantSubDiagonalType.NullableToString.FormatDBValue)</t>
  </si>
  <si>
    <t xml:space="preserve">        SQLInsertValues = SQLInsertValues.AddtoDBString(Me.TowerRedundantSubHorizontalType.NullableToString.FormatDBValue)</t>
  </si>
  <si>
    <t xml:space="preserve">        SQLInsertValues = SQLInsertValues.AddtoDBString(Me.TowerRedundantVerticalType.NullableToString.FormatDBValue)</t>
  </si>
  <si>
    <t xml:space="preserve">        SQLInsertValues = SQLInsertValues.AddtoDBString(Me.TowerRedundantHipType.NullableToString.FormatDBValue)</t>
  </si>
  <si>
    <t xml:space="preserve">        SQLInsertValues = SQLInsertValues.AddtoDBString(Me.TowerRedundantHipDiagonalType.NullableToString.FormatDBValue)</t>
  </si>
  <si>
    <t xml:space="preserve">        SQLInsertValues = SQLInsertValues.AddtoDBString(Me.TowerRedundantHorizontalSize.NullableToString.FormatDBValue)</t>
  </si>
  <si>
    <t xml:space="preserve">        SQLInsertValues = SQLInsertValues.AddtoDBString(Me.TowerRedundantHorizontalSize2.NullableToString.FormatDBValue)</t>
  </si>
  <si>
    <t xml:space="preserve">        SQLInsertValues = SQLInsertValues.AddtoDBString(Me.TowerRedundantHorizontalSize3.NullableToString.FormatDBValue)</t>
  </si>
  <si>
    <t xml:space="preserve">        SQLInsertValues = SQLInsertValues.AddtoDBString(Me.TowerRedundantHorizontalSize4.NullableToString.FormatDBValue)</t>
  </si>
  <si>
    <t xml:space="preserve">        SQLInsertValues = SQLInsertValues.AddtoDBString(Me.TowerRedundantDiagonalSize.NullableToString.FormatDBValue)</t>
  </si>
  <si>
    <t xml:space="preserve">        SQLInsertValues = SQLInsertValues.AddtoDBString(Me.TowerRedundantDiagonalSize2.NullableToString.FormatDBValue)</t>
  </si>
  <si>
    <t xml:space="preserve">        SQLInsertValues = SQLInsertValues.AddtoDBString(Me.TowerRedundantDiagonalSize3.NullableToString.FormatDBValue)</t>
  </si>
  <si>
    <t xml:space="preserve">        SQLInsertValues = SQLInsertValues.AddtoDBString(Me.TowerRedundantDiagonalSize4.NullableToString.FormatDBValue)</t>
  </si>
  <si>
    <t xml:space="preserve">        SQLInsertValues = SQLInsertValues.AddtoDBString(Me.TowerRedundantSubHorizontalSize.NullableToString.FormatDBValue)</t>
  </si>
  <si>
    <t xml:space="preserve">        SQLInsertValues = SQLInsertValues.AddtoDBString(Me.TowerRedundantSubDiagonalSize.NullableToString.FormatDBValue)</t>
  </si>
  <si>
    <t xml:space="preserve">        SQLInsertValues = SQLInsertValues.AddtoDBString(Me.TowerSubDiagLocation.NullableToString.FormatDBValue)</t>
  </si>
  <si>
    <t xml:space="preserve">        SQLInsertValues = SQLInsertValues.AddtoDBString(Me.TowerRedundantVerticalSize.NullableToString.FormatDBValue)</t>
  </si>
  <si>
    <t xml:space="preserve">        SQLInsertValues = SQLInsertValues.AddtoDBString(Me.TowerRedundantHipSize.NullableToString.FormatDBValue)</t>
  </si>
  <si>
    <t xml:space="preserve">        SQLInsertValues = SQLInsertValues.AddtoDBString(Me.TowerRedundantHipSize2.NullableToString.FormatDBValue)</t>
  </si>
  <si>
    <t xml:space="preserve">        SQLInsertValues = SQLInsertValues.AddtoDBString(Me.TowerRedundantHipSize3.NullableToString.FormatDBValue)</t>
  </si>
  <si>
    <t xml:space="preserve">        SQLInsertValues = SQLInsertValues.AddtoDBString(Me.TowerRedundantHipSize4.NullableToString.FormatDBValue)</t>
  </si>
  <si>
    <t xml:space="preserve">        SQLInsertValues = SQLInsertValues.AddtoDBString(Me.TowerRedundantHipDiagonalSize.NullableToString.FormatDBValue)</t>
  </si>
  <si>
    <t xml:space="preserve">        SQLInsertValues = SQLInsertValues.AddtoDBString(Me.TowerRedundantHipDiagonalSize2.NullableToString.FormatDBValue)</t>
  </si>
  <si>
    <t xml:space="preserve">        SQLInsertValues = SQLInsertValues.AddtoDBString(Me.TowerRedundantHipDiagonalSize3.NullableToString.FormatDBValue)</t>
  </si>
  <si>
    <t xml:space="preserve">        SQLInsertValues = SQLInsertValues.AddtoDBString(Me.TowerRedundantHipDiagonalSize4.NullableToString.FormatDBValue)</t>
  </si>
  <si>
    <t xml:space="preserve">        SQLInsertValues = SQLInsertValues.AddtoDBString(Me.TowerSWMult.NullableToString.FormatDBValue)</t>
  </si>
  <si>
    <t xml:space="preserve">        SQLInsertValues = SQLInsertValues.AddtoDBString(Me.TowerWPMult.NullableToString.FormatDBValue)</t>
  </si>
  <si>
    <t xml:space="preserve">        SQLInsertValues = SQLInsertValues.AddtoDBString(Me.TowerAutoCalcKSingleAngle.NullableToString.FormatDBValue)</t>
  </si>
  <si>
    <t xml:space="preserve">        SQLInsertValues = SQLInsertValues.AddtoDBString(Me.TowerAutoCalcKSolidRound.NullableToString.FormatDBValue)</t>
  </si>
  <si>
    <t xml:space="preserve">        SQLInsertValues = SQLInsertValues.AddtoDBString(Me.TowerAfGusset.NullableToString.FormatDBValue)</t>
  </si>
  <si>
    <t xml:space="preserve">        SQLInsertValues = SQLInsertValues.AddtoDBString(Me.TowerTfGusset.NullableToString.FormatDBValue)</t>
  </si>
  <si>
    <t xml:space="preserve">        SQLInsertValues = SQLInsertValues.AddtoDBString(Me.TowerGussetBoltEdgeDistance.NullableToString.FormatDBValue)</t>
  </si>
  <si>
    <t xml:space="preserve">        SQLInsertValues = SQLInsertValues.AddtoDBString(Me.TowerGussetGrade.NullableToString.FormatDBValue)</t>
  </si>
  <si>
    <t xml:space="preserve">        SQLInsertValues = SQLInsertValues.AddtoDBString(Me.TowerGussetMatlGrade.NullableToString.FormatDBValue)</t>
  </si>
  <si>
    <t xml:space="preserve">        SQLInsertValues = SQLInsertValues.AddtoDBString(Me.TowerAfMult.NullableToString.FormatDBValue)</t>
  </si>
  <si>
    <t xml:space="preserve">        SQLInsertValues = SQLInsertValues.AddtoDBString(Me.TowerArMult.NullableToString.FormatDBValue)</t>
  </si>
  <si>
    <t xml:space="preserve">        SQLInsertValues = SQLInsertValues.AddtoDBString(Me.TowerFlatIPAPole.NullableToString.FormatDBValue)</t>
  </si>
  <si>
    <t xml:space="preserve">        SQLInsertValues = SQLInsertValues.AddtoDBString(Me.TowerRoundIPAPole.NullableToString.FormatDBValue)</t>
  </si>
  <si>
    <t xml:space="preserve">        SQLInsertValues = SQLInsertValues.AddtoDBString(Me.TowerFlatIPALeg.NullableToString.FormatDBValue)</t>
  </si>
  <si>
    <t xml:space="preserve">        SQLInsertValues = SQLInsertValues.AddtoDBString(Me.TowerRoundIPALeg.NullableToString.FormatDBValue)</t>
  </si>
  <si>
    <t xml:space="preserve">        SQLInsertValues = SQLInsertValues.AddtoDBString(Me.TowerFlatIPAHorizontal.NullableToString.FormatDBValue)</t>
  </si>
  <si>
    <t xml:space="preserve">        SQLInsertValues = SQLInsertValues.AddtoDBString(Me.TowerRoundIPAHorizontal.NullableToString.FormatDBValue)</t>
  </si>
  <si>
    <t xml:space="preserve">        SQLInsertValues = SQLInsertValues.AddtoDBString(Me.TowerFlatIPADiagonal.NullableToString.FormatDBValue)</t>
  </si>
  <si>
    <t xml:space="preserve">        SQLInsertValues = SQLInsertValues.AddtoDBString(Me.TowerRoundIPADiagonal.NullableToString.FormatDBValue)</t>
  </si>
  <si>
    <t xml:space="preserve">        SQLInsertValues = SQLInsertValues.AddtoDBString(Me.TowerCSA_S37_SpeedUpFactor.NullableToString.FormatDBValue)</t>
  </si>
  <si>
    <t xml:space="preserve">        SQLInsertValues = SQLInsertValues.AddtoDBString(Me.TowerKLegs.NullableToString.FormatDBValue)</t>
  </si>
  <si>
    <t xml:space="preserve">        SQLInsertValues = SQLInsertValues.AddtoDBString(Me.TowerKXBracedDiags.NullableToString.FormatDBValue)</t>
  </si>
  <si>
    <t xml:space="preserve">        SQLInsertValues = SQLInsertValues.AddtoDBString(Me.TowerKKBracedDiags.NullableToString.FormatDBValue)</t>
  </si>
  <si>
    <t xml:space="preserve">        SQLInsertValues = SQLInsertValues.AddtoDBString(Me.TowerKZBracedDiags.NullableToString.FormatDBValue)</t>
  </si>
  <si>
    <t xml:space="preserve">        SQLInsertValues = SQLInsertValues.AddtoDBString(Me.TowerKHorzs.NullableToString.FormatDBValue)</t>
  </si>
  <si>
    <t xml:space="preserve">        SQLInsertValues = SQLInsertValues.AddtoDBString(Me.TowerKSecHorzs.NullableToString.FormatDBValue)</t>
  </si>
  <si>
    <t xml:space="preserve">        SQLInsertValues = SQLInsertValues.AddtoDBString(Me.TowerKGirts.NullableToString.FormatDBValue)</t>
  </si>
  <si>
    <t xml:space="preserve">        SQLInsertValues = SQLInsertValues.AddtoDBString(Me.TowerKInners.NullableToString.FormatDBValue)</t>
  </si>
  <si>
    <t xml:space="preserve">        SQLInsertValues = SQLInsertValues.AddtoDBString(Me.TowerKXBracedDiagsY.NullableToString.FormatDBValue)</t>
  </si>
  <si>
    <t xml:space="preserve">        SQLInsertValues = SQLInsertValues.AddtoDBString(Me.TowerKKBracedDiagsY.NullableToString.FormatDBValue)</t>
  </si>
  <si>
    <t xml:space="preserve">        SQLInsertValues = SQLInsertValues.AddtoDBString(Me.TowerKZBracedDiagsY.NullableToString.FormatDBValue)</t>
  </si>
  <si>
    <t xml:space="preserve">        SQLInsertValues = SQLInsertValues.AddtoDBString(Me.TowerKHorzsY.NullableToString.FormatDBValue)</t>
  </si>
  <si>
    <t xml:space="preserve">        SQLInsertValues = SQLInsertValues.AddtoDBString(Me.TowerKSecHorzsY.NullableToString.FormatDBValue)</t>
  </si>
  <si>
    <t xml:space="preserve">        SQLInsertValues = SQLInsertValues.AddtoDBString(Me.TowerKGirtsY.NullableToString.FormatDBValue)</t>
  </si>
  <si>
    <t xml:space="preserve">        SQLInsertValues = SQLInsertValues.AddtoDBString(Me.TowerKInnersY.NullableToString.FormatDBValue)</t>
  </si>
  <si>
    <t xml:space="preserve">        SQLInsertValues = SQLInsertValues.AddtoDBString(Me.TowerKRedHorz.NullableToString.FormatDBValue)</t>
  </si>
  <si>
    <t xml:space="preserve">        SQLInsertValues = SQLInsertValues.AddtoDBString(Me.TowerKRedDiag.NullableToString.FormatDBValue)</t>
  </si>
  <si>
    <t xml:space="preserve">        SQLInsertValues = SQLInsertValues.AddtoDBString(Me.TowerKRedSubDiag.NullableToString.FormatDBValue)</t>
  </si>
  <si>
    <t xml:space="preserve">        SQLInsertValues = SQLInsertValues.AddtoDBString(Me.TowerKRedSubHorz.NullableToString.FormatDBValue)</t>
  </si>
  <si>
    <t xml:space="preserve">        SQLInsertValues = SQLInsertValues.AddtoDBString(Me.TowerKRedVert.NullableToString.FormatDBValue)</t>
  </si>
  <si>
    <t xml:space="preserve">        SQLInsertValues = SQLInsertValues.AddtoDBString(Me.TowerKRedHip.NullableToString.FormatDBValue)</t>
  </si>
  <si>
    <t xml:space="preserve">        SQLInsertValues = SQLInsertValues.AddtoDBString(Me.TowerKRedHipDiag.NullableToString.FormatDBValue)</t>
  </si>
  <si>
    <t xml:space="preserve">        SQLInsertValues = SQLInsertValues.AddtoDBString(Me.TowerKTLX.NullableToString.FormatDBValue)</t>
  </si>
  <si>
    <t xml:space="preserve">        SQLInsertValues = SQLInsertValues.AddtoDBString(Me.TowerKTLZ.NullableToString.FormatDBValue)</t>
  </si>
  <si>
    <t xml:space="preserve">        SQLInsertValues = SQLInsertValues.AddtoDBString(Me.TowerKTLLeg.NullableToString.FormatDBValue)</t>
  </si>
  <si>
    <t xml:space="preserve">        SQLInsertValues = SQLInsertValues.AddtoDBString(Me.TowerInnerKTLX.NullableToString.FormatDBValue)</t>
  </si>
  <si>
    <t xml:space="preserve">        SQLInsertValues = SQLInsertValues.AddtoDBString(Me.TowerInnerKTLZ.NullableToString.FormatDBValue)</t>
  </si>
  <si>
    <t xml:space="preserve">        SQLInsertValues = SQLInsertValues.AddtoDBString(Me.TowerInnerKTLLeg.NullableToString.FormatDBValue)</t>
  </si>
  <si>
    <t xml:space="preserve">        SQLInsertValues = SQLInsertValues.AddtoDBString(Me.TowerStitchBoltLocationHoriz.NullableToString.FormatDBValue)</t>
  </si>
  <si>
    <t xml:space="preserve">        SQLInsertValues = SQLInsertValues.AddtoDBString(Me.TowerStitchBoltLocationDiag.NullableToString.FormatDBValue)</t>
  </si>
  <si>
    <t xml:space="preserve">        SQLInsertValues = SQLInsertValues.AddtoDBString(Me.TowerStitchBoltLocationRed.NullableToString.FormatDBValue)</t>
  </si>
  <si>
    <t xml:space="preserve">        SQLInsertValues = SQLInsertValues.AddtoDBString(Me.TowerStitchSpacing.NullableToString.FormatDBValue)</t>
  </si>
  <si>
    <t xml:space="preserve">        SQLInsertValues = SQLInsertValues.AddtoDBString(Me.TowerStitchSpacingDiag.NullableToString.FormatDBValue)</t>
  </si>
  <si>
    <t xml:space="preserve">        SQLInsertValues = SQLInsertValues.AddtoDBString(Me.TowerStitchSpacingHorz.NullableToString.FormatDBValue)</t>
  </si>
  <si>
    <t xml:space="preserve">        SQLInsertValues = SQLInsertValues.AddtoDBString(Me.TowerStitchSpacingRed.NullableToString.FormatDBValue)</t>
  </si>
  <si>
    <t xml:space="preserve">        SQLInsertValues = SQLInsertValues.AddtoDBString(Me.TowerLegNetWidthDeduct.NullableToString.FormatDBValue)</t>
  </si>
  <si>
    <t xml:space="preserve">        SQLInsertValues = SQLInsertValues.AddtoDBString(Me.TowerLegUFactor.NullableToString.FormatDBValue)</t>
  </si>
  <si>
    <t xml:space="preserve">        SQLInsertValues = SQLInsertValues.AddtoDBString(Me.TowerDiagonalNetWidthDeduct.NullableToString.FormatDBValue)</t>
  </si>
  <si>
    <t xml:space="preserve">        SQLInsertValues = SQLInsertValues.AddtoDBString(Me.TowerTopGirtNetWidthDeduct.NullableToString.FormatDBValue)</t>
  </si>
  <si>
    <t xml:space="preserve">        SQLInsertValues = SQLInsertValues.AddtoDBString(Me.TowerBotGirtNetWidthDeduct.NullableToString.FormatDBValue)</t>
  </si>
  <si>
    <t xml:space="preserve">        SQLInsertValues = SQLInsertValues.AddtoDBString(Me.TowerInnerGirtNetWidthDeduct.NullableToString.FormatDBValue)</t>
  </si>
  <si>
    <t xml:space="preserve">        SQLInsertValues = SQLInsertValues.AddtoDBString(Me.TowerHorizontalNetWidthDeduct.NullableToString.FormatDBValue)</t>
  </si>
  <si>
    <t xml:space="preserve">        SQLInsertValues = SQLInsertValues.AddtoDBString(Me.TowerShortHorizontalNetWidthDeduct.NullableToString.FormatDBValue)</t>
  </si>
  <si>
    <t xml:space="preserve">        SQLInsertValues = SQLInsertValues.AddtoDBString(Me.TowerDiagonalUFactor.NullableToString.FormatDBValue)</t>
  </si>
  <si>
    <t xml:space="preserve">        SQLInsertValues = SQLInsertValues.AddtoDBString(Me.TowerTopGirtUFactor.NullableToString.FormatDBValue)</t>
  </si>
  <si>
    <t xml:space="preserve">        SQLInsertValues = SQLInsertValues.AddtoDBString(Me.TowerBotGirtUFactor.NullableToString.FormatDBValue)</t>
  </si>
  <si>
    <t xml:space="preserve">        SQLInsertValues = SQLInsertValues.AddtoDBString(Me.TowerInnerGirtUFactor.NullableToString.FormatDBValue)</t>
  </si>
  <si>
    <t xml:space="preserve">        SQLInsertValues = SQLInsertValues.AddtoDBString(Me.TowerHorizontalUFactor.NullableToString.FormatDBValue)</t>
  </si>
  <si>
    <t xml:space="preserve">        SQLInsertValues = SQLInsertValues.AddtoDBString(Me.TowerShortHorizontalUFactor.NullableToString.FormatDBValue)</t>
  </si>
  <si>
    <t xml:space="preserve">        SQLInsertValues = SQLInsertValues.AddtoDBString(Me.TowerLegConnType.NullableToString.FormatDBValue)</t>
  </si>
  <si>
    <t xml:space="preserve">        SQLInsertValues = SQLInsertValues.AddtoDBString(Me.TowerLegNumBolts.NullableToString.FormatDBValue)</t>
  </si>
  <si>
    <t xml:space="preserve">        SQLInsertValues = SQLInsertValues.AddtoDBString(Me.TowerDiagonalNumBolts.NullableToString.FormatDBValue)</t>
  </si>
  <si>
    <t xml:space="preserve">        SQLInsertValues = SQLInsertValues.AddtoDBString(Me.TowerTopGirtNumBolts.NullableToString.FormatDBValue)</t>
  </si>
  <si>
    <t xml:space="preserve">        SQLInsertValues = SQLInsertValues.AddtoDBString(Me.TowerBotGirtNumBolts.NullableToString.FormatDBValue)</t>
  </si>
  <si>
    <t xml:space="preserve">        SQLInsertValues = SQLInsertValues.AddtoDBString(Me.TowerInnerGirtNumBolts.NullableToString.FormatDBValue)</t>
  </si>
  <si>
    <t xml:space="preserve">        SQLInsertValues = SQLInsertValues.AddtoDBString(Me.TowerHorizontalNumBolts.NullableToString.FormatDBValue)</t>
  </si>
  <si>
    <t xml:space="preserve">        SQLInsertValues = SQLInsertValues.AddtoDBString(Me.TowerShortHorizontalNumBolts.NullableToString.FormatDBValue)</t>
  </si>
  <si>
    <t xml:space="preserve">        SQLInsertValues = SQLInsertValues.AddtoDBString(Me.TowerLegBoltGrade.NullableToString.FormatDBValue)</t>
  </si>
  <si>
    <t xml:space="preserve">        SQLInsertValues = SQLInsertValues.AddtoDBString(Me.TowerLegBoltSize.NullableToString.FormatDBValue)</t>
  </si>
  <si>
    <t xml:space="preserve">        SQLInsertValues = SQLInsertValues.AddtoDBString(Me.TowerDiagonalBoltGrade.NullableToString.FormatDBValue)</t>
  </si>
  <si>
    <t xml:space="preserve">        SQLInsertValues = SQLInsertValues.AddtoDBString(Me.TowerDiagonalBoltSize.NullableToString.FormatDBValue)</t>
  </si>
  <si>
    <t xml:space="preserve">        SQLInsertValues = SQLInsertValues.AddtoDBString(Me.TowerTopGirtBoltGrade.NullableToString.FormatDBValue)</t>
  </si>
  <si>
    <t xml:space="preserve">        SQLInsertValues = SQLInsertValues.AddtoDBString(Me.TowerTopGirtBoltSize.NullableToString.FormatDBValue)</t>
  </si>
  <si>
    <t xml:space="preserve">        SQLInsertValues = SQLInsertValues.AddtoDBString(Me.TowerBotGirtBoltGrade.NullableToString.FormatDBValue)</t>
  </si>
  <si>
    <t xml:space="preserve">        SQLInsertValues = SQLInsertValues.AddtoDBString(Me.TowerBotGirtBoltSize.NullableToString.FormatDBValue)</t>
  </si>
  <si>
    <t xml:space="preserve">        SQLInsertValues = SQLInsertValues.AddtoDBString(Me.TowerInnerGirtBoltGrade.NullableToString.FormatDBValue)</t>
  </si>
  <si>
    <t xml:space="preserve">        SQLInsertValues = SQLInsertValues.AddtoDBString(Me.TowerInnerGirtBoltSize.NullableToString.FormatDBValue)</t>
  </si>
  <si>
    <t xml:space="preserve">        SQLInsertValues = SQLInsertValues.AddtoDBString(Me.TowerHorizontalBoltGrade.NullableToString.FormatDBValue)</t>
  </si>
  <si>
    <t xml:space="preserve">        SQLInsertValues = SQLInsertValues.AddtoDBString(Me.TowerHorizontalBoltSize.NullableToString.FormatDBValue)</t>
  </si>
  <si>
    <t xml:space="preserve">        SQLInsertValues = SQLInsertValues.AddtoDBString(Me.TowerShortHorizontalBoltGrade.NullableToString.FormatDBValue)</t>
  </si>
  <si>
    <t xml:space="preserve">        SQLInsertValues = SQLInsertValues.AddtoDBString(Me.TowerShortHorizontalBoltSize.NullableToString.FormatDBValue)</t>
  </si>
  <si>
    <t xml:space="preserve">        SQLInsertValues = SQLInsertValues.AddtoDBString(Me.TowerLegBoltEdgeDistance.NullableToString.FormatDBValue)</t>
  </si>
  <si>
    <t xml:space="preserve">        SQLInsertValues = SQLInsertValues.AddtoDBString(Me.TowerDiagonalBoltEdgeDistance.NullableToString.FormatDBValue)</t>
  </si>
  <si>
    <t xml:space="preserve">        SQLInsertValues = SQLInsertValues.AddtoDBString(Me.TowerTopGirtBoltEdgeDistance.NullableToString.FormatDBValue)</t>
  </si>
  <si>
    <t xml:space="preserve">        SQLInsertValues = SQLInsertValues.AddtoDBString(Me.TowerBotGirtBoltEdgeDistance.NullableToString.FormatDBValue)</t>
  </si>
  <si>
    <t xml:space="preserve">        SQLInsertValues = SQLInsertValues.AddtoDBString(Me.TowerInnerGirtBoltEdgeDistance.NullableToString.FormatDBValue)</t>
  </si>
  <si>
    <t xml:space="preserve">        SQLInsertValues = SQLInsertValues.AddtoDBString(Me.TowerHorizontalBoltEdgeDistance.NullableToString.FormatDBValue)</t>
  </si>
  <si>
    <t xml:space="preserve">        SQLInsertValues = SQLInsertValues.AddtoDBString(Me.TowerShortHorizontalBoltEdgeDistance.NullableToString.FormatDBValue)</t>
  </si>
  <si>
    <t xml:space="preserve">        SQLInsertValues = SQLInsertValues.AddtoDBString(Me.TowerDiagonalGageG1Distance.NullableToString.FormatDBValue)</t>
  </si>
  <si>
    <t xml:space="preserve">        SQLInsertValues = SQLInsertValues.AddtoDBString(Me.TowerTopGirtGageG1Distance.NullableToString.FormatDBValue)</t>
  </si>
  <si>
    <t xml:space="preserve">        SQLInsertValues = SQLInsertValues.AddtoDBString(Me.TowerBotGirtGageG1Distance.NullableToString.FormatDBValue)</t>
  </si>
  <si>
    <t xml:space="preserve">        SQLInsertValues = SQLInsertValues.AddtoDBString(Me.TowerInnerGirtGageG1Distance.NullableToString.FormatDBValue)</t>
  </si>
  <si>
    <t xml:space="preserve">        SQLInsertValues = SQLInsertValues.AddtoDBString(Me.TowerHorizontalGageG1Distance.NullableToString.FormatDBValue)</t>
  </si>
  <si>
    <t xml:space="preserve">        SQLInsertValues = SQLInsertValues.AddtoDBString(Me.TowerShortHorizontalGageG1Distance.NullableToString.FormatDBValue)</t>
  </si>
  <si>
    <t xml:space="preserve">        SQLInsertValues = SQLInsertValues.AddtoDBString(Me.TowerRedundantHorizontalBoltGrade.NullableToString.FormatDBValue)</t>
  </si>
  <si>
    <t xml:space="preserve">        SQLInsertValues = SQLInsertValues.AddtoDBString(Me.TowerRedundantHorizontalBoltSize.NullableToString.FormatDBValue)</t>
  </si>
  <si>
    <t xml:space="preserve">        SQLInsertValues = SQLInsertValues.AddtoDBString(Me.TowerRedundantHorizontalNumBolts.NullableToString.FormatDBValue)</t>
  </si>
  <si>
    <t xml:space="preserve">        SQLInsertValues = SQLInsertValues.AddtoDBString(Me.TowerRedundantHorizontalBoltEdgeDistance.NullableToString.FormatDBValue)</t>
  </si>
  <si>
    <t xml:space="preserve">        SQLInsertValues = SQLInsertValues.AddtoDBString(Me.TowerRedundantHorizontalGageG1Distance.NullableToString.FormatDBValue)</t>
  </si>
  <si>
    <t xml:space="preserve">        SQLInsertValues = SQLInsertValues.AddtoDBString(Me.TowerRedundantHorizontalNetWidthDeduct.NullableToString.FormatDBValue)</t>
  </si>
  <si>
    <t xml:space="preserve">        SQLInsertValues = SQLInsertValues.AddtoDBString(Me.TowerRedundantHorizontalUFactor.NullableToString.FormatDBValue)</t>
  </si>
  <si>
    <t xml:space="preserve">        SQLInsertValues = SQLInsertValues.AddtoDBString(Me.TowerRedundantDiagonalBoltGrade.NullableToString.FormatDBValue)</t>
  </si>
  <si>
    <t xml:space="preserve">        SQLInsertValues = SQLInsertValues.AddtoDBString(Me.TowerRedundantDiagonalBoltSize.NullableToString.FormatDBValue)</t>
  </si>
  <si>
    <t xml:space="preserve">        SQLInsertValues = SQLInsertValues.AddtoDBString(Me.TowerRedundantDiagonalNumBolts.NullableToString.FormatDBValue)</t>
  </si>
  <si>
    <t xml:space="preserve">        SQLInsertValues = SQLInsertValues.AddtoDBString(Me.TowerRedundantDiagonalBoltEdgeDistance.NullableToString.FormatDBValue)</t>
  </si>
  <si>
    <t xml:space="preserve">        SQLInsertValues = SQLInsertValues.AddtoDBString(Me.TowerRedundantDiagonalGageG1Distance.NullableToString.FormatDBValue)</t>
  </si>
  <si>
    <t xml:space="preserve">        SQLInsertValues = SQLInsertValues.AddtoDBString(Me.TowerRedundantDiagonalNetWidthDeduct.NullableToString.FormatDBValue)</t>
  </si>
  <si>
    <t xml:space="preserve">        SQLInsertValues = SQLInsertValues.AddtoDBString(Me.TowerRedundantDiagonalUFactor.NullableToString.FormatDBValue)</t>
  </si>
  <si>
    <t xml:space="preserve">        SQLInsertValues = SQLInsertValues.AddtoDBString(Me.TowerRedundantSubDiagonalBoltGrade.NullableToString.FormatDBValue)</t>
  </si>
  <si>
    <t xml:space="preserve">        SQLInsertValues = SQLInsertValues.AddtoDBString(Me.TowerRedundantSubDiagonalBoltSize.NullableToString.FormatDBValue)</t>
  </si>
  <si>
    <t xml:space="preserve">        SQLInsertValues = SQLInsertValues.AddtoDBString(Me.TowerRedundantSubDiagonalNumBolts.NullableToString.FormatDBValue)</t>
  </si>
  <si>
    <t xml:space="preserve">        SQLInsertValues = SQLInsertValues.AddtoDBString(Me.TowerRedundantSubDiagonalBoltEdgeDistance.NullableToString.FormatDBValue)</t>
  </si>
  <si>
    <t xml:space="preserve">        SQLInsertValues = SQLInsertValues.AddtoDBString(Me.TowerRedundantSubDiagonalGageG1Distance.NullableToString.FormatDBValue)</t>
  </si>
  <si>
    <t xml:space="preserve">        SQLInsertValues = SQLInsertValues.AddtoDBString(Me.TowerRedundantSubDiagonalNetWidthDeduct.NullableToString.FormatDBValue)</t>
  </si>
  <si>
    <t xml:space="preserve">        SQLInsertValues = SQLInsertValues.AddtoDBString(Me.TowerRedundantSubDiagonalUFactor.NullableToString.FormatDBValue)</t>
  </si>
  <si>
    <t xml:space="preserve">        SQLInsertValues = SQLInsertValues.AddtoDBString(Me.TowerRedundantSubHorizontalBoltGrade.NullableToString.FormatDBValue)</t>
  </si>
  <si>
    <t xml:space="preserve">        SQLInsertValues = SQLInsertValues.AddtoDBString(Me.TowerRedundantSubHorizontalBoltSize.NullableToString.FormatDBValue)</t>
  </si>
  <si>
    <t xml:space="preserve">        SQLInsertValues = SQLInsertValues.AddtoDBString(Me.TowerRedundantSubHorizontalNumBolts.NullableToString.FormatDBValue)</t>
  </si>
  <si>
    <t xml:space="preserve">        SQLInsertValues = SQLInsertValues.AddtoDBString(Me.TowerRedundantSubHorizontalBoltEdgeDistance.NullableToString.FormatDBValue)</t>
  </si>
  <si>
    <t xml:space="preserve">        SQLInsertValues = SQLInsertValues.AddtoDBString(Me.TowerRedundantSubHorizontalGageG1Distance.NullableToString.FormatDBValue)</t>
  </si>
  <si>
    <t xml:space="preserve">        SQLInsertValues = SQLInsertValues.AddtoDBString(Me.TowerRedundantSubHorizontalNetWidthDeduct.NullableToString.FormatDBValue)</t>
  </si>
  <si>
    <t xml:space="preserve">        SQLInsertValues = SQLInsertValues.AddtoDBString(Me.TowerRedundantSubHorizontalUFactor.NullableToString.FormatDBValue)</t>
  </si>
  <si>
    <t xml:space="preserve">        SQLInsertValues = SQLInsertValues.AddtoDBString(Me.TowerRedundantVerticalBoltGrade.NullableToString.FormatDBValue)</t>
  </si>
  <si>
    <t xml:space="preserve">        SQLInsertValues = SQLInsertValues.AddtoDBString(Me.TowerRedundantVerticalBoltSize.NullableToString.FormatDBValue)</t>
  </si>
  <si>
    <t xml:space="preserve">        SQLInsertValues = SQLInsertValues.AddtoDBString(Me.TowerRedundantVerticalNumBolts.NullableToString.FormatDBValue)</t>
  </si>
  <si>
    <t xml:space="preserve">        SQLInsertValues = SQLInsertValues.AddtoDBString(Me.TowerRedundantVerticalBoltEdgeDistance.NullableToString.FormatDBValue)</t>
  </si>
  <si>
    <t xml:space="preserve">        SQLInsertValues = SQLInsertValues.AddtoDBString(Me.TowerRedundantVerticalGageG1Distance.NullableToString.FormatDBValue)</t>
  </si>
  <si>
    <t xml:space="preserve">        SQLInsertValues = SQLInsertValues.AddtoDBString(Me.TowerRedundantVerticalNetWidthDeduct.NullableToString.FormatDBValue)</t>
  </si>
  <si>
    <t xml:space="preserve">        SQLInsertValues = SQLInsertValues.AddtoDBString(Me.TowerRedundantVerticalUFactor.NullableToString.FormatDBValue)</t>
  </si>
  <si>
    <t xml:space="preserve">        SQLInsertValues = SQLInsertValues.AddtoDBString(Me.TowerRedundantHipBoltGrade.NullableToString.FormatDBValue)</t>
  </si>
  <si>
    <t xml:space="preserve">        SQLInsertValues = SQLInsertValues.AddtoDBString(Me.TowerRedundantHipBoltSize.NullableToString.FormatDBValue)</t>
  </si>
  <si>
    <t xml:space="preserve">        SQLInsertValues = SQLInsertValues.AddtoDBString(Me.TowerRedundantHipNumBolts.NullableToString.FormatDBValue)</t>
  </si>
  <si>
    <t xml:space="preserve">        SQLInsertValues = SQLInsertValues.AddtoDBString(Me.TowerRedundantHipBoltEdgeDistance.NullableToString.FormatDBValue)</t>
  </si>
  <si>
    <t xml:space="preserve">        SQLInsertValues = SQLInsertValues.AddtoDBString(Me.TowerRedundantHipGageG1Distance.NullableToString.FormatDBValue)</t>
  </si>
  <si>
    <t xml:space="preserve">        SQLInsertValues = SQLInsertValues.AddtoDBString(Me.TowerRedundantHipNetWidthDeduct.NullableToString.FormatDBValue)</t>
  </si>
  <si>
    <t xml:space="preserve">        SQLInsertValues = SQLInsertValues.AddtoDBString(Me.TowerRedundantHipUFactor.NullableToString.FormatDBValue)</t>
  </si>
  <si>
    <t xml:space="preserve">        SQLInsertValues = SQLInsertValues.AddtoDBString(Me.TowerRedundantHipDiagonalBoltGrade.NullableToString.FormatDBValue)</t>
  </si>
  <si>
    <t xml:space="preserve">        SQLInsertValues = SQLInsertValues.AddtoDBString(Me.TowerRedundantHipDiagonalBoltSize.NullableToString.FormatDBValue)</t>
  </si>
  <si>
    <t xml:space="preserve">        SQLInsertValues = SQLInsertValues.AddtoDBString(Me.TowerRedundantHipDiagonalNumBolts.NullableToString.FormatDBValue)</t>
  </si>
  <si>
    <t xml:space="preserve">        SQLInsertValues = SQLInsertValues.AddtoDBString(Me.TowerRedundantHipDiagonalBoltEdgeDistance.NullableToString.FormatDBValue)</t>
  </si>
  <si>
    <t xml:space="preserve">        SQLInsertValues = SQLInsertValues.AddtoDBString(Me.TowerRedundantHipDiagonalGageG1Distance.NullableToString.FormatDBValue)</t>
  </si>
  <si>
    <t xml:space="preserve">        SQLInsertValues = SQLInsertValues.AddtoDBString(Me.TowerRedundantHipDiagonalNetWidthDeduct.NullableToString.FormatDBValue)</t>
  </si>
  <si>
    <t xml:space="preserve">        SQLInsertValues = SQLInsertValues.AddtoDBString(Me.TowerRedundantHipDiagonalUFactor.NullableToString.FormatDBValue)</t>
  </si>
  <si>
    <t xml:space="preserve">        SQLInsertValues = SQLInsertValues.AddtoDBString(Me.TowerDiagonalOutOfPlaneRestraint.NullableToString.FormatDBValue)</t>
  </si>
  <si>
    <t xml:space="preserve">        SQLInsertValues = SQLInsertValues.AddtoDBString(Me.TowerTopGirtOutOfPlaneRestraint.NullableToString.FormatDBValue)</t>
  </si>
  <si>
    <t xml:space="preserve">        SQLInsertValues = SQLInsertValues.AddtoDBString(Me.TowerBottomGirtOutOfPlaneRestraint.NullableToString.FormatDBValue)</t>
  </si>
  <si>
    <t xml:space="preserve">        SQLInsertValues = SQLInsertValues.AddtoDBString(Me.TowerMidGirtOutOfPlaneRestraint.NullableToString.FormatDBValue)</t>
  </si>
  <si>
    <t xml:space="preserve">        SQLInsertValues = SQLInsertValues.AddtoDBString(Me.TowerHorizontalOutOfPlaneRestraint.NullableToString.FormatDBValue)</t>
  </si>
  <si>
    <t xml:space="preserve">        SQLInsertValues = SQLInsertValues.AddtoDBString(Me.TowerSecondaryHorizontalOutOfPlaneRestraint.NullableToString.FormatDBValue)</t>
  </si>
  <si>
    <t xml:space="preserve">        SQLInsertValues = SQLInsertValues.AddtoDBString(Me.TowerUniqueFlag.NullableToString.FormatDBValue)</t>
  </si>
  <si>
    <t xml:space="preserve">        SQLInsertValues = SQLInsertValues.AddtoDBString(Me.TowerDiagOffsetNEY.NullableToString.FormatDBValue)</t>
  </si>
  <si>
    <t xml:space="preserve">        SQLInsertValues = SQLInsertValues.AddtoDBString(Me.TowerDiagOffsetNEX.NullableToString.FormatDBValue)</t>
  </si>
  <si>
    <t xml:space="preserve">        SQLInsertValues = SQLInsertValues.AddtoDBString(Me.TowerDiagOffsetPEY.NullableToString.FormatDBValue)</t>
  </si>
  <si>
    <t xml:space="preserve">        SQLInsertValues = SQLInsertValues.AddtoDBString(Me.TowerDiagOffsetPEX.NullableToString.FormatDBValue)</t>
  </si>
  <si>
    <t xml:space="preserve">        SQLInsertValues = SQLInsertValues.AddtoDBString(Me.TowerKbraceOffsetNEY.NullableToString.FormatDBValue)</t>
  </si>
  <si>
    <t xml:space="preserve">        SQLInsertValues = SQLInsertValues.AddtoDBString(Me.TowerKbraceOffsetNEX.NullableToString.FormatDBValue)</t>
  </si>
  <si>
    <t xml:space="preserve">        SQLInsertValues = SQLInsertValues.AddtoDBString(Me.TowerKbraceOffsetPEY.NullableToString.FormatDBValue)</t>
  </si>
  <si>
    <t xml:space="preserve">        SQLInsertValues = SQLInsertValues.AddtoDBString(Me.TowerKbraceOffsetPEX.NullableToString.FormatDBValue)</t>
  </si>
  <si>
    <t xml:space="preserve">        SQLInsertValues = SQLInsertValues.AddtoDBString(Me.TowerRedundantHorizontalGrade.NullableToString.FormatDBValue)</t>
  </si>
  <si>
    <t xml:space="preserve">        SQLInsertValues = SQLInsertValues.AddtoDBString(Me.TowerRedundantHorizontalMatlGrade.NullableToString.FormatDBValue)</t>
  </si>
  <si>
    <t xml:space="preserve">        SQLInsertValues = SQLInsertValues.AddtoDBString(Me.TowerRedundantHorizontalGrade2.NullableToString.FormatDBValue)</t>
  </si>
  <si>
    <t xml:space="preserve">        SQLInsertValues = SQLInsertValues.AddtoDBString(Me.TowerRedundantHorizontalMatlGrade2.NullableToString.FormatDBValue)</t>
  </si>
  <si>
    <t xml:space="preserve">        SQLInsertValues = SQLInsertValues.AddtoDBString(Me.TowerRedundantHorizontalGrade3.NullableToString.FormatDBValue)</t>
  </si>
  <si>
    <t xml:space="preserve">        SQLInsertValues = SQLInsertValues.AddtoDBString(Me.TowerRedundantHorizontalMatlGrade3.NullableToString.FormatDBValue)</t>
  </si>
  <si>
    <t xml:space="preserve">        SQLInsertValues = SQLInsertValues.AddtoDBString(Me.TowerRedundantHorizontalGrade4.NullableToString.FormatDBValue)</t>
  </si>
  <si>
    <t xml:space="preserve">        SQLInsertValues = SQLInsertValues.AddtoDBString(Me.TowerRedundantHorizontalMatlGrade4.NullableToString.FormatDBValue)</t>
  </si>
  <si>
    <t xml:space="preserve">        SQLInsertValues = SQLInsertValues.AddtoDBString(Me.TowerRedundantDiagonalGrade.NullableToString.FormatDBValue)</t>
  </si>
  <si>
    <t xml:space="preserve">        SQLInsertValues = SQLInsertValues.AddtoDBString(Me.TowerRedundantDiagonalMatlGrade.NullableToString.FormatDBValue)</t>
  </si>
  <si>
    <t xml:space="preserve">        SQLInsertValues = SQLInsertValues.AddtoDBString(Me.TowerRedundantDiagonalGrade2.NullableToString.FormatDBValue)</t>
  </si>
  <si>
    <t xml:space="preserve">        SQLInsertValues = SQLInsertValues.AddtoDBString(Me.TowerRedundantDiagonalMatlGrade2.NullableToString.FormatDBValue)</t>
  </si>
  <si>
    <t xml:space="preserve">        SQLInsertValues = SQLInsertValues.AddtoDBString(Me.TowerRedundantDiagonalGrade3.NullableToString.FormatDBValue)</t>
  </si>
  <si>
    <t xml:space="preserve">        SQLInsertValues = SQLInsertValues.AddtoDBString(Me.TowerRedundantDiagonalMatlGrade3.NullableToString.FormatDBValue)</t>
  </si>
  <si>
    <t xml:space="preserve">        SQLInsertValues = SQLInsertValues.AddtoDBString(Me.TowerRedundantDiagonalGrade4.NullableToString.FormatDBValue)</t>
  </si>
  <si>
    <t xml:space="preserve">        SQLInsertValues = SQLInsertValues.AddtoDBString(Me.TowerRedundantDiagonalMatlGrade4.NullableToString.FormatDBValue)</t>
  </si>
  <si>
    <t xml:space="preserve">        SQLInsertValues = SQLInsertValues.AddtoDBString(Me.TowerRedundantSubHorizontalGrade.NullableToString.FormatDBValue)</t>
  </si>
  <si>
    <t xml:space="preserve">        SQLInsertValues = SQLInsertValues.AddtoDBString(Me.TowerRedundantSubHorizontalMatlGrade.NullableToString.FormatDBValue)</t>
  </si>
  <si>
    <t xml:space="preserve">        SQLInsertValues = SQLInsertValues.AddtoDBString(Me.TowerRedundantSubDiagonalGrade.NullableToString.FormatDBValue)</t>
  </si>
  <si>
    <t xml:space="preserve">        SQLInsertValues = SQLInsertValues.AddtoDBString(Me.TowerRedundantSubDiagonalMatlGrade.NullableToString.FormatDBValue)</t>
  </si>
  <si>
    <t xml:space="preserve">        SQLInsertValues = SQLInsertValues.AddtoDBString(Me.TowerRedundantVerticalGrade.NullableToString.FormatDBValue)</t>
  </si>
  <si>
    <t xml:space="preserve">        SQLInsertValues = SQLInsertValues.AddtoDBString(Me.TowerRedundantVerticalMatlGrade3.NullableToString.FormatDBValue)</t>
  </si>
  <si>
    <t xml:space="preserve">        SQLInsertValues = SQLInsertValues.AddtoDBString(Me.TowerRedundantHipGrade.NullableToString.FormatDBValue)</t>
  </si>
  <si>
    <t xml:space="preserve">        SQLInsertValues = SQLInsertValues.AddtoDBString(Me.TowerRedundantHipMatlGrade.NullableToString.FormatDBValue)</t>
  </si>
  <si>
    <t xml:space="preserve">        SQLInsertValues = SQLInsertValues.AddtoDBString(Me.TowerRedundantHipGrade2.NullableToString.FormatDBValue)</t>
  </si>
  <si>
    <t xml:space="preserve">        SQLInsertValues = SQLInsertValues.AddtoDBString(Me.TowerRedundantHipMatlGrade2.NullableToString.FormatDBValue)</t>
  </si>
  <si>
    <t xml:space="preserve">        SQLInsertValues = SQLInsertValues.AddtoDBString(Me.TowerRedundantHipGrade3.NullableToString.FormatDBValue)</t>
  </si>
  <si>
    <t xml:space="preserve">        SQLInsertValues = SQLInsertValues.AddtoDBString(Me.TowerRedundantHipMatlGrade3.NullableToString.FormatDBValue)</t>
  </si>
  <si>
    <t xml:space="preserve">        SQLInsertValues = SQLInsertValues.AddtoDBString(Me.TowerRedundantHipGrade4.NullableToString.FormatDBValue)</t>
  </si>
  <si>
    <t xml:space="preserve">        SQLInsertValues = SQLInsertValues.AddtoDBString(Me.TowerRedundantHipMatlGrade4.NullableToString.FormatDBValue)</t>
  </si>
  <si>
    <t xml:space="preserve">        SQLInsertValues = SQLInsertValues.AddtoDBString(Me.TowerRedundantHipDiagonalGrade.NullableToString.FormatDBValue)</t>
  </si>
  <si>
    <t xml:space="preserve">        SQLInsertValues = SQLInsertValues.AddtoDBString(Me.TowerRedundantHipDiagonalMatlGrade.NullableToString.FormatDBValue)</t>
  </si>
  <si>
    <t xml:space="preserve">        SQLInsertValues = SQLInsertValues.AddtoDBString(Me.TowerRedundantHipDiagonalGrade2.NullableToString.FormatDBValue)</t>
  </si>
  <si>
    <t xml:space="preserve">        SQLInsertValues = SQLInsertValues.AddtoDBString(Me.TowerRedundantHipDiagonalMatlGrade2.NullableToString.FormatDBValue)</t>
  </si>
  <si>
    <t xml:space="preserve">        SQLInsertValues = SQLInsertValues.AddtoDBString(Me.TowerRedundantHipDiagonalGrade3.NullableToString.FormatDBValue)</t>
  </si>
  <si>
    <t xml:space="preserve">        SQLInsertValues = SQLInsertValues.AddtoDBString(Me.TowerRedundantHipDiagonalMatlGrade3.NullableToString.FormatDBValue)</t>
  </si>
  <si>
    <t xml:space="preserve">        SQLInsertValues = SQLInsertValues.AddtoDBString(Me.TowerRedundantHipDiagonalGrade4.NullableToString.FormatDBValue)</t>
  </si>
  <si>
    <t xml:space="preserve">        SQLInsertValues = SQLInsertValues.AddtoDBString(Me.TowerRedundantHipDiagonalMatlGrade4.NullableToString.FormatDBValue)</t>
  </si>
  <si>
    <t xml:space="preserve">        SQLInsertValues = SQLInsertValues.AddtoDBString(Me.TowerRedundantHorizontalType.NullableToString.FormatDBValue)</t>
  </si>
  <si>
    <t xml:space="preserve">        SQLInsertValues = SQLInsertValues.AddtoDBString(Me.TowerRedundantHorizontalType2.NullableToString.FormatDBValue)</t>
  </si>
  <si>
    <t xml:space="preserve">        SQLInsertValues = SQLInsertValues.AddtoDBString(Me.TowerRedundantHorizontalType3.NullableToString.FormatDBValue)</t>
  </si>
  <si>
    <t xml:space="preserve">        SQLInsertValues = SQLInsertValues.AddtoDBString(Me.TowerRedundantHorizontalType4.NullableToString.FormatDBValue)</t>
  </si>
  <si>
    <t xml:space="preserve">        SQLInsertValues = SQLInsertValues.AddtoDBString(Me.TowerRedundantDiagType2.NullableToString.FormatDBValue)</t>
  </si>
  <si>
    <t xml:space="preserve">        SQLInsertValues = SQLInsertValues.AddtoDBString(Me.TowerRedundantDiagType3.NullableToString.FormatDBValue)</t>
  </si>
  <si>
    <t xml:space="preserve">        SQLInsertValues = SQLInsertValues.AddtoDBString(Me.TowerRedundantDiagType4.NullableToString.FormatDBValue)</t>
  </si>
  <si>
    <t xml:space="preserve">        SQLInsertValues = SQLInsertValues.AddtoDBString(Me.TowerRedundantHipType2.NullableToString.FormatDBValue)</t>
  </si>
  <si>
    <t xml:space="preserve">        SQLInsertValues = SQLInsertValues.AddtoDBString(Me.TowerRedundantHipType3.NullableToString.FormatDBValue)</t>
  </si>
  <si>
    <t xml:space="preserve">        SQLInsertValues = SQLInsertValues.AddtoDBString(Me.TowerRedundantHipType4.NullableToString.FormatDBValue)</t>
  </si>
  <si>
    <t xml:space="preserve">        SQLInsertValues = SQLInsertValues.AddtoDBString(Me.TowerRedundantHipDiagonalType2.NullableToString.FormatDBValue)</t>
  </si>
  <si>
    <t xml:space="preserve">        SQLInsertValues = SQLInsertValues.AddtoDBString(Me.TowerRedundantHipDiagonalType3.NullableToString.FormatDBValue)</t>
  </si>
  <si>
    <t xml:space="preserve">        SQLInsertValues = SQLInsertValues.AddtoDBString(Me.TowerRedundantHipDiagonalType4.NullableToString.FormatDBValue)</t>
  </si>
  <si>
    <t xml:space="preserve">        SQLInsertValues = SQLInsertValues.AddtoDBString(Me.TowerRedundantHorizontalBoltGrade1.NullableToString.FormatDBValue)</t>
  </si>
  <si>
    <t xml:space="preserve">        SQLInsertValues = SQLInsertValues.AddtoDBString(Me.TowerRedundantHorizontalBoltSize1.NullableToString.FormatDBValue)</t>
  </si>
  <si>
    <t xml:space="preserve">        SQLInsertValues = SQLInsertValues.AddtoDBString(Me.TowerRedundantHorizontalNumBolts1.NullableToString.FormatDBValue)</t>
  </si>
  <si>
    <t xml:space="preserve">        SQLInsertValues = SQLInsertValues.AddtoDBString(Me.TowerRedundantHorizontalBoltEdgeDistance1.NullableToString.FormatDBValue)</t>
  </si>
  <si>
    <t xml:space="preserve">        SQLInsertValues = SQLInsertValues.AddtoDBString(Me.TowerRedundantHorizontalGageG1Distance1.NullableToString.FormatDBValue)</t>
  </si>
  <si>
    <t xml:space="preserve">        SQLInsertValues = SQLInsertValues.AddtoDBString(Me.TowerRedundantHorizontalNetWidthDeduct1.NullableToString.FormatDBValue)</t>
  </si>
  <si>
    <t xml:space="preserve">        SQLInsertValues = SQLInsertValues.AddtoDBString(Me.TowerRedundantHorizontalUFactor1.NullableToString.FormatDBValue)</t>
  </si>
  <si>
    <t xml:space="preserve">        SQLInsertValues = SQLInsertValues.AddtoDBString(Me.TowerRedundantHorizontalBoltGrade2.NullableToString.FormatDBValue)</t>
  </si>
  <si>
    <t xml:space="preserve">        SQLInsertValues = SQLInsertValues.AddtoDBString(Me.TowerRedundantHorizontalBoltSize2.NullableToString.FormatDBValue)</t>
  </si>
  <si>
    <t xml:space="preserve">        SQLInsertValues = SQLInsertValues.AddtoDBString(Me.TowerRedundantHorizontalNumBolts2.NullableToString.FormatDBValue)</t>
  </si>
  <si>
    <t xml:space="preserve">        SQLInsertValues = SQLInsertValues.AddtoDBString(Me.TowerRedundantHorizontalBoltEdgeDistance2.NullableToString.FormatDBValue)</t>
  </si>
  <si>
    <t xml:space="preserve">        SQLInsertValues = SQLInsertValues.AddtoDBString(Me.TowerRedundantHorizontalGageG1Distance2.NullableToString.FormatDBValue)</t>
  </si>
  <si>
    <t xml:space="preserve">        SQLInsertValues = SQLInsertValues.AddtoDBString(Me.TowerRedundantHorizontalNetWidthDeduct2.NullableToString.FormatDBValue)</t>
  </si>
  <si>
    <t xml:space="preserve">        SQLInsertValues = SQLInsertValues.AddtoDBString(Me.TowerRedundantHorizontalUFactor2.NullableToString.FormatDBValue)</t>
  </si>
  <si>
    <t xml:space="preserve">        SQLInsertValues = SQLInsertValues.AddtoDBString(Me.TowerRedundantHorizontalBoltGrade3.NullableToString.FormatDBValue)</t>
  </si>
  <si>
    <t xml:space="preserve">        SQLInsertValues = SQLInsertValues.AddtoDBString(Me.TowerRedundantHorizontalBoltSize3.NullableToString.FormatDBValue)</t>
  </si>
  <si>
    <t xml:space="preserve">        SQLInsertValues = SQLInsertValues.AddtoDBString(Me.TowerRedundantHorizontalNumBolts3.NullableToString.FormatDBValue)</t>
  </si>
  <si>
    <t xml:space="preserve">        SQLInsertValues = SQLInsertValues.AddtoDBString(Me.TowerRedundantHorizontalBoltEdgeDistance3.NullableToString.FormatDBValue)</t>
  </si>
  <si>
    <t xml:space="preserve">        SQLInsertValues = SQLInsertValues.AddtoDBString(Me.TowerRedundantHorizontalGageG1Distance3.NullableToString.FormatDBValue)</t>
  </si>
  <si>
    <t xml:space="preserve">        SQLInsertValues = SQLInsertValues.AddtoDBString(Me.TowerRedundantHorizontalNetWidthDeduct3.NullableToString.FormatDBValue)</t>
  </si>
  <si>
    <t xml:space="preserve">        SQLInsertValues = SQLInsertValues.AddtoDBString(Me.TowerRedundantHorizontalUFactor3.NullableToString.FormatDBValue)</t>
  </si>
  <si>
    <t xml:space="preserve">        SQLInsertValues = SQLInsertValues.AddtoDBString(Me.TowerRedundantHorizontalBoltGrade4.NullableToString.FormatDBValue)</t>
  </si>
  <si>
    <t xml:space="preserve">        SQLInsertValues = SQLInsertValues.AddtoDBString(Me.TowerRedundantHorizontalBoltSize4.NullableToString.FormatDBValue)</t>
  </si>
  <si>
    <t xml:space="preserve">        SQLInsertValues = SQLInsertValues.AddtoDBString(Me.TowerRedundantHorizontalNumBolts4.NullableToString.FormatDBValue)</t>
  </si>
  <si>
    <t xml:space="preserve">        SQLInsertValues = SQLInsertValues.AddtoDBString(Me.TowerRedundantHorizontalBoltEdgeDistance4.NullableToString.FormatDBValue)</t>
  </si>
  <si>
    <t xml:space="preserve">        SQLInsertValues = SQLInsertValues.AddtoDBString(Me.TowerRedundantHorizontalGageG1Distance4.NullableToString.FormatDBValue)</t>
  </si>
  <si>
    <t xml:space="preserve">        SQLInsertValues = SQLInsertValues.AddtoDBString(Me.TowerRedundantHorizontalNetWidthDeduct4.NullableToString.FormatDBValue)</t>
  </si>
  <si>
    <t xml:space="preserve">        SQLInsertValues = SQLInsertValues.AddtoDBString(Me.TowerRedundantHorizontalUFactor4.NullableToString.FormatDBValue)</t>
  </si>
  <si>
    <t xml:space="preserve">        SQLInsertValues = SQLInsertValues.AddtoDBString(Me.TowerRedundantDiagonalBoltGrade1.NullableToString.FormatDBValue)</t>
  </si>
  <si>
    <t xml:space="preserve">        SQLInsertValues = SQLInsertValues.AddtoDBString(Me.TowerRedundantDiagonalBoltSize1.NullableToString.FormatDBValue)</t>
  </si>
  <si>
    <t xml:space="preserve">        SQLInsertValues = SQLInsertValues.AddtoDBString(Me.TowerRedundantDiagonalNumBolts1.NullableToString.FormatDBValue)</t>
  </si>
  <si>
    <t xml:space="preserve">        SQLInsertValues = SQLInsertValues.AddtoDBString(Me.TowerRedundantDiagonalBoltEdgeDistance1.NullableToString.FormatDBValue)</t>
  </si>
  <si>
    <t xml:space="preserve">        SQLInsertValues = SQLInsertValues.AddtoDBString(Me.TowerRedundantDiagonalGageG1Distance1.NullableToString.FormatDBValue)</t>
  </si>
  <si>
    <t xml:space="preserve">        SQLInsertValues = SQLInsertValues.AddtoDBString(Me.TowerRedundantDiagonalNetWidthDeduct1.NullableToString.FormatDBValue)</t>
  </si>
  <si>
    <t xml:space="preserve">        SQLInsertValues = SQLInsertValues.AddtoDBString(Me.TowerRedundantDiagonalUFactor1.NullableToString.FormatDBValue)</t>
  </si>
  <si>
    <t xml:space="preserve">        SQLInsertValues = SQLInsertValues.AddtoDBString(Me.TowerRedundantDiagonalBoltGrade2.NullableToString.FormatDBValue)</t>
  </si>
  <si>
    <t xml:space="preserve">        SQLInsertValues = SQLInsertValues.AddtoDBString(Me.TowerRedundantDiagonalBoltSize2.NullableToString.FormatDBValue)</t>
  </si>
  <si>
    <t xml:space="preserve">        SQLInsertValues = SQLInsertValues.AddtoDBString(Me.TowerRedundantDiagonalNumBolts2.NullableToString.FormatDBValue)</t>
  </si>
  <si>
    <t xml:space="preserve">        SQLInsertValues = SQLInsertValues.AddtoDBString(Me.TowerRedundantDiagonalBoltEdgeDistance2.NullableToString.FormatDBValue)</t>
  </si>
  <si>
    <t xml:space="preserve">        SQLInsertValues = SQLInsertValues.AddtoDBString(Me.TowerRedundantDiagonalGageG1Distance2.NullableToString.FormatDBValue)</t>
  </si>
  <si>
    <t xml:space="preserve">        SQLInsertValues = SQLInsertValues.AddtoDBString(Me.TowerRedundantDiagonalNetWidthDeduct2.NullableToString.FormatDBValue)</t>
  </si>
  <si>
    <t xml:space="preserve">        SQLInsertValues = SQLInsertValues.AddtoDBString(Me.TowerRedundantDiagonalUFactor2.NullableToString.FormatDBValue)</t>
  </si>
  <si>
    <t xml:space="preserve">        SQLInsertValues = SQLInsertValues.AddtoDBString(Me.TowerRedundantDiagonalBoltGrade3.NullableToString.FormatDBValue)</t>
  </si>
  <si>
    <t xml:space="preserve">        SQLInsertValues = SQLInsertValues.AddtoDBString(Me.TowerRedundantDiagonalBoltSize3.NullableToString.FormatDBValue)</t>
  </si>
  <si>
    <t xml:space="preserve">        SQLInsertValues = SQLInsertValues.AddtoDBString(Me.TowerRedundantDiagonalNumBolts3.NullableToString.FormatDBValue)</t>
  </si>
  <si>
    <t xml:space="preserve">        SQLInsertValues = SQLInsertValues.AddtoDBString(Me.TowerRedundantDiagonalBoltEdgeDistance3.NullableToString.FormatDBValue)</t>
  </si>
  <si>
    <t xml:space="preserve">        SQLInsertValues = SQLInsertValues.AddtoDBString(Me.TowerRedundantDiagonalGageG1Distance3.NullableToString.FormatDBValue)</t>
  </si>
  <si>
    <t xml:space="preserve">        SQLInsertValues = SQLInsertValues.AddtoDBString(Me.TowerRedundantDiagonalNetWidthDeduct3.NullableToString.FormatDBValue)</t>
  </si>
  <si>
    <t xml:space="preserve">        SQLInsertValues = SQLInsertValues.AddtoDBString(Me.TowerRedundantDiagonalUFactor3.NullableToString.FormatDBValue)</t>
  </si>
  <si>
    <t xml:space="preserve">        SQLInsertValues = SQLInsertValues.AddtoDBString(Me.TowerRedundantDiagonalBoltGrade4.NullableToString.FormatDBValue)</t>
  </si>
  <si>
    <t xml:space="preserve">        SQLInsertValues = SQLInsertValues.AddtoDBString(Me.TowerRedundantDiagonalBoltSize4.NullableToString.FormatDBValue)</t>
  </si>
  <si>
    <t xml:space="preserve">        SQLInsertValues = SQLInsertValues.AddtoDBString(Me.TowerRedundantDiagonalNumBolts4.NullableToString.FormatDBValue)</t>
  </si>
  <si>
    <t xml:space="preserve">        SQLInsertValues = SQLInsertValues.AddtoDBString(Me.TowerRedundantDiagonalBoltEdgeDistance4.NullableToString.FormatDBValue)</t>
  </si>
  <si>
    <t xml:space="preserve">        SQLInsertValues = SQLInsertValues.AddtoDBString(Me.TowerRedundantDiagonalGageG1Distance4.NullableToString.FormatDBValue)</t>
  </si>
  <si>
    <t xml:space="preserve">        SQLInsertValues = SQLInsertValues.AddtoDBString(Me.TowerRedundantDiagonalNetWidthDeduct4.NullableToString.FormatDBValue)</t>
  </si>
  <si>
    <t xml:space="preserve">        SQLInsertValues = SQLInsertValues.AddtoDBString(Me.TowerRedundantDiagonalUFactor4.NullableToString.FormatDBValue)</t>
  </si>
  <si>
    <t xml:space="preserve">        SQLInsertValues = SQLInsertValues.AddtoDBString(Me.TowerRedundantHipBoltGrade1.NullableToString.FormatDBValue)</t>
  </si>
  <si>
    <t xml:space="preserve">        SQLInsertValues = SQLInsertValues.AddtoDBString(Me.TowerRedundantHipBoltSize1.NullableToString.FormatDBValue)</t>
  </si>
  <si>
    <t xml:space="preserve">        SQLInsertValues = SQLInsertValues.AddtoDBString(Me.TowerRedundantHipNumBolts1.NullableToString.FormatDBValue)</t>
  </si>
  <si>
    <t xml:space="preserve">        SQLInsertValues = SQLInsertValues.AddtoDBString(Me.TowerRedundantHipBoltEdgeDistance1.NullableToString.FormatDBValue)</t>
  </si>
  <si>
    <t xml:space="preserve">        SQLInsertValues = SQLInsertValues.AddtoDBString(Me.TowerRedundantHipGageG1Distance1.NullableToString.FormatDBValue)</t>
  </si>
  <si>
    <t xml:space="preserve">        SQLInsertValues = SQLInsertValues.AddtoDBString(Me.TowerRedundantHipNetWidthDeduct1.NullableToString.FormatDBValue)</t>
  </si>
  <si>
    <t xml:space="preserve">        SQLInsertValues = SQLInsertValues.AddtoDBString(Me.TowerRedundantHipUFactor1.NullableToString.FormatDBValue)</t>
  </si>
  <si>
    <t xml:space="preserve">        SQLInsertValues = SQLInsertValues.AddtoDBString(Me.TowerRedundantHipBoltGrade2.NullableToString.FormatDBValue)</t>
  </si>
  <si>
    <t xml:space="preserve">        SQLInsertValues = SQLInsertValues.AddtoDBString(Me.TowerRedundantHipBoltSize2.NullableToString.FormatDBValue)</t>
  </si>
  <si>
    <t xml:space="preserve">        SQLInsertValues = SQLInsertValues.AddtoDBString(Me.TowerRedundantHipNumBolts2.NullableToString.FormatDBValue)</t>
  </si>
  <si>
    <t xml:space="preserve">        SQLInsertValues = SQLInsertValues.AddtoDBString(Me.TowerRedundantHipBoltEdgeDistance2.NullableToString.FormatDBValue)</t>
  </si>
  <si>
    <t xml:space="preserve">        SQLInsertValues = SQLInsertValues.AddtoDBString(Me.TowerRedundantHipGageG1Distance2.NullableToString.FormatDBValue)</t>
  </si>
  <si>
    <t xml:space="preserve">        SQLInsertValues = SQLInsertValues.AddtoDBString(Me.TowerRedundantHipNetWidthDeduct2.NullableToString.FormatDBValue)</t>
  </si>
  <si>
    <t xml:space="preserve">        SQLInsertValues = SQLInsertValues.AddtoDBString(Me.TowerRedundantHipUFactor2.NullableToString.FormatDBValue)</t>
  </si>
  <si>
    <t xml:space="preserve">        SQLInsertValues = SQLInsertValues.AddtoDBString(Me.TowerRedundantHipBoltGrade3.NullableToString.FormatDBValue)</t>
  </si>
  <si>
    <t xml:space="preserve">        SQLInsertValues = SQLInsertValues.AddtoDBString(Me.TowerRedundantHipBoltSize3.NullableToString.FormatDBValue)</t>
  </si>
  <si>
    <t xml:space="preserve">        SQLInsertValues = SQLInsertValues.AddtoDBString(Me.TowerRedundantHipNumBolts3.NullableToString.FormatDBValue)</t>
  </si>
  <si>
    <t xml:space="preserve">        SQLInsertValues = SQLInsertValues.AddtoDBString(Me.TowerRedundantHipBoltEdgeDistance3.NullableToString.FormatDBValue)</t>
  </si>
  <si>
    <t xml:space="preserve">        SQLInsertValues = SQLInsertValues.AddtoDBString(Me.TowerRedundantHipGageG1Distance3.NullableToString.FormatDBValue)</t>
  </si>
  <si>
    <t xml:space="preserve">        SQLInsertValues = SQLInsertValues.AddtoDBString(Me.TowerRedundantHipNetWidthDeduct3.NullableToString.FormatDBValue)</t>
  </si>
  <si>
    <t xml:space="preserve">        SQLInsertValues = SQLInsertValues.AddtoDBString(Me.TowerRedundantHipUFactor3.NullableToString.FormatDBValue)</t>
  </si>
  <si>
    <t xml:space="preserve">        SQLInsertValues = SQLInsertValues.AddtoDBString(Me.TowerRedundantHipBoltGrade4.NullableToString.FormatDBValue)</t>
  </si>
  <si>
    <t xml:space="preserve">        SQLInsertValues = SQLInsertValues.AddtoDBString(Me.TowerRedundantHipBoltSize4.NullableToString.FormatDBValue)</t>
  </si>
  <si>
    <t xml:space="preserve">        SQLInsertValues = SQLInsertValues.AddtoDBString(Me.TowerRedundantHipNumBolts4.NullableToString.FormatDBValue)</t>
  </si>
  <si>
    <t xml:space="preserve">        SQLInsertValues = SQLInsertValues.AddtoDBString(Me.TowerRedundantHipBoltEdgeDistance4.NullableToString.FormatDBValue)</t>
  </si>
  <si>
    <t xml:space="preserve">        SQLInsertValues = SQLInsertValues.AddtoDBString(Me.TowerRedundantHipGageG1Distance4.NullableToString.FormatDBValue)</t>
  </si>
  <si>
    <t xml:space="preserve">        SQLInsertValues = SQLInsertValues.AddtoDBString(Me.TowerRedundantHipNetWidthDeduct4.NullableToString.FormatDBValue)</t>
  </si>
  <si>
    <t xml:space="preserve">        SQLInsertValues = SQLInsertValues.AddtoDBString(Me.TowerRedundantHipUFactor4.NullableToString.FormatDBValue)</t>
  </si>
  <si>
    <t xml:space="preserve">        SQLInsertValues = SQLInsertValues.AddtoDBString(Me.TowerRedundantHipDiagonalBoltGrade1.NullableToString.FormatDBValue)</t>
  </si>
  <si>
    <t xml:space="preserve">        SQLInsertValues = SQLInsertValues.AddtoDBString(Me.TowerRedundantHipDiagonalBoltSize1.NullableToString.FormatDBValue)</t>
  </si>
  <si>
    <t xml:space="preserve">        SQLInsertValues = SQLInsertValues.AddtoDBString(Me.TowerRedundantHipDiagonalNumBolts1.NullableToString.FormatDBValue)</t>
  </si>
  <si>
    <t xml:space="preserve">        SQLInsertValues = SQLInsertValues.AddtoDBString(Me.TowerRedundantHipDiagonalBoltEdgeDistance1.NullableToString.FormatDBValue)</t>
  </si>
  <si>
    <t xml:space="preserve">        SQLInsertValues = SQLInsertValues.AddtoDBString(Me.TowerRedundantHipDiagonalGageG1Distance1.NullableToString.FormatDBValue)</t>
  </si>
  <si>
    <t xml:space="preserve">        SQLInsertValues = SQLInsertValues.AddtoDBString(Me.TowerRedundantHipDiagonalNetWidthDeduct1.NullableToString.FormatDBValue)</t>
  </si>
  <si>
    <t xml:space="preserve">        SQLInsertValues = SQLInsertValues.AddtoDBString(Me.TowerRedundantHipDiagonalUFactor1.NullableToString.FormatDBValue)</t>
  </si>
  <si>
    <t xml:space="preserve">        SQLInsertValues = SQLInsertValues.AddtoDBString(Me.TowerRedundantHipDiagonalBoltGrade2.NullableToString.FormatDBValue)</t>
  </si>
  <si>
    <t xml:space="preserve">        SQLInsertValues = SQLInsertValues.AddtoDBString(Me.TowerRedundantHipDiagonalBoltSize2.NullableToString.FormatDBValue)</t>
  </si>
  <si>
    <t xml:space="preserve">        SQLInsertValues = SQLInsertValues.AddtoDBString(Me.TowerRedundantHipDiagonalNumBolts2.NullableToString.FormatDBValue)</t>
  </si>
  <si>
    <t xml:space="preserve">        SQLInsertValues = SQLInsertValues.AddtoDBString(Me.TowerRedundantHipDiagonalBoltEdgeDistance2.NullableToString.FormatDBValue)</t>
  </si>
  <si>
    <t xml:space="preserve">        SQLInsertValues = SQLInsertValues.AddtoDBString(Me.TowerRedundantHipDiagonalGageG1Distance2.NullableToString.FormatDBValue)</t>
  </si>
  <si>
    <t xml:space="preserve">        SQLInsertValues = SQLInsertValues.AddtoDBString(Me.TowerRedundantHipDiagonalNetWidthDeduct2.NullableToString.FormatDBValue)</t>
  </si>
  <si>
    <t xml:space="preserve">        SQLInsertValues = SQLInsertValues.AddtoDBString(Me.TowerRedundantHipDiagonalUFactor2.NullableToString.FormatDBValue)</t>
  </si>
  <si>
    <t xml:space="preserve">        SQLInsertValues = SQLInsertValues.AddtoDBString(Me.TowerRedundantHipDiagonalBoltGrade3.NullableToString.FormatDBValue)</t>
  </si>
  <si>
    <t xml:space="preserve">        SQLInsertValues = SQLInsertValues.AddtoDBString(Me.TowerRedundantHipDiagonalBoltSize3.NullableToString.FormatDBValue)</t>
  </si>
  <si>
    <t xml:space="preserve">        SQLInsertValues = SQLInsertValues.AddtoDBString(Me.TowerRedundantHipDiagonalNumBolts3.NullableToString.FormatDBValue)</t>
  </si>
  <si>
    <t xml:space="preserve">        SQLInsertValues = SQLInsertValues.AddtoDBString(Me.TowerRedundantHipDiagonalBoltEdgeDistance3.NullableToString.FormatDBValue)</t>
  </si>
  <si>
    <t xml:space="preserve">        SQLInsertValues = SQLInsertValues.AddtoDBString(Me.TowerRedundantHipDiagonalGageG1Distance3.NullableToString.FormatDBValue)</t>
  </si>
  <si>
    <t xml:space="preserve">        SQLInsertValues = SQLInsertValues.AddtoDBString(Me.TowerRedundantHipDiagonalNetWidthDeduct3.NullableToString.FormatDBValue)</t>
  </si>
  <si>
    <t xml:space="preserve">        SQLInsertValues = SQLInsertValues.AddtoDBString(Me.TowerRedundantHipDiagonalUFactor3.NullableToString.FormatDBValue)</t>
  </si>
  <si>
    <t xml:space="preserve">        SQLInsertValues = SQLInsertValues.AddtoDBString(Me.TowerRedundantHipDiagonalBoltGrade4.NullableToString.FormatDBValue)</t>
  </si>
  <si>
    <t xml:space="preserve">        SQLInsertValues = SQLInsertValues.AddtoDBString(Me.TowerRedundantHipDiagonalBoltSize4.NullableToString.FormatDBValue)</t>
  </si>
  <si>
    <t xml:space="preserve">        SQLInsertValues = SQLInsertValues.AddtoDBString(Me.TowerRedundantHipDiagonalNumBolts4.NullableToString.FormatDBValue)</t>
  </si>
  <si>
    <t xml:space="preserve">        SQLInsertValues = SQLInsertValues.AddtoDBString(Me.TowerRedundantHipDiagonalBoltEdgeDistance4.NullableToString.FormatDBValue)</t>
  </si>
  <si>
    <t xml:space="preserve">        SQLInsertValues = SQLInsertValues.AddtoDBString(Me.TowerRedundantHipDiagonalGageG1Distance4.NullableToString.FormatDBValue)</t>
  </si>
  <si>
    <t xml:space="preserve">        SQLInsertValues = SQLInsertValues.AddtoDBString(Me.TowerRedundantHipDiagonalNetWidthDeduct4.NullableToString.FormatDBValue)</t>
  </si>
  <si>
    <t xml:space="preserve">        SQLInsertValues = SQLInsertValues.AddtoDBString(Me.TowerRedundantHipDiagonalUFactor4.NullableToString.FormatDBValue)</t>
  </si>
  <si>
    <t xml:space="preserve">        SQLInsertFields = SQLInsertFields.AddtoDBString("TowerRec")</t>
  </si>
  <si>
    <t xml:space="preserve">        SQLInsertFields = SQLInsertFields.AddtoDBString("TowerDatabase")</t>
  </si>
  <si>
    <t xml:space="preserve">        SQLInsertFields = SQLInsertFields.AddtoDBString("TowerName")</t>
  </si>
  <si>
    <t xml:space="preserve">        SQLInsertFields = SQLInsertFields.AddtoDBString("TowerHeight")</t>
  </si>
  <si>
    <t xml:space="preserve">        SQLInsertFields = SQLInsertFields.AddtoDBString("TowerFaceWidth")</t>
  </si>
  <si>
    <t xml:space="preserve">        SQLInsertFields = SQLInsertFields.AddtoDBString("TowerNumSections")</t>
  </si>
  <si>
    <t xml:space="preserve">        SQLInsertFields = SQLInsertFields.AddtoDBString("TowerSectionLength")</t>
  </si>
  <si>
    <t xml:space="preserve">        SQLInsertFields = SQLInsertFields.AddtoDBString("TowerDiagonalSpacing")</t>
  </si>
  <si>
    <t xml:space="preserve">        SQLInsertFields = SQLInsertFields.AddtoDBString("TowerDiagonalSpacingEx")</t>
  </si>
  <si>
    <t xml:space="preserve">        SQLInsertFields = SQLInsertFields.AddtoDBString("TowerBraceType")</t>
  </si>
  <si>
    <t xml:space="preserve">        SQLInsertFields = SQLInsertFields.AddtoDBString("TowerFaceBevel")</t>
  </si>
  <si>
    <t xml:space="preserve">        SQLInsertFields = SQLInsertFields.AddtoDBString("TowerTopGirtOffset")</t>
  </si>
  <si>
    <t xml:space="preserve">        SQLInsertFields = SQLInsertFields.AddtoDBString("TowerBotGirtOffset")</t>
  </si>
  <si>
    <t xml:space="preserve">        SQLInsertFields = SQLInsertFields.AddtoDBString("TowerHasKBraceEndPanels")</t>
  </si>
  <si>
    <t xml:space="preserve">        SQLInsertFields = SQLInsertFields.AddtoDBString("TowerHasHorizontals")</t>
  </si>
  <si>
    <t xml:space="preserve">        SQLInsertFields = SQLInsertFields.AddtoDBString("TowerLegType")</t>
  </si>
  <si>
    <t xml:space="preserve">        SQLInsertFields = SQLInsertFields.AddtoDBString("TowerLegSize")</t>
  </si>
  <si>
    <t xml:space="preserve">        SQLInsertFields = SQLInsertFields.AddtoDBString("TowerLegGrade")</t>
  </si>
  <si>
    <t xml:space="preserve">        SQLInsertFields = SQLInsertFields.AddtoDBString("TowerLegMatlGrade")</t>
  </si>
  <si>
    <t xml:space="preserve">        SQLInsertFields = SQLInsertFields.AddtoDBString("TowerDiagonalGrade")</t>
  </si>
  <si>
    <t xml:space="preserve">        SQLInsertFields = SQLInsertFields.AddtoDBString("TowerDiagonalMatlGrade")</t>
  </si>
  <si>
    <t xml:space="preserve">        SQLInsertFields = SQLInsertFields.AddtoDBString("TowerInnerBracingGrade")</t>
  </si>
  <si>
    <t xml:space="preserve">        SQLInsertFields = SQLInsertFields.AddtoDBString("TowerInnerBracingMatlGrade")</t>
  </si>
  <si>
    <t xml:space="preserve">        SQLInsertFields = SQLInsertFields.AddtoDBString("TowerTopGirtGrade")</t>
  </si>
  <si>
    <t xml:space="preserve">        SQLInsertFields = SQLInsertFields.AddtoDBString("TowerTopGirtMatlGrade")</t>
  </si>
  <si>
    <t xml:space="preserve">        SQLInsertFields = SQLInsertFields.AddtoDBString("TowerBotGirtGrade")</t>
  </si>
  <si>
    <t xml:space="preserve">        SQLInsertFields = SQLInsertFields.AddtoDBString("TowerBotGirtMatlGrade")</t>
  </si>
  <si>
    <t xml:space="preserve">        SQLInsertFields = SQLInsertFields.AddtoDBString("TowerInnerGirtGrade")</t>
  </si>
  <si>
    <t xml:space="preserve">        SQLInsertFields = SQLInsertFields.AddtoDBString("TowerInnerGirtMatlGrade")</t>
  </si>
  <si>
    <t xml:space="preserve">        SQLInsertFields = SQLInsertFields.AddtoDBString("TowerLongHorizontalGrade")</t>
  </si>
  <si>
    <t xml:space="preserve">        SQLInsertFields = SQLInsertFields.AddtoDBString("TowerLongHorizontalMatlGrade")</t>
  </si>
  <si>
    <t xml:space="preserve">        SQLInsertFields = SQLInsertFields.AddtoDBString("TowerShortHorizontalGrade")</t>
  </si>
  <si>
    <t xml:space="preserve">        SQLInsertFields = SQLInsertFields.AddtoDBString("TowerShortHorizontalMatlGrade")</t>
  </si>
  <si>
    <t xml:space="preserve">        SQLInsertFields = SQLInsertFields.AddtoDBString("TowerDiagonalType")</t>
  </si>
  <si>
    <t xml:space="preserve">        SQLInsertFields = SQLInsertFields.AddtoDBString("TowerDiagonalSize")</t>
  </si>
  <si>
    <t xml:space="preserve">        SQLInsertFields = SQLInsertFields.AddtoDBString("TowerInnerBracingType")</t>
  </si>
  <si>
    <t xml:space="preserve">        SQLInsertFields = SQLInsertFields.AddtoDBString("TowerInnerBracingSize")</t>
  </si>
  <si>
    <t xml:space="preserve">        SQLInsertFields = SQLInsertFields.AddtoDBString("TowerTopGirtType")</t>
  </si>
  <si>
    <t xml:space="preserve">        SQLInsertFields = SQLInsertFields.AddtoDBString("TowerTopGirtSize")</t>
  </si>
  <si>
    <t xml:space="preserve">        SQLInsertFields = SQLInsertFields.AddtoDBString("TowerBotGirtType")</t>
  </si>
  <si>
    <t xml:space="preserve">        SQLInsertFields = SQLInsertFields.AddtoDBString("TowerBotGirtSize")</t>
  </si>
  <si>
    <t xml:space="preserve">        SQLInsertFields = SQLInsertFields.AddtoDBString("TowerNumInnerGirts")</t>
  </si>
  <si>
    <t xml:space="preserve">        SQLInsertFields = SQLInsertFields.AddtoDBString("TowerInnerGirtType")</t>
  </si>
  <si>
    <t xml:space="preserve">        SQLInsertFields = SQLInsertFields.AddtoDBString("TowerInnerGirtSize")</t>
  </si>
  <si>
    <t xml:space="preserve">        SQLInsertFields = SQLInsertFields.AddtoDBString("TowerLongHorizontalType")</t>
  </si>
  <si>
    <t xml:space="preserve">        SQLInsertFields = SQLInsertFields.AddtoDBString("TowerLongHorizontalSize")</t>
  </si>
  <si>
    <t xml:space="preserve">        SQLInsertFields = SQLInsertFields.AddtoDBString("TowerShortHorizontalType")</t>
  </si>
  <si>
    <t xml:space="preserve">        SQLInsertFields = SQLInsertFields.AddtoDBString("TowerShortHorizontalSize")</t>
  </si>
  <si>
    <t xml:space="preserve">        SQLInsertFields = SQLInsertFields.AddtoDBString("TowerRedundantGrade")</t>
  </si>
  <si>
    <t xml:space="preserve">        SQLInsertFields = SQLInsertFields.AddtoDBString("TowerRedundantMatlGrade")</t>
  </si>
  <si>
    <t xml:space="preserve">        SQLInsertFields = SQLInsertFields.AddtoDBString("TowerRedundantType")</t>
  </si>
  <si>
    <t xml:space="preserve">        SQLInsertFields = SQLInsertFields.AddtoDBString("TowerRedundantDiagType")</t>
  </si>
  <si>
    <t xml:space="preserve">        SQLInsertFields = SQLInsertFields.AddtoDBString("TowerRedundantSubDiagonalType")</t>
  </si>
  <si>
    <t xml:space="preserve">        SQLInsertFields = SQLInsertFields.AddtoDBString("TowerRedundantSubHorizontalType")</t>
  </si>
  <si>
    <t xml:space="preserve">        SQLInsertFields = SQLInsertFields.AddtoDBString("TowerRedundantVerticalType")</t>
  </si>
  <si>
    <t xml:space="preserve">        SQLInsertFields = SQLInsertFields.AddtoDBString("TowerRedundantHipType")</t>
  </si>
  <si>
    <t xml:space="preserve">        SQLInsertFields = SQLInsertFields.AddtoDBString("TowerRedundantHipDiagonalType")</t>
  </si>
  <si>
    <t xml:space="preserve">        SQLInsertFields = SQLInsertFields.AddtoDBString("TowerRedundantHorizontalSize")</t>
  </si>
  <si>
    <t xml:space="preserve">        SQLInsertFields = SQLInsertFields.AddtoDBString("TowerRedundantHorizontalSize2")</t>
  </si>
  <si>
    <t xml:space="preserve">        SQLInsertFields = SQLInsertFields.AddtoDBString("TowerRedundantHorizontalSize3")</t>
  </si>
  <si>
    <t xml:space="preserve">        SQLInsertFields = SQLInsertFields.AddtoDBString("TowerRedundantHorizontalSize4")</t>
  </si>
  <si>
    <t xml:space="preserve">        SQLInsertFields = SQLInsertFields.AddtoDBString("TowerRedundantDiagonalSize")</t>
  </si>
  <si>
    <t xml:space="preserve">        SQLInsertFields = SQLInsertFields.AddtoDBString("TowerRedundantDiagonalSize2")</t>
  </si>
  <si>
    <t xml:space="preserve">        SQLInsertFields = SQLInsertFields.AddtoDBString("TowerRedundantDiagonalSize3")</t>
  </si>
  <si>
    <t xml:space="preserve">        SQLInsertFields = SQLInsertFields.AddtoDBString("TowerRedundantDiagonalSize4")</t>
  </si>
  <si>
    <t xml:space="preserve">        SQLInsertFields = SQLInsertFields.AddtoDBString("TowerRedundantSubHorizontalSize")</t>
  </si>
  <si>
    <t xml:space="preserve">        SQLInsertFields = SQLInsertFields.AddtoDBString("TowerRedundantSubDiagonalSize")</t>
  </si>
  <si>
    <t xml:space="preserve">        SQLInsertFields = SQLInsertFields.AddtoDBString("TowerSubDiagLocation")</t>
  </si>
  <si>
    <t xml:space="preserve">        SQLInsertFields = SQLInsertFields.AddtoDBString("TowerRedundantVerticalSize")</t>
  </si>
  <si>
    <t xml:space="preserve">        SQLInsertFields = SQLInsertFields.AddtoDBString("TowerRedundantHipSize")</t>
  </si>
  <si>
    <t xml:space="preserve">        SQLInsertFields = SQLInsertFields.AddtoDBString("TowerRedundantHipSize2")</t>
  </si>
  <si>
    <t xml:space="preserve">        SQLInsertFields = SQLInsertFields.AddtoDBString("TowerRedundantHipSize3")</t>
  </si>
  <si>
    <t xml:space="preserve">        SQLInsertFields = SQLInsertFields.AddtoDBString("TowerRedundantHipSize4")</t>
  </si>
  <si>
    <t xml:space="preserve">        SQLInsertFields = SQLInsertFields.AddtoDBString("TowerRedundantHipDiagonalSize")</t>
  </si>
  <si>
    <t xml:space="preserve">        SQLInsertFields = SQLInsertFields.AddtoDBString("TowerRedundantHipDiagonalSize2")</t>
  </si>
  <si>
    <t xml:space="preserve">        SQLInsertFields = SQLInsertFields.AddtoDBString("TowerRedundantHipDiagonalSize3")</t>
  </si>
  <si>
    <t xml:space="preserve">        SQLInsertFields = SQLInsertFields.AddtoDBString("TowerRedundantHipDiagonalSize4")</t>
  </si>
  <si>
    <t xml:space="preserve">        SQLInsertFields = SQLInsertFields.AddtoDBString("TowerSWMult")</t>
  </si>
  <si>
    <t xml:space="preserve">        SQLInsertFields = SQLInsertFields.AddtoDBString("TowerWPMult")</t>
  </si>
  <si>
    <t xml:space="preserve">        SQLInsertFields = SQLInsertFields.AddtoDBString("TowerAutoCalcKSingleAngle")</t>
  </si>
  <si>
    <t xml:space="preserve">        SQLInsertFields = SQLInsertFields.AddtoDBString("TowerAutoCalcKSolidRound")</t>
  </si>
  <si>
    <t xml:space="preserve">        SQLInsertFields = SQLInsertFields.AddtoDBString("TowerAfGusset")</t>
  </si>
  <si>
    <t xml:space="preserve">        SQLInsertFields = SQLInsertFields.AddtoDBString("TowerTfGusset")</t>
  </si>
  <si>
    <t xml:space="preserve">        SQLInsertFields = SQLInsertFields.AddtoDBString("TowerGussetBoltEdgeDistance")</t>
  </si>
  <si>
    <t xml:space="preserve">        SQLInsertFields = SQLInsertFields.AddtoDBString("TowerGussetGrade")</t>
  </si>
  <si>
    <t xml:space="preserve">        SQLInsertFields = SQLInsertFields.AddtoDBString("TowerGussetMatlGrade")</t>
  </si>
  <si>
    <t xml:space="preserve">        SQLInsertFields = SQLInsertFields.AddtoDBString("TowerAfMult")</t>
  </si>
  <si>
    <t xml:space="preserve">        SQLInsertFields = SQLInsertFields.AddtoDBString("TowerArMult")</t>
  </si>
  <si>
    <t xml:space="preserve">        SQLInsertFields = SQLInsertFields.AddtoDBString("TowerFlatIPAPole")</t>
  </si>
  <si>
    <t xml:space="preserve">        SQLInsertFields = SQLInsertFields.AddtoDBString("TowerRoundIPAPole")</t>
  </si>
  <si>
    <t xml:space="preserve">        SQLInsertFields = SQLInsertFields.AddtoDBString("TowerFlatIPALeg")</t>
  </si>
  <si>
    <t xml:space="preserve">        SQLInsertFields = SQLInsertFields.AddtoDBString("TowerRoundIPALeg")</t>
  </si>
  <si>
    <t xml:space="preserve">        SQLInsertFields = SQLInsertFields.AddtoDBString("TowerFlatIPAHorizontal")</t>
  </si>
  <si>
    <t xml:space="preserve">        SQLInsertFields = SQLInsertFields.AddtoDBString("TowerRoundIPAHorizontal")</t>
  </si>
  <si>
    <t xml:space="preserve">        SQLInsertFields = SQLInsertFields.AddtoDBString("TowerFlatIPADiagonal")</t>
  </si>
  <si>
    <t xml:space="preserve">        SQLInsertFields = SQLInsertFields.AddtoDBString("TowerRoundIPADiagonal")</t>
  </si>
  <si>
    <t xml:space="preserve">        SQLInsertFields = SQLInsertFields.AddtoDBString("TowerCSA_S37_SpeedUpFactor")</t>
  </si>
  <si>
    <t xml:space="preserve">        SQLInsertFields = SQLInsertFields.AddtoDBString("TowerKLegs")</t>
  </si>
  <si>
    <t xml:space="preserve">        SQLInsertFields = SQLInsertFields.AddtoDBString("TowerKXBracedDiags")</t>
  </si>
  <si>
    <t xml:space="preserve">        SQLInsertFields = SQLInsertFields.AddtoDBString("TowerKKBracedDiags")</t>
  </si>
  <si>
    <t xml:space="preserve">        SQLInsertFields = SQLInsertFields.AddtoDBString("TowerKZBracedDiags")</t>
  </si>
  <si>
    <t xml:space="preserve">        SQLInsertFields = SQLInsertFields.AddtoDBString("TowerKHorzs")</t>
  </si>
  <si>
    <t xml:space="preserve">        SQLInsertFields = SQLInsertFields.AddtoDBString("TowerKSecHorzs")</t>
  </si>
  <si>
    <t xml:space="preserve">        SQLInsertFields = SQLInsertFields.AddtoDBString("TowerKGirts")</t>
  </si>
  <si>
    <t xml:space="preserve">        SQLInsertFields = SQLInsertFields.AddtoDBString("TowerKInners")</t>
  </si>
  <si>
    <t xml:space="preserve">        SQLInsertFields = SQLInsertFields.AddtoDBString("TowerKXBracedDiagsY")</t>
  </si>
  <si>
    <t xml:space="preserve">        SQLInsertFields = SQLInsertFields.AddtoDBString("TowerKKBracedDiagsY")</t>
  </si>
  <si>
    <t xml:space="preserve">        SQLInsertFields = SQLInsertFields.AddtoDBString("TowerKZBracedDiagsY")</t>
  </si>
  <si>
    <t xml:space="preserve">        SQLInsertFields = SQLInsertFields.AddtoDBString("TowerKHorzsY")</t>
  </si>
  <si>
    <t xml:space="preserve">        SQLInsertFields = SQLInsertFields.AddtoDBString("TowerKSecHorzsY")</t>
  </si>
  <si>
    <t xml:space="preserve">        SQLInsertFields = SQLInsertFields.AddtoDBString("TowerKGirtsY")</t>
  </si>
  <si>
    <t xml:space="preserve">        SQLInsertFields = SQLInsertFields.AddtoDBString("TowerKInnersY")</t>
  </si>
  <si>
    <t xml:space="preserve">        SQLInsertFields = SQLInsertFields.AddtoDBString("TowerKRedHorz")</t>
  </si>
  <si>
    <t xml:space="preserve">        SQLInsertFields = SQLInsertFields.AddtoDBString("TowerKRedDiag")</t>
  </si>
  <si>
    <t xml:space="preserve">        SQLInsertFields = SQLInsertFields.AddtoDBString("TowerKRedSubDiag")</t>
  </si>
  <si>
    <t xml:space="preserve">        SQLInsertFields = SQLInsertFields.AddtoDBString("TowerKRedSubHorz")</t>
  </si>
  <si>
    <t xml:space="preserve">        SQLInsertFields = SQLInsertFields.AddtoDBString("TowerKRedVert")</t>
  </si>
  <si>
    <t xml:space="preserve">        SQLInsertFields = SQLInsertFields.AddtoDBString("TowerKRedHip")</t>
  </si>
  <si>
    <t xml:space="preserve">        SQLInsertFields = SQLInsertFields.AddtoDBString("TowerKRedHipDiag")</t>
  </si>
  <si>
    <t xml:space="preserve">        SQLInsertFields = SQLInsertFields.AddtoDBString("TowerKTLX")</t>
  </si>
  <si>
    <t xml:space="preserve">        SQLInsertFields = SQLInsertFields.AddtoDBString("TowerKTLZ")</t>
  </si>
  <si>
    <t xml:space="preserve">        SQLInsertFields = SQLInsertFields.AddtoDBString("TowerKTLLeg")</t>
  </si>
  <si>
    <t xml:space="preserve">        SQLInsertFields = SQLInsertFields.AddtoDBString("TowerInnerKTLX")</t>
  </si>
  <si>
    <t xml:space="preserve">        SQLInsertFields = SQLInsertFields.AddtoDBString("TowerInnerKTLZ")</t>
  </si>
  <si>
    <t xml:space="preserve">        SQLInsertFields = SQLInsertFields.AddtoDBString("TowerInnerKTLLeg")</t>
  </si>
  <si>
    <t xml:space="preserve">        SQLInsertFields = SQLInsertFields.AddtoDBString("TowerStitchBoltLocationHoriz")</t>
  </si>
  <si>
    <t xml:space="preserve">        SQLInsertFields = SQLInsertFields.AddtoDBString("TowerStitchBoltLocationDiag")</t>
  </si>
  <si>
    <t xml:space="preserve">        SQLInsertFields = SQLInsertFields.AddtoDBString("TowerStitchBoltLocationRed")</t>
  </si>
  <si>
    <t xml:space="preserve">        SQLInsertFields = SQLInsertFields.AddtoDBString("TowerStitchSpacing")</t>
  </si>
  <si>
    <t xml:space="preserve">        SQLInsertFields = SQLInsertFields.AddtoDBString("TowerStitchSpacingDiag")</t>
  </si>
  <si>
    <t xml:space="preserve">        SQLInsertFields = SQLInsertFields.AddtoDBString("TowerStitchSpacingHorz")</t>
  </si>
  <si>
    <t xml:space="preserve">        SQLInsertFields = SQLInsertFields.AddtoDBString("TowerStitchSpacingRed")</t>
  </si>
  <si>
    <t xml:space="preserve">        SQLInsertFields = SQLInsertFields.AddtoDBString("TowerLegNetWidthDeduct")</t>
  </si>
  <si>
    <t xml:space="preserve">        SQLInsertFields = SQLInsertFields.AddtoDBString("TowerLegUFactor")</t>
  </si>
  <si>
    <t xml:space="preserve">        SQLInsertFields = SQLInsertFields.AddtoDBString("TowerDiagonalNetWidthDeduct")</t>
  </si>
  <si>
    <t xml:space="preserve">        SQLInsertFields = SQLInsertFields.AddtoDBString("TowerTopGirtNetWidthDeduct")</t>
  </si>
  <si>
    <t xml:space="preserve">        SQLInsertFields = SQLInsertFields.AddtoDBString("TowerBotGirtNetWidthDeduct")</t>
  </si>
  <si>
    <t xml:space="preserve">        SQLInsertFields = SQLInsertFields.AddtoDBString("TowerInnerGirtNetWidthDeduct")</t>
  </si>
  <si>
    <t xml:space="preserve">        SQLInsertFields = SQLInsertFields.AddtoDBString("TowerHorizontalNetWidthDeduct")</t>
  </si>
  <si>
    <t xml:space="preserve">        SQLInsertFields = SQLInsertFields.AddtoDBString("TowerShortHorizontalNetWidthDeduct")</t>
  </si>
  <si>
    <t xml:space="preserve">        SQLInsertFields = SQLInsertFields.AddtoDBString("TowerDiagonalUFactor")</t>
  </si>
  <si>
    <t xml:space="preserve">        SQLInsertFields = SQLInsertFields.AddtoDBString("TowerTopGirtUFactor")</t>
  </si>
  <si>
    <t xml:space="preserve">        SQLInsertFields = SQLInsertFields.AddtoDBString("TowerBotGirtUFactor")</t>
  </si>
  <si>
    <t xml:space="preserve">        SQLInsertFields = SQLInsertFields.AddtoDBString("TowerInnerGirtUFactor")</t>
  </si>
  <si>
    <t xml:space="preserve">        SQLInsertFields = SQLInsertFields.AddtoDBString("TowerHorizontalUFactor")</t>
  </si>
  <si>
    <t xml:space="preserve">        SQLInsertFields = SQLInsertFields.AddtoDBString("TowerShortHorizontalUFactor")</t>
  </si>
  <si>
    <t xml:space="preserve">        SQLInsertFields = SQLInsertFields.AddtoDBString("TowerLegConnType")</t>
  </si>
  <si>
    <t xml:space="preserve">        SQLInsertFields = SQLInsertFields.AddtoDBString("TowerLegNumBolts")</t>
  </si>
  <si>
    <t xml:space="preserve">        SQLInsertFields = SQLInsertFields.AddtoDBString("TowerDiagonalNumBolts")</t>
  </si>
  <si>
    <t xml:space="preserve">        SQLInsertFields = SQLInsertFields.AddtoDBString("TowerTopGirtNumBolts")</t>
  </si>
  <si>
    <t xml:space="preserve">        SQLInsertFields = SQLInsertFields.AddtoDBString("TowerBotGirtNumBolts")</t>
  </si>
  <si>
    <t xml:space="preserve">        SQLInsertFields = SQLInsertFields.AddtoDBString("TowerInnerGirtNumBolts")</t>
  </si>
  <si>
    <t xml:space="preserve">        SQLInsertFields = SQLInsertFields.AddtoDBString("TowerHorizontalNumBolts")</t>
  </si>
  <si>
    <t xml:space="preserve">        SQLInsertFields = SQLInsertFields.AddtoDBString("TowerShortHorizontalNumBolts")</t>
  </si>
  <si>
    <t xml:space="preserve">        SQLInsertFields = SQLInsertFields.AddtoDBString("TowerLegBoltGrade")</t>
  </si>
  <si>
    <t xml:space="preserve">        SQLInsertFields = SQLInsertFields.AddtoDBString("TowerLegBoltSize")</t>
  </si>
  <si>
    <t xml:space="preserve">        SQLInsertFields = SQLInsertFields.AddtoDBString("TowerDiagonalBoltGrade")</t>
  </si>
  <si>
    <t xml:space="preserve">        SQLInsertFields = SQLInsertFields.AddtoDBString("TowerDiagonalBoltSize")</t>
  </si>
  <si>
    <t xml:space="preserve">        SQLInsertFields = SQLInsertFields.AddtoDBString("TowerTopGirtBoltGrade")</t>
  </si>
  <si>
    <t xml:space="preserve">        SQLInsertFields = SQLInsertFields.AddtoDBString("TowerTopGirtBoltSize")</t>
  </si>
  <si>
    <t xml:space="preserve">        SQLInsertFields = SQLInsertFields.AddtoDBString("TowerBotGirtBoltGrade")</t>
  </si>
  <si>
    <t xml:space="preserve">        SQLInsertFields = SQLInsertFields.AddtoDBString("TowerBotGirtBoltSize")</t>
  </si>
  <si>
    <t xml:space="preserve">        SQLInsertFields = SQLInsertFields.AddtoDBString("TowerInnerGirtBoltGrade")</t>
  </si>
  <si>
    <t xml:space="preserve">        SQLInsertFields = SQLInsertFields.AddtoDBString("TowerInnerGirtBoltSize")</t>
  </si>
  <si>
    <t xml:space="preserve">        SQLInsertFields = SQLInsertFields.AddtoDBString("TowerHorizontalBoltGrade")</t>
  </si>
  <si>
    <t xml:space="preserve">        SQLInsertFields = SQLInsertFields.AddtoDBString("TowerHorizontalBoltSize")</t>
  </si>
  <si>
    <t xml:space="preserve">        SQLInsertFields = SQLInsertFields.AddtoDBString("TowerShortHorizontalBoltGrade")</t>
  </si>
  <si>
    <t xml:space="preserve">        SQLInsertFields = SQLInsertFields.AddtoDBString("TowerShortHorizontalBoltSize")</t>
  </si>
  <si>
    <t xml:space="preserve">        SQLInsertFields = SQLInsertFields.AddtoDBString("TowerLegBoltEdgeDistance")</t>
  </si>
  <si>
    <t xml:space="preserve">        SQLInsertFields = SQLInsertFields.AddtoDBString("TowerDiagonalBoltEdgeDistance")</t>
  </si>
  <si>
    <t xml:space="preserve">        SQLInsertFields = SQLInsertFields.AddtoDBString("TowerTopGirtBoltEdgeDistance")</t>
  </si>
  <si>
    <t xml:space="preserve">        SQLInsertFields = SQLInsertFields.AddtoDBString("TowerBotGirtBoltEdgeDistance")</t>
  </si>
  <si>
    <t xml:space="preserve">        SQLInsertFields = SQLInsertFields.AddtoDBString("TowerInnerGirtBoltEdgeDistance")</t>
  </si>
  <si>
    <t xml:space="preserve">        SQLInsertFields = SQLInsertFields.AddtoDBString("TowerHorizontalBoltEdgeDistance")</t>
  </si>
  <si>
    <t xml:space="preserve">        SQLInsertFields = SQLInsertFields.AddtoDBString("TowerShortHorizontalBoltEdgeDistance")</t>
  </si>
  <si>
    <t xml:space="preserve">        SQLInsertFields = SQLInsertFields.AddtoDBString("TowerDiagonalGageG1Distance")</t>
  </si>
  <si>
    <t xml:space="preserve">        SQLInsertFields = SQLInsertFields.AddtoDBString("TowerTopGirtGageG1Distance")</t>
  </si>
  <si>
    <t xml:space="preserve">        SQLInsertFields = SQLInsertFields.AddtoDBString("TowerBotGirtGageG1Distance")</t>
  </si>
  <si>
    <t xml:space="preserve">        SQLInsertFields = SQLInsertFields.AddtoDBString("TowerInnerGirtGageG1Distance")</t>
  </si>
  <si>
    <t xml:space="preserve">        SQLInsertFields = SQLInsertFields.AddtoDBString("TowerHorizontalGageG1Distance")</t>
  </si>
  <si>
    <t xml:space="preserve">        SQLInsertFields = SQLInsertFields.AddtoDBString("TowerShortHorizontalGageG1Distance")</t>
  </si>
  <si>
    <t xml:space="preserve">        SQLInsertFields = SQLInsertFields.AddtoDBString("TowerRedundantHorizontalBoltGrade")</t>
  </si>
  <si>
    <t xml:space="preserve">        SQLInsertFields = SQLInsertFields.AddtoDBString("TowerRedundantHorizontalBoltSize")</t>
  </si>
  <si>
    <t xml:space="preserve">        SQLInsertFields = SQLInsertFields.AddtoDBString("TowerRedundantHorizontalNumBolts")</t>
  </si>
  <si>
    <t xml:space="preserve">        SQLInsertFields = SQLInsertFields.AddtoDBString("TowerRedundantHorizontalBoltEdgeDistance")</t>
  </si>
  <si>
    <t xml:space="preserve">        SQLInsertFields = SQLInsertFields.AddtoDBString("TowerRedundantHorizontalGageG1Distance")</t>
  </si>
  <si>
    <t xml:space="preserve">        SQLInsertFields = SQLInsertFields.AddtoDBString("TowerRedundantHorizontalNetWidthDeduct")</t>
  </si>
  <si>
    <t xml:space="preserve">        SQLInsertFields = SQLInsertFields.AddtoDBString("TowerRedundantHorizontalUFactor")</t>
  </si>
  <si>
    <t xml:space="preserve">        SQLInsertFields = SQLInsertFields.AddtoDBString("TowerRedundantDiagonalBoltGrade")</t>
  </si>
  <si>
    <t xml:space="preserve">        SQLInsertFields = SQLInsertFields.AddtoDBString("TowerRedundantDiagonalBoltSize")</t>
  </si>
  <si>
    <t xml:space="preserve">        SQLInsertFields = SQLInsertFields.AddtoDBString("TowerRedundantDiagonalNumBolts")</t>
  </si>
  <si>
    <t xml:space="preserve">        SQLInsertFields = SQLInsertFields.AddtoDBString("TowerRedundantDiagonalBoltEdgeDistance")</t>
  </si>
  <si>
    <t xml:space="preserve">        SQLInsertFields = SQLInsertFields.AddtoDBString("TowerRedundantDiagonalGageG1Distance")</t>
  </si>
  <si>
    <t xml:space="preserve">        SQLInsertFields = SQLInsertFields.AddtoDBString("TowerRedundantDiagonalNetWidthDeduct")</t>
  </si>
  <si>
    <t xml:space="preserve">        SQLInsertFields = SQLInsertFields.AddtoDBString("TowerRedundantDiagonalUFactor")</t>
  </si>
  <si>
    <t xml:space="preserve">        SQLInsertFields = SQLInsertFields.AddtoDBString("TowerRedundantSubDiagonalBoltGrade")</t>
  </si>
  <si>
    <t xml:space="preserve">        SQLInsertFields = SQLInsertFields.AddtoDBString("TowerRedundantSubDiagonalBoltSize")</t>
  </si>
  <si>
    <t xml:space="preserve">        SQLInsertFields = SQLInsertFields.AddtoDBString("TowerRedundantSubDiagonalNumBolts")</t>
  </si>
  <si>
    <t xml:space="preserve">        SQLInsertFields = SQLInsertFields.AddtoDBString("TowerRedundantSubDiagonalBoltEdgeDistance")</t>
  </si>
  <si>
    <t xml:space="preserve">        SQLInsertFields = SQLInsertFields.AddtoDBString("TowerRedundantSubDiagonalGageG1Distance")</t>
  </si>
  <si>
    <t xml:space="preserve">        SQLInsertFields = SQLInsertFields.AddtoDBString("TowerRedundantSubDiagonalNetWidthDeduct")</t>
  </si>
  <si>
    <t xml:space="preserve">        SQLInsertFields = SQLInsertFields.AddtoDBString("TowerRedundantSubDiagonalUFactor")</t>
  </si>
  <si>
    <t xml:space="preserve">        SQLInsertFields = SQLInsertFields.AddtoDBString("TowerRedundantSubHorizontalBoltGrade")</t>
  </si>
  <si>
    <t xml:space="preserve">        SQLInsertFields = SQLInsertFields.AddtoDBString("TowerRedundantSubHorizontalBoltSize")</t>
  </si>
  <si>
    <t xml:space="preserve">        SQLInsertFields = SQLInsertFields.AddtoDBString("TowerRedundantSubHorizontalNumBolts")</t>
  </si>
  <si>
    <t xml:space="preserve">        SQLInsertFields = SQLInsertFields.AddtoDBString("TowerRedundantSubHorizontalBoltEdgeDistance")</t>
  </si>
  <si>
    <t xml:space="preserve">        SQLInsertFields = SQLInsertFields.AddtoDBString("TowerRedundantSubHorizontalGageG1Distance")</t>
  </si>
  <si>
    <t xml:space="preserve">        SQLInsertFields = SQLInsertFields.AddtoDBString("TowerRedundantSubHorizontalNetWidthDeduct")</t>
  </si>
  <si>
    <t xml:space="preserve">        SQLInsertFields = SQLInsertFields.AddtoDBString("TowerRedundantSubHorizontalUFactor")</t>
  </si>
  <si>
    <t xml:space="preserve">        SQLInsertFields = SQLInsertFields.AddtoDBString("TowerRedundantVerticalBoltGrade")</t>
  </si>
  <si>
    <t xml:space="preserve">        SQLInsertFields = SQLInsertFields.AddtoDBString("TowerRedundantVerticalBoltSize")</t>
  </si>
  <si>
    <t xml:space="preserve">        SQLInsertFields = SQLInsertFields.AddtoDBString("TowerRedundantVerticalNumBolts")</t>
  </si>
  <si>
    <t xml:space="preserve">        SQLInsertFields = SQLInsertFields.AddtoDBString("TowerRedundantVerticalBoltEdgeDistance")</t>
  </si>
  <si>
    <t xml:space="preserve">        SQLInsertFields = SQLInsertFields.AddtoDBString("TowerRedundantVerticalGageG1Distance")</t>
  </si>
  <si>
    <t xml:space="preserve">        SQLInsertFields = SQLInsertFields.AddtoDBString("TowerRedundantVerticalNetWidthDeduct")</t>
  </si>
  <si>
    <t xml:space="preserve">        SQLInsertFields = SQLInsertFields.AddtoDBString("TowerRedundantVerticalUFactor")</t>
  </si>
  <si>
    <t xml:space="preserve">        SQLInsertFields = SQLInsertFields.AddtoDBString("TowerRedundantHipBoltGrade")</t>
  </si>
  <si>
    <t xml:space="preserve">        SQLInsertFields = SQLInsertFields.AddtoDBString("TowerRedundantHipBoltSize")</t>
  </si>
  <si>
    <t xml:space="preserve">        SQLInsertFields = SQLInsertFields.AddtoDBString("TowerRedundantHipNumBolts")</t>
  </si>
  <si>
    <t xml:space="preserve">        SQLInsertFields = SQLInsertFields.AddtoDBString("TowerRedundantHipBoltEdgeDistance")</t>
  </si>
  <si>
    <t xml:space="preserve">        SQLInsertFields = SQLInsertFields.AddtoDBString("TowerRedundantHipGageG1Distance")</t>
  </si>
  <si>
    <t xml:space="preserve">        SQLInsertFields = SQLInsertFields.AddtoDBString("TowerRedundantHipNetWidthDeduct")</t>
  </si>
  <si>
    <t xml:space="preserve">        SQLInsertFields = SQLInsertFields.AddtoDBString("TowerRedundantHipUFactor")</t>
  </si>
  <si>
    <t xml:space="preserve">        SQLInsertFields = SQLInsertFields.AddtoDBString("TowerRedundantHipDiagonalBoltGrade")</t>
  </si>
  <si>
    <t xml:space="preserve">        SQLInsertFields = SQLInsertFields.AddtoDBString("TowerRedundantHipDiagonalBoltSize")</t>
  </si>
  <si>
    <t xml:space="preserve">        SQLInsertFields = SQLInsertFields.AddtoDBString("TowerRedundantHipDiagonalNumBolts")</t>
  </si>
  <si>
    <t xml:space="preserve">        SQLInsertFields = SQLInsertFields.AddtoDBString("TowerRedundantHipDiagonalBoltEdgeDistance")</t>
  </si>
  <si>
    <t xml:space="preserve">        SQLInsertFields = SQLInsertFields.AddtoDBString("TowerRedundantHipDiagonalGageG1Distance")</t>
  </si>
  <si>
    <t xml:space="preserve">        SQLInsertFields = SQLInsertFields.AddtoDBString("TowerRedundantHipDiagonalNetWidthDeduct")</t>
  </si>
  <si>
    <t xml:space="preserve">        SQLInsertFields = SQLInsertFields.AddtoDBString("TowerRedundantHipDiagonalUFactor")</t>
  </si>
  <si>
    <t xml:space="preserve">        SQLInsertFields = SQLInsertFields.AddtoDBString("TowerDiagonalOutOfPlaneRestraint")</t>
  </si>
  <si>
    <t xml:space="preserve">        SQLInsertFields = SQLInsertFields.AddtoDBString("TowerTopGirtOutOfPlaneRestraint")</t>
  </si>
  <si>
    <t xml:space="preserve">        SQLInsertFields = SQLInsertFields.AddtoDBString("TowerBottomGirtOutOfPlaneRestraint")</t>
  </si>
  <si>
    <t xml:space="preserve">        SQLInsertFields = SQLInsertFields.AddtoDBString("TowerMidGirtOutOfPlaneRestraint")</t>
  </si>
  <si>
    <t xml:space="preserve">        SQLInsertFields = SQLInsertFields.AddtoDBString("TowerHorizontalOutOfPlaneRestraint")</t>
  </si>
  <si>
    <t xml:space="preserve">        SQLInsertFields = SQLInsertFields.AddtoDBString("TowerSecondaryHorizontalOutOfPlaneRestraint")</t>
  </si>
  <si>
    <t xml:space="preserve">        SQLInsertFields = SQLInsertFields.AddtoDBString("TowerUniqueFlag")</t>
  </si>
  <si>
    <t xml:space="preserve">        SQLInsertFields = SQLInsertFields.AddtoDBString("TowerDiagOffsetNEY")</t>
  </si>
  <si>
    <t xml:space="preserve">        SQLInsertFields = SQLInsertFields.AddtoDBString("TowerDiagOffsetNEX")</t>
  </si>
  <si>
    <t xml:space="preserve">        SQLInsertFields = SQLInsertFields.AddtoDBString("TowerDiagOffsetPEY")</t>
  </si>
  <si>
    <t xml:space="preserve">        SQLInsertFields = SQLInsertFields.AddtoDBString("TowerDiagOffsetPEX")</t>
  </si>
  <si>
    <t xml:space="preserve">        SQLInsertFields = SQLInsertFields.AddtoDBString("TowerKbraceOffsetNEY")</t>
  </si>
  <si>
    <t xml:space="preserve">        SQLInsertFields = SQLInsertFields.AddtoDBString("TowerKbraceOffsetNEX")</t>
  </si>
  <si>
    <t xml:space="preserve">        SQLInsertFields = SQLInsertFields.AddtoDBString("TowerKbraceOffsetPEY")</t>
  </si>
  <si>
    <t xml:space="preserve">        SQLInsertFields = SQLInsertFields.AddtoDBString("TowerKbraceOffsetPEX")</t>
  </si>
  <si>
    <t xml:space="preserve">        SQLInsertFields = SQLInsertFields.AddtoDBString("TowerRedundantHorizontalGrade")</t>
  </si>
  <si>
    <t xml:space="preserve">        SQLInsertFields = SQLInsertFields.AddtoDBString("TowerRedundantHorizontalMatlGrade")</t>
  </si>
  <si>
    <t xml:space="preserve">        SQLInsertFields = SQLInsertFields.AddtoDBString("TowerRedundantHorizontalGrade2")</t>
  </si>
  <si>
    <t xml:space="preserve">        SQLInsertFields = SQLInsertFields.AddtoDBString("TowerRedundantHorizontalMatlGrade2")</t>
  </si>
  <si>
    <t xml:space="preserve">        SQLInsertFields = SQLInsertFields.AddtoDBString("TowerRedundantHorizontalGrade3")</t>
  </si>
  <si>
    <t xml:space="preserve">        SQLInsertFields = SQLInsertFields.AddtoDBString("TowerRedundantHorizontalMatlGrade3")</t>
  </si>
  <si>
    <t xml:space="preserve">        SQLInsertFields = SQLInsertFields.AddtoDBString("TowerRedundantHorizontalGrade4")</t>
  </si>
  <si>
    <t xml:space="preserve">        SQLInsertFields = SQLInsertFields.AddtoDBString("TowerRedundantHorizontalMatlGrade4")</t>
  </si>
  <si>
    <t xml:space="preserve">        SQLInsertFields = SQLInsertFields.AddtoDBString("TowerRedundantDiagonalGrade")</t>
  </si>
  <si>
    <t xml:space="preserve">        SQLInsertFields = SQLInsertFields.AddtoDBString("TowerRedundantDiagonalMatlGrade")</t>
  </si>
  <si>
    <t xml:space="preserve">        SQLInsertFields = SQLInsertFields.AddtoDBString("TowerRedundantDiagonalGrade2")</t>
  </si>
  <si>
    <t xml:space="preserve">        SQLInsertFields = SQLInsertFields.AddtoDBString("TowerRedundantDiagonalMatlGrade2")</t>
  </si>
  <si>
    <t xml:space="preserve">        SQLInsertFields = SQLInsertFields.AddtoDBString("TowerRedundantDiagonalGrade3")</t>
  </si>
  <si>
    <t xml:space="preserve">        SQLInsertFields = SQLInsertFields.AddtoDBString("TowerRedundantDiagonalMatlGrade3")</t>
  </si>
  <si>
    <t xml:space="preserve">        SQLInsertFields = SQLInsertFields.AddtoDBString("TowerRedundantDiagonalGrade4")</t>
  </si>
  <si>
    <t xml:space="preserve">        SQLInsertFields = SQLInsertFields.AddtoDBString("TowerRedundantDiagonalMatlGrade4")</t>
  </si>
  <si>
    <t xml:space="preserve">        SQLInsertFields = SQLInsertFields.AddtoDBString("TowerRedundantSubHorizontalGrade")</t>
  </si>
  <si>
    <t xml:space="preserve">        SQLInsertFields = SQLInsertFields.AddtoDBString("TowerRedundantSubHorizontalMatlGrade")</t>
  </si>
  <si>
    <t xml:space="preserve">        SQLInsertFields = SQLInsertFields.AddtoDBString("TowerRedundantSubDiagonalGrade")</t>
  </si>
  <si>
    <t xml:space="preserve">        SQLInsertFields = SQLInsertFields.AddtoDBString("TowerRedundantSubDiagonalMatlGrade")</t>
  </si>
  <si>
    <t xml:space="preserve">        SQLInsertFields = SQLInsertFields.AddtoDBString("TowerRedundantVerticalGrade")</t>
  </si>
  <si>
    <t xml:space="preserve">        SQLInsertFields = SQLInsertFields.AddtoDBString("TowerRedundantVerticalMatlGrade3")</t>
  </si>
  <si>
    <t xml:space="preserve">        SQLInsertFields = SQLInsertFields.AddtoDBString("TowerRedundantHipGrade")</t>
  </si>
  <si>
    <t xml:space="preserve">        SQLInsertFields = SQLInsertFields.AddtoDBString("TowerRedundantHipMatlGrade")</t>
  </si>
  <si>
    <t xml:space="preserve">        SQLInsertFields = SQLInsertFields.AddtoDBString("TowerRedundantHipGrade2")</t>
  </si>
  <si>
    <t xml:space="preserve">        SQLInsertFields = SQLInsertFields.AddtoDBString("TowerRedundantHipMatlGrade2")</t>
  </si>
  <si>
    <t xml:space="preserve">        SQLInsertFields = SQLInsertFields.AddtoDBString("TowerRedundantHipGrade3")</t>
  </si>
  <si>
    <t xml:space="preserve">        SQLInsertFields = SQLInsertFields.AddtoDBString("TowerRedundantHipMatlGrade3")</t>
  </si>
  <si>
    <t xml:space="preserve">        SQLInsertFields = SQLInsertFields.AddtoDBString("TowerRedundantHipGrade4")</t>
  </si>
  <si>
    <t xml:space="preserve">        SQLInsertFields = SQLInsertFields.AddtoDBString("TowerRedundantHipMatlGrade4")</t>
  </si>
  <si>
    <t xml:space="preserve">        SQLInsertFields = SQLInsertFields.AddtoDBString("TowerRedundantHipDiagonalGrade")</t>
  </si>
  <si>
    <t xml:space="preserve">        SQLInsertFields = SQLInsertFields.AddtoDBString("TowerRedundantHipDiagonalMatlGrade")</t>
  </si>
  <si>
    <t xml:space="preserve">        SQLInsertFields = SQLInsertFields.AddtoDBString("TowerRedundantHipDiagonalGrade2")</t>
  </si>
  <si>
    <t xml:space="preserve">        SQLInsertFields = SQLInsertFields.AddtoDBString("TowerRedundantHipDiagonalMatlGrade2")</t>
  </si>
  <si>
    <t xml:space="preserve">        SQLInsertFields = SQLInsertFields.AddtoDBString("TowerRedundantHipDiagonalGrade3")</t>
  </si>
  <si>
    <t xml:space="preserve">        SQLInsertFields = SQLInsertFields.AddtoDBString("TowerRedundantHipDiagonalMatlGrade3")</t>
  </si>
  <si>
    <t xml:space="preserve">        SQLInsertFields = SQLInsertFields.AddtoDBString("TowerRedundantHipDiagonalGrade4")</t>
  </si>
  <si>
    <t xml:space="preserve">        SQLInsertFields = SQLInsertFields.AddtoDBString("TowerRedundantHipDiagonalMatlGrade4")</t>
  </si>
  <si>
    <t xml:space="preserve">        SQLInsertFields = SQLInsertFields.AddtoDBString("TowerRedundantHorizontalType")</t>
  </si>
  <si>
    <t xml:space="preserve">        SQLInsertFields = SQLInsertFields.AddtoDBString("TowerRedundantHorizontalType2")</t>
  </si>
  <si>
    <t xml:space="preserve">        SQLInsertFields = SQLInsertFields.AddtoDBString("TowerRedundantHorizontalType3")</t>
  </si>
  <si>
    <t xml:space="preserve">        SQLInsertFields = SQLInsertFields.AddtoDBString("TowerRedundantHorizontalType4")</t>
  </si>
  <si>
    <t xml:space="preserve">        SQLInsertFields = SQLInsertFields.AddtoDBString("TowerRedundantDiagType2")</t>
  </si>
  <si>
    <t xml:space="preserve">        SQLInsertFields = SQLInsertFields.AddtoDBString("TowerRedundantDiagType3")</t>
  </si>
  <si>
    <t xml:space="preserve">        SQLInsertFields = SQLInsertFields.AddtoDBString("TowerRedundantDiagType4")</t>
  </si>
  <si>
    <t xml:space="preserve">        SQLInsertFields = SQLInsertFields.AddtoDBString("TowerRedundantHipType2")</t>
  </si>
  <si>
    <t xml:space="preserve">        SQLInsertFields = SQLInsertFields.AddtoDBString("TowerRedundantHipType3")</t>
  </si>
  <si>
    <t xml:space="preserve">        SQLInsertFields = SQLInsertFields.AddtoDBString("TowerRedundantHipType4")</t>
  </si>
  <si>
    <t xml:space="preserve">        SQLInsertFields = SQLInsertFields.AddtoDBString("TowerRedundantHipDiagonalType2")</t>
  </si>
  <si>
    <t xml:space="preserve">        SQLInsertFields = SQLInsertFields.AddtoDBString("TowerRedundantHipDiagonalType3")</t>
  </si>
  <si>
    <t xml:space="preserve">        SQLInsertFields = SQLInsertFields.AddtoDBString("TowerRedundantHipDiagonalType4")</t>
  </si>
  <si>
    <t xml:space="preserve">        SQLInsertFields = SQLInsertFields.AddtoDBString("TowerRedundantHorizontalBoltGrade1")</t>
  </si>
  <si>
    <t xml:space="preserve">        SQLInsertFields = SQLInsertFields.AddtoDBString("TowerRedundantHorizontalBoltSize1")</t>
  </si>
  <si>
    <t xml:space="preserve">        SQLInsertFields = SQLInsertFields.AddtoDBString("TowerRedundantHorizontalNumBolts1")</t>
  </si>
  <si>
    <t xml:space="preserve">        SQLInsertFields = SQLInsertFields.AddtoDBString("TowerRedundantHorizontalBoltEdgeDistance1")</t>
  </si>
  <si>
    <t xml:space="preserve">        SQLInsertFields = SQLInsertFields.AddtoDBString("TowerRedundantHorizontalGageG1Distance1")</t>
  </si>
  <si>
    <t xml:space="preserve">        SQLInsertFields = SQLInsertFields.AddtoDBString("TowerRedundantHorizontalNetWidthDeduct1")</t>
  </si>
  <si>
    <t xml:space="preserve">        SQLInsertFields = SQLInsertFields.AddtoDBString("TowerRedundantHorizontalUFactor1")</t>
  </si>
  <si>
    <t xml:space="preserve">        SQLInsertFields = SQLInsertFields.AddtoDBString("TowerRedundantHorizontalBoltGrade2")</t>
  </si>
  <si>
    <t xml:space="preserve">        SQLInsertFields = SQLInsertFields.AddtoDBString("TowerRedundantHorizontalBoltSize2")</t>
  </si>
  <si>
    <t xml:space="preserve">        SQLInsertFields = SQLInsertFields.AddtoDBString("TowerRedundantHorizontalNumBolts2")</t>
  </si>
  <si>
    <t xml:space="preserve">        SQLInsertFields = SQLInsertFields.AddtoDBString("TowerRedundantHorizontalBoltEdgeDistance2")</t>
  </si>
  <si>
    <t xml:space="preserve">        SQLInsertFields = SQLInsertFields.AddtoDBString("TowerRedundantHorizontalGageG1Distance2")</t>
  </si>
  <si>
    <t xml:space="preserve">        SQLInsertFields = SQLInsertFields.AddtoDBString("TowerRedundantHorizontalNetWidthDeduct2")</t>
  </si>
  <si>
    <t xml:space="preserve">        SQLInsertFields = SQLInsertFields.AddtoDBString("TowerRedundantHorizontalUFactor2")</t>
  </si>
  <si>
    <t xml:space="preserve">        SQLInsertFields = SQLInsertFields.AddtoDBString("TowerRedundantHorizontalBoltGrade3")</t>
  </si>
  <si>
    <t xml:space="preserve">        SQLInsertFields = SQLInsertFields.AddtoDBString("TowerRedundantHorizontalBoltSize3")</t>
  </si>
  <si>
    <t xml:space="preserve">        SQLInsertFields = SQLInsertFields.AddtoDBString("TowerRedundantHorizontalNumBolts3")</t>
  </si>
  <si>
    <t xml:space="preserve">        SQLInsertFields = SQLInsertFields.AddtoDBString("TowerRedundantHorizontalBoltEdgeDistance3")</t>
  </si>
  <si>
    <t xml:space="preserve">        SQLInsertFields = SQLInsertFields.AddtoDBString("TowerRedundantHorizontalGageG1Distance3")</t>
  </si>
  <si>
    <t xml:space="preserve">        SQLInsertFields = SQLInsertFields.AddtoDBString("TowerRedundantHorizontalNetWidthDeduct3")</t>
  </si>
  <si>
    <t xml:space="preserve">        SQLInsertFields = SQLInsertFields.AddtoDBString("TowerRedundantHorizontalUFactor3")</t>
  </si>
  <si>
    <t xml:space="preserve">        SQLInsertFields = SQLInsertFields.AddtoDBString("TowerRedundantHorizontalBoltGrade4")</t>
  </si>
  <si>
    <t xml:space="preserve">        SQLInsertFields = SQLInsertFields.AddtoDBString("TowerRedundantHorizontalBoltSize4")</t>
  </si>
  <si>
    <t xml:space="preserve">        SQLInsertFields = SQLInsertFields.AddtoDBString("TowerRedundantHorizontalNumBolts4")</t>
  </si>
  <si>
    <t xml:space="preserve">        SQLInsertFields = SQLInsertFields.AddtoDBString("TowerRedundantHorizontalBoltEdgeDistance4")</t>
  </si>
  <si>
    <t xml:space="preserve">        SQLInsertFields = SQLInsertFields.AddtoDBString("TowerRedundantHorizontalGageG1Distance4")</t>
  </si>
  <si>
    <t xml:space="preserve">        SQLInsertFields = SQLInsertFields.AddtoDBString("TowerRedundantHorizontalNetWidthDeduct4")</t>
  </si>
  <si>
    <t xml:space="preserve">        SQLInsertFields = SQLInsertFields.AddtoDBString("TowerRedundantHorizontalUFactor4")</t>
  </si>
  <si>
    <t xml:space="preserve">        SQLInsertFields = SQLInsertFields.AddtoDBString("TowerRedundantDiagonalBoltGrade1")</t>
  </si>
  <si>
    <t xml:space="preserve">        SQLInsertFields = SQLInsertFields.AddtoDBString("TowerRedundantDiagonalBoltSize1")</t>
  </si>
  <si>
    <t xml:space="preserve">        SQLInsertFields = SQLInsertFields.AddtoDBString("TowerRedundantDiagonalNumBolts1")</t>
  </si>
  <si>
    <t xml:space="preserve">        SQLInsertFields = SQLInsertFields.AddtoDBString("TowerRedundantDiagonalBoltEdgeDistance1")</t>
  </si>
  <si>
    <t xml:space="preserve">        SQLInsertFields = SQLInsertFields.AddtoDBString("TowerRedundantDiagonalGageG1Distance1")</t>
  </si>
  <si>
    <t xml:space="preserve">        SQLInsertFields = SQLInsertFields.AddtoDBString("TowerRedundantDiagonalNetWidthDeduct1")</t>
  </si>
  <si>
    <t xml:space="preserve">        SQLInsertFields = SQLInsertFields.AddtoDBString("TowerRedundantDiagonalUFactor1")</t>
  </si>
  <si>
    <t xml:space="preserve">        SQLInsertFields = SQLInsertFields.AddtoDBString("TowerRedundantDiagonalBoltGrade2")</t>
  </si>
  <si>
    <t xml:space="preserve">        SQLInsertFields = SQLInsertFields.AddtoDBString("TowerRedundantDiagonalBoltSize2")</t>
  </si>
  <si>
    <t xml:space="preserve">        SQLInsertFields = SQLInsertFields.AddtoDBString("TowerRedundantDiagonalNumBolts2")</t>
  </si>
  <si>
    <t xml:space="preserve">        SQLInsertFields = SQLInsertFields.AddtoDBString("TowerRedundantDiagonalBoltEdgeDistance2")</t>
  </si>
  <si>
    <t xml:space="preserve">        SQLInsertFields = SQLInsertFields.AddtoDBString("TowerRedundantDiagonalGageG1Distance2")</t>
  </si>
  <si>
    <t xml:space="preserve">        SQLInsertFields = SQLInsertFields.AddtoDBString("TowerRedundantDiagonalNetWidthDeduct2")</t>
  </si>
  <si>
    <t xml:space="preserve">        SQLInsertFields = SQLInsertFields.AddtoDBString("TowerRedundantDiagonalUFactor2")</t>
  </si>
  <si>
    <t xml:space="preserve">        SQLInsertFields = SQLInsertFields.AddtoDBString("TowerRedundantDiagonalBoltGrade3")</t>
  </si>
  <si>
    <t xml:space="preserve">        SQLInsertFields = SQLInsertFields.AddtoDBString("TowerRedundantDiagonalBoltSize3")</t>
  </si>
  <si>
    <t xml:space="preserve">        SQLInsertFields = SQLInsertFields.AddtoDBString("TowerRedundantDiagonalNumBolts3")</t>
  </si>
  <si>
    <t xml:space="preserve">        SQLInsertFields = SQLInsertFields.AddtoDBString("TowerRedundantDiagonalBoltEdgeDistance3")</t>
  </si>
  <si>
    <t xml:space="preserve">        SQLInsertFields = SQLInsertFields.AddtoDBString("TowerRedundantDiagonalGageG1Distance3")</t>
  </si>
  <si>
    <t xml:space="preserve">        SQLInsertFields = SQLInsertFields.AddtoDBString("TowerRedundantDiagonalNetWidthDeduct3")</t>
  </si>
  <si>
    <t xml:space="preserve">        SQLInsertFields = SQLInsertFields.AddtoDBString("TowerRedundantDiagonalUFactor3")</t>
  </si>
  <si>
    <t xml:space="preserve">        SQLInsertFields = SQLInsertFields.AddtoDBString("TowerRedundantDiagonalBoltGrade4")</t>
  </si>
  <si>
    <t xml:space="preserve">        SQLInsertFields = SQLInsertFields.AddtoDBString("TowerRedundantDiagonalBoltSize4")</t>
  </si>
  <si>
    <t xml:space="preserve">        SQLInsertFields = SQLInsertFields.AddtoDBString("TowerRedundantDiagonalNumBolts4")</t>
  </si>
  <si>
    <t xml:space="preserve">        SQLInsertFields = SQLInsertFields.AddtoDBString("TowerRedundantDiagonalBoltEdgeDistance4")</t>
  </si>
  <si>
    <t xml:space="preserve">        SQLInsertFields = SQLInsertFields.AddtoDBString("TowerRedundantDiagonalGageG1Distance4")</t>
  </si>
  <si>
    <t xml:space="preserve">        SQLInsertFields = SQLInsertFields.AddtoDBString("TowerRedundantDiagonalNetWidthDeduct4")</t>
  </si>
  <si>
    <t xml:space="preserve">        SQLInsertFields = SQLInsertFields.AddtoDBString("TowerRedundantDiagonalUFactor4")</t>
  </si>
  <si>
    <t xml:space="preserve">        SQLInsertFields = SQLInsertFields.AddtoDBString("TowerRedundantHipBoltGrade1")</t>
  </si>
  <si>
    <t xml:space="preserve">        SQLInsertFields = SQLInsertFields.AddtoDBString("TowerRedundantHipBoltSize1")</t>
  </si>
  <si>
    <t xml:space="preserve">        SQLInsertFields = SQLInsertFields.AddtoDBString("TowerRedundantHipNumBolts1")</t>
  </si>
  <si>
    <t xml:space="preserve">        SQLInsertFields = SQLInsertFields.AddtoDBString("TowerRedundantHipBoltEdgeDistance1")</t>
  </si>
  <si>
    <t xml:space="preserve">        SQLInsertFields = SQLInsertFields.AddtoDBString("TowerRedundantHipGageG1Distance1")</t>
  </si>
  <si>
    <t xml:space="preserve">        SQLInsertFields = SQLInsertFields.AddtoDBString("TowerRedundantHipNetWidthDeduct1")</t>
  </si>
  <si>
    <t xml:space="preserve">        SQLInsertFields = SQLInsertFields.AddtoDBString("TowerRedundantHipUFactor1")</t>
  </si>
  <si>
    <t xml:space="preserve">        SQLInsertFields = SQLInsertFields.AddtoDBString("TowerRedundantHipBoltGrade2")</t>
  </si>
  <si>
    <t xml:space="preserve">        SQLInsertFields = SQLInsertFields.AddtoDBString("TowerRedundantHipBoltSize2")</t>
  </si>
  <si>
    <t xml:space="preserve">        SQLInsertFields = SQLInsertFields.AddtoDBString("TowerRedundantHipNumBolts2")</t>
  </si>
  <si>
    <t xml:space="preserve">        SQLInsertFields = SQLInsertFields.AddtoDBString("TowerRedundantHipBoltEdgeDistance2")</t>
  </si>
  <si>
    <t xml:space="preserve">        SQLInsertFields = SQLInsertFields.AddtoDBString("TowerRedundantHipGageG1Distance2")</t>
  </si>
  <si>
    <t xml:space="preserve">        SQLInsertFields = SQLInsertFields.AddtoDBString("TowerRedundantHipNetWidthDeduct2")</t>
  </si>
  <si>
    <t xml:space="preserve">        SQLInsertFields = SQLInsertFields.AddtoDBString("TowerRedundantHipUFactor2")</t>
  </si>
  <si>
    <t xml:space="preserve">        SQLInsertFields = SQLInsertFields.AddtoDBString("TowerRedundantHipBoltGrade3")</t>
  </si>
  <si>
    <t xml:space="preserve">        SQLInsertFields = SQLInsertFields.AddtoDBString("TowerRedundantHipBoltSize3")</t>
  </si>
  <si>
    <t xml:space="preserve">        SQLInsertFields = SQLInsertFields.AddtoDBString("TowerRedundantHipNumBolts3")</t>
  </si>
  <si>
    <t xml:space="preserve">        SQLInsertFields = SQLInsertFields.AddtoDBString("TowerRedundantHipBoltEdgeDistance3")</t>
  </si>
  <si>
    <t xml:space="preserve">        SQLInsertFields = SQLInsertFields.AddtoDBString("TowerRedundantHipGageG1Distance3")</t>
  </si>
  <si>
    <t xml:space="preserve">        SQLInsertFields = SQLInsertFields.AddtoDBString("TowerRedundantHipNetWidthDeduct3")</t>
  </si>
  <si>
    <t xml:space="preserve">        SQLInsertFields = SQLInsertFields.AddtoDBString("TowerRedundantHipUFactor3")</t>
  </si>
  <si>
    <t xml:space="preserve">        SQLInsertFields = SQLInsertFields.AddtoDBString("TowerRedundantHipBoltGrade4")</t>
  </si>
  <si>
    <t xml:space="preserve">        SQLInsertFields = SQLInsertFields.AddtoDBString("TowerRedundantHipBoltSize4")</t>
  </si>
  <si>
    <t xml:space="preserve">        SQLInsertFields = SQLInsertFields.AddtoDBString("TowerRedundantHipNumBolts4")</t>
  </si>
  <si>
    <t xml:space="preserve">        SQLInsertFields = SQLInsertFields.AddtoDBString("TowerRedundantHipBoltEdgeDistance4")</t>
  </si>
  <si>
    <t xml:space="preserve">        SQLInsertFields = SQLInsertFields.AddtoDBString("TowerRedundantHipGageG1Distance4")</t>
  </si>
  <si>
    <t xml:space="preserve">        SQLInsertFields = SQLInsertFields.AddtoDBString("TowerRedundantHipNetWidthDeduct4")</t>
  </si>
  <si>
    <t xml:space="preserve">        SQLInsertFields = SQLInsertFields.AddtoDBString("TowerRedundantHipUFactor4")</t>
  </si>
  <si>
    <t xml:space="preserve">        SQLInsertFields = SQLInsertFields.AddtoDBString("TowerRedundantHipDiagonalBoltGrade1")</t>
  </si>
  <si>
    <t xml:space="preserve">        SQLInsertFields = SQLInsertFields.AddtoDBString("TowerRedundantHipDiagonalBoltSize1")</t>
  </si>
  <si>
    <t xml:space="preserve">        SQLInsertFields = SQLInsertFields.AddtoDBString("TowerRedundantHipDiagonalNumBolts1")</t>
  </si>
  <si>
    <t xml:space="preserve">        SQLInsertFields = SQLInsertFields.AddtoDBString("TowerRedundantHipDiagonalBoltEdgeDistance1")</t>
  </si>
  <si>
    <t xml:space="preserve">        SQLInsertFields = SQLInsertFields.AddtoDBString("TowerRedundantHipDiagonalGageG1Distance1")</t>
  </si>
  <si>
    <t xml:space="preserve">        SQLInsertFields = SQLInsertFields.AddtoDBString("TowerRedundantHipDiagonalNetWidthDeduct1")</t>
  </si>
  <si>
    <t xml:space="preserve">        SQLInsertFields = SQLInsertFields.AddtoDBString("TowerRedundantHipDiagonalUFactor1")</t>
  </si>
  <si>
    <t xml:space="preserve">        SQLInsertFields = SQLInsertFields.AddtoDBString("TowerRedundantHipDiagonalBoltGrade2")</t>
  </si>
  <si>
    <t xml:space="preserve">        SQLInsertFields = SQLInsertFields.AddtoDBString("TowerRedundantHipDiagonalBoltSize2")</t>
  </si>
  <si>
    <t xml:space="preserve">        SQLInsertFields = SQLInsertFields.AddtoDBString("TowerRedundantHipDiagonalNumBolts2")</t>
  </si>
  <si>
    <t xml:space="preserve">        SQLInsertFields = SQLInsertFields.AddtoDBString("TowerRedundantHipDiagonalBoltEdgeDistance2")</t>
  </si>
  <si>
    <t xml:space="preserve">        SQLInsertFields = SQLInsertFields.AddtoDBString("TowerRedundantHipDiagonalGageG1Distance2")</t>
  </si>
  <si>
    <t xml:space="preserve">        SQLInsertFields = SQLInsertFields.AddtoDBString("TowerRedundantHipDiagonalNetWidthDeduct2")</t>
  </si>
  <si>
    <t xml:space="preserve">        SQLInsertFields = SQLInsertFields.AddtoDBString("TowerRedundantHipDiagonalUFactor2")</t>
  </si>
  <si>
    <t xml:space="preserve">        SQLInsertFields = SQLInsertFields.AddtoDBString("TowerRedundantHipDiagonalBoltGrade3")</t>
  </si>
  <si>
    <t xml:space="preserve">        SQLInsertFields = SQLInsertFields.AddtoDBString("TowerRedundantHipDiagonalBoltSize3")</t>
  </si>
  <si>
    <t xml:space="preserve">        SQLInsertFields = SQLInsertFields.AddtoDBString("TowerRedundantHipDiagonalNumBolts3")</t>
  </si>
  <si>
    <t xml:space="preserve">        SQLInsertFields = SQLInsertFields.AddtoDBString("TowerRedundantHipDiagonalBoltEdgeDistance3")</t>
  </si>
  <si>
    <t xml:space="preserve">        SQLInsertFields = SQLInsertFields.AddtoDBString("TowerRedundantHipDiagonalGageG1Distance3")</t>
  </si>
  <si>
    <t xml:space="preserve">        SQLInsertFields = SQLInsertFields.AddtoDBString("TowerRedundantHipDiagonalNetWidthDeduct3")</t>
  </si>
  <si>
    <t xml:space="preserve">        SQLInsertFields = SQLInsertFields.AddtoDBString("TowerRedundantHipDiagonalUFactor3")</t>
  </si>
  <si>
    <t xml:space="preserve">        SQLInsertFields = SQLInsertFields.AddtoDBString("TowerRedundantHipDiagonalBoltGrade4")</t>
  </si>
  <si>
    <t xml:space="preserve">        SQLInsertFields = SQLInsertFields.AddtoDBString("TowerRedundantHipDiagonalBoltSize4")</t>
  </si>
  <si>
    <t xml:space="preserve">        SQLInsertFields = SQLInsertFields.AddtoDBString("TowerRedundantHipDiagonalNumBolts4")</t>
  </si>
  <si>
    <t xml:space="preserve">        SQLInsertFields = SQLInsertFields.AddtoDBString("TowerRedundantHipDiagonalBoltEdgeDistance4")</t>
  </si>
  <si>
    <t xml:space="preserve">        SQLInsertFields = SQLInsertFields.AddtoDBString("TowerRedundantHipDiagonalGageG1Distance4")</t>
  </si>
  <si>
    <t xml:space="preserve">        SQLInsertFields = SQLInsertFields.AddtoDBString("TowerRedundantHipDiagonalNetWidthDeduct4")</t>
  </si>
  <si>
    <t xml:space="preserve">        SQLInsertFields = SQLInsertFields.AddtoDBString("TowerRedundantHipDiagonalUFactor4")</t>
  </si>
  <si>
    <t xml:space="preserve">        SQLInsertFields = SQLInsertFields.AddtoDBString("TowerRedundantHorizontalGradeOverwrite")</t>
  </si>
  <si>
    <t xml:space="preserve">        SQLInsertFields = SQLInsertFields.AddtoDBString("TowerRedundantHorizontalMatlGradeOverwrite")</t>
  </si>
  <si>
    <t xml:space="preserve">        SQLInsertFields = SQLInsertFields.AddtoDBString("TowerRedundantHorizontalGrade2Overwrite")</t>
  </si>
  <si>
    <t xml:space="preserve">        SQLInsertFields = SQLInsertFields.AddtoDBString("TowerRedundantHorizontalMatlGrade2Overwrite")</t>
  </si>
  <si>
    <t xml:space="preserve">        SQLInsertFields = SQLInsertFields.AddtoDBString("TowerRedundantHorizontalGrade3Overwrite")</t>
  </si>
  <si>
    <t xml:space="preserve">        SQLInsertFields = SQLInsertFields.AddtoDBString("TowerRedundantHorizontalMatlGrade3Overwrite")</t>
  </si>
  <si>
    <t xml:space="preserve">        SQLInsertFields = SQLInsertFields.AddtoDBString("TowerRedundantHorizontalGrade4Overwrite")</t>
  </si>
  <si>
    <t xml:space="preserve">        SQLInsertFields = SQLInsertFields.AddtoDBString("TowerRedundantHorizontalMatlGrade4Overwrite")</t>
  </si>
  <si>
    <t xml:space="preserve">        SQLInsertFields = SQLInsertFields.AddtoDBString("TowerRedundantDiagonalGradeOverwrite")</t>
  </si>
  <si>
    <t xml:space="preserve">        SQLInsertFields = SQLInsertFields.AddtoDBString("TowerRedundantDiagonalMatlGradeOverwrite")</t>
  </si>
  <si>
    <t xml:space="preserve">        SQLInsertFields = SQLInsertFields.AddtoDBString("TowerRedundantDiagonalGrade2Overwrite")</t>
  </si>
  <si>
    <t xml:space="preserve">        SQLInsertFields = SQLInsertFields.AddtoDBString("TowerRedundantDiagonalMatlGrade2Overwrite")</t>
  </si>
  <si>
    <t xml:space="preserve">        SQLInsertFields = SQLInsertFields.AddtoDBString("TowerRedundantDiagonalGrade3Overwrite")</t>
  </si>
  <si>
    <t xml:space="preserve">        SQLInsertFields = SQLInsertFields.AddtoDBString("TowerRedundantDiagonalMatlGrade3Overwrite")</t>
  </si>
  <si>
    <t xml:space="preserve">        SQLInsertFields = SQLInsertFields.AddtoDBString("TowerRedundantDiagonalGrade4Overwrite")</t>
  </si>
  <si>
    <t xml:space="preserve">        SQLInsertFields = SQLInsertFields.AddtoDBString("TowerRedundantDiagonalMatlGrade4Overwrite")</t>
  </si>
  <si>
    <t xml:space="preserve">        SQLInsertFields = SQLInsertFields.AddtoDBString("TowerRedundantSubHorizontalGradeOverwrite")</t>
  </si>
  <si>
    <t xml:space="preserve">        SQLInsertFields = SQLInsertFields.AddtoDBString("TowerRedundantSubHorizontalMatlGradeOverwrite")</t>
  </si>
  <si>
    <t xml:space="preserve">        SQLInsertFields = SQLInsertFields.AddtoDBString("TowerRedundantSubDiagonalGradeOverwrite")</t>
  </si>
  <si>
    <t xml:space="preserve">        SQLInsertFields = SQLInsertFields.AddtoDBString("TowerRedundantSubDiagonalMatlGradeOverwrite")</t>
  </si>
  <si>
    <t xml:space="preserve">        SQLInsertFields = SQLInsertFields.AddtoDBString("TowerRedundantVerticalGradeOverwrite")</t>
  </si>
  <si>
    <t xml:space="preserve">        SQLInsertFields = SQLInsertFields.AddtoDBString("TowerRedundantVerticalMatlGrade3Overwrite")</t>
  </si>
  <si>
    <t xml:space="preserve">        SQLInsertFields = SQLInsertFields.AddtoDBString("TowerRedundantHipGradeOverwrite")</t>
  </si>
  <si>
    <t xml:space="preserve">        SQLInsertFields = SQLInsertFields.AddtoDBString("TowerRedundantHipMatlGradeOverwrite")</t>
  </si>
  <si>
    <t xml:space="preserve">        SQLInsertFields = SQLInsertFields.AddtoDBString("TowerRedundantHipGrade2Overwrite")</t>
  </si>
  <si>
    <t xml:space="preserve">        SQLInsertFields = SQLInsertFields.AddtoDBString("TowerRedundantHipMatlGrade2Overwrite")</t>
  </si>
  <si>
    <t xml:space="preserve">        SQLInsertFields = SQLInsertFields.AddtoDBString("TowerRedundantHipGrade3Overwrite")</t>
  </si>
  <si>
    <t xml:space="preserve">        SQLInsertFields = SQLInsertFields.AddtoDBString("TowerRedundantHipMatlGrade3Overwrite")</t>
  </si>
  <si>
    <t xml:space="preserve">        SQLInsertFields = SQLInsertFields.AddtoDBString("TowerRedundantHipGrade4Overwrite")</t>
  </si>
  <si>
    <t xml:space="preserve">        SQLInsertFields = SQLInsertFields.AddtoDBString("TowerRedundantHipMatlGrade4Overwrite")</t>
  </si>
  <si>
    <t xml:space="preserve">        SQLInsertFields = SQLInsertFields.AddtoDBString("TowerRedundantHipDiagonalGradeOverwrite")</t>
  </si>
  <si>
    <t xml:space="preserve">        SQLInsertFields = SQLInsertFields.AddtoDBString("TowerRedundantHipDiagonalMatlGradeOverwrite")</t>
  </si>
  <si>
    <t xml:space="preserve">        SQLInsertFields = SQLInsertFields.AddtoDBString("TowerRedundantHipDiagonalGrade2Overwrite")</t>
  </si>
  <si>
    <t xml:space="preserve">        SQLInsertFields = SQLInsertFields.AddtoDBString("TowerRedundantHipDiagonalMatlGrade2Overwrite")</t>
  </si>
  <si>
    <t xml:space="preserve">        SQLInsertFields = SQLInsertFields.AddtoDBString("TowerRedundantHipDiagonalGrade3Overwrite")</t>
  </si>
  <si>
    <t xml:space="preserve">        SQLInsertFields = SQLInsertFields.AddtoDBString("TowerRedundantHipDiagonalMatlGrade3Overwrite")</t>
  </si>
  <si>
    <t xml:space="preserve">        SQLInsertFields = SQLInsertFields.AddtoDBString("TowerRedundantHipDiagonalGrade4Overwrite")</t>
  </si>
  <si>
    <t xml:space="preserve">        SQLInsertFields = SQLInsertFields.AddtoDBString("TowerRedundantHipDiagonalMatlGrade4Overwrite")</t>
  </si>
  <si>
    <t>base_structure_sections</t>
  </si>
  <si>
    <t>guys</t>
  </si>
  <si>
    <t>GuyRec</t>
  </si>
  <si>
    <t>GuyHeight</t>
  </si>
  <si>
    <t>GuyAutoCalcKSingleAngle</t>
  </si>
  <si>
    <t>GuyAutoCalcKSolidRound</t>
  </si>
  <si>
    <t>GuyMount</t>
  </si>
  <si>
    <t>TorqueArmStyle</t>
  </si>
  <si>
    <t>GuyRadius</t>
  </si>
  <si>
    <t>GuyRadius120</t>
  </si>
  <si>
    <t>GuyRadius240</t>
  </si>
  <si>
    <t>GuyRadius360</t>
  </si>
  <si>
    <t>TorqueArmRadius</t>
  </si>
  <si>
    <t>TorqueArmLegAngle</t>
  </si>
  <si>
    <t>Azimuth0Adjustment</t>
  </si>
  <si>
    <t>Azimuth120Adjustment</t>
  </si>
  <si>
    <t>Azimuth240Adjustment</t>
  </si>
  <si>
    <t>Azimuth360Adjustment</t>
  </si>
  <si>
    <t>Anchor0Elevation</t>
  </si>
  <si>
    <t>Anchor120Elevation</t>
  </si>
  <si>
    <t>Anchor240Elevation</t>
  </si>
  <si>
    <t>Anchor360Elevation</t>
  </si>
  <si>
    <t>GuySize</t>
  </si>
  <si>
    <t>Guy120Size</t>
  </si>
  <si>
    <t>Guy240Size</t>
  </si>
  <si>
    <t>Guy360Size</t>
  </si>
  <si>
    <t>GuyGrade</t>
  </si>
  <si>
    <t>TorqueArmSize</t>
  </si>
  <si>
    <t>TorqueArmSizeBot</t>
  </si>
  <si>
    <t>TorqueArmType</t>
  </si>
  <si>
    <t>TorqueArmGrade</t>
  </si>
  <si>
    <t>TorqueArmMatlGrade</t>
  </si>
  <si>
    <t>TorqueArmKFactor</t>
  </si>
  <si>
    <t>TorqueArmKFactorY</t>
  </si>
  <si>
    <t>GuyPullOffKFactorX</t>
  </si>
  <si>
    <t>GuyPullOffKFactorY</t>
  </si>
  <si>
    <t>GuyDiagKFactorX</t>
  </si>
  <si>
    <t>GuyDiagKFactorY</t>
  </si>
  <si>
    <t>GuyAutoCalc</t>
  </si>
  <si>
    <t>GuyAllGuysSame</t>
  </si>
  <si>
    <t>GuyAllGuysAnchorSame</t>
  </si>
  <si>
    <t>GuyIsStrapping</t>
  </si>
  <si>
    <t>GuyPullOffSize</t>
  </si>
  <si>
    <t>GuyPullOffSizeBot</t>
  </si>
  <si>
    <t>GuyPullOffType</t>
  </si>
  <si>
    <t>GuyPullOffGrade</t>
  </si>
  <si>
    <t>GuyPullOffMatlGrade</t>
  </si>
  <si>
    <t>GuyUpperDiagSize</t>
  </si>
  <si>
    <t>GuyLowerDiagSize</t>
  </si>
  <si>
    <t>GuyDiagType</t>
  </si>
  <si>
    <t>GuyDiagGrade</t>
  </si>
  <si>
    <t>GuyDiagMatlGrade</t>
  </si>
  <si>
    <t>GuyDiagNetWidthDeduct</t>
  </si>
  <si>
    <t>GuyDiagUFactor</t>
  </si>
  <si>
    <t>GuyDiagNumBolts</t>
  </si>
  <si>
    <t>GuyDiagonalOutOfPlaneRestraint</t>
  </si>
  <si>
    <t>GuyDiagBoltGrade</t>
  </si>
  <si>
    <t>GuyDiagBoltSize</t>
  </si>
  <si>
    <t>GuyDiagBoltEdgeDistance</t>
  </si>
  <si>
    <t>GuyDiagBoltGageDistance</t>
  </si>
  <si>
    <t>GuyPullOffNetWidthDeduct</t>
  </si>
  <si>
    <t>GuyPullOffUFactor</t>
  </si>
  <si>
    <t>GuyPullOffNumBolts</t>
  </si>
  <si>
    <t>GuyPullOffOutOfPlaneRestraint</t>
  </si>
  <si>
    <t>GuyPullOffBoltGrade</t>
  </si>
  <si>
    <t>GuyPullOffBoltSize</t>
  </si>
  <si>
    <t>GuyPullOffBoltEdgeDistance</t>
  </si>
  <si>
    <t>GuyPullOffBoltGageDistance</t>
  </si>
  <si>
    <t>GuyTorqueArmNetWidthDeduct</t>
  </si>
  <si>
    <t>GuyTorqueArmUFactor</t>
  </si>
  <si>
    <t>GuyTorqueArmNumBolts</t>
  </si>
  <si>
    <t>GuyTorqueArmOutOfPlaneRestraint</t>
  </si>
  <si>
    <t>GuyTorqueArmBoltGrade</t>
  </si>
  <si>
    <t>GuyTorqueArmBoltSize</t>
  </si>
  <si>
    <t>GuyTorqueArmBoltEdgeDistance</t>
  </si>
  <si>
    <t>GuyTorqueArmBoltGageDistance</t>
  </si>
  <si>
    <t>GuyPerCentTension</t>
  </si>
  <si>
    <t>GuyPerCentTension120</t>
  </si>
  <si>
    <t>GuyPerCentTension240</t>
  </si>
  <si>
    <t>GuyPerCentTension360</t>
  </si>
  <si>
    <t>GuyEffFactor</t>
  </si>
  <si>
    <t>GuyEffFactor120</t>
  </si>
  <si>
    <t>GuyEffFactor240</t>
  </si>
  <si>
    <t>GuyEffFactor360</t>
  </si>
  <si>
    <t>GuyNumInsulators</t>
  </si>
  <si>
    <t>GuyInsulatorLength</t>
  </si>
  <si>
    <t>GuyInsulatorDia</t>
  </si>
  <si>
    <t>GuyInsulatorWt</t>
  </si>
  <si>
    <t>tnx</t>
  </si>
  <si>
    <t>DesignStandardSeries</t>
  </si>
  <si>
    <t>UnitsSystem</t>
  </si>
  <si>
    <t>ClientName</t>
  </si>
  <si>
    <t>ProjectName</t>
  </si>
  <si>
    <t>ProjectNumber</t>
  </si>
  <si>
    <t>CreatedBy</t>
  </si>
  <si>
    <t>LastUsedBy</t>
  </si>
  <si>
    <t>VersionUsed</t>
  </si>
  <si>
    <t>USLength</t>
  </si>
  <si>
    <t>USLengthPrec</t>
  </si>
  <si>
    <t>USCoordinate</t>
  </si>
  <si>
    <t>USCoordinatePrec</t>
  </si>
  <si>
    <t>USForce</t>
  </si>
  <si>
    <t>USForcePrec</t>
  </si>
  <si>
    <t>USLoad</t>
  </si>
  <si>
    <t>USLoadPrec</t>
  </si>
  <si>
    <t>USMoment</t>
  </si>
  <si>
    <t>USMomentPrec</t>
  </si>
  <si>
    <t>USProperties</t>
  </si>
  <si>
    <t>USPropertiesPrec</t>
  </si>
  <si>
    <t>USPressure</t>
  </si>
  <si>
    <t>USPressurePrec</t>
  </si>
  <si>
    <t>USVelocity</t>
  </si>
  <si>
    <t>USVelocityPrec</t>
  </si>
  <si>
    <t>USDisplacement</t>
  </si>
  <si>
    <t>USDisplacementPrec</t>
  </si>
  <si>
    <t>USMass</t>
  </si>
  <si>
    <t>USMassPrec</t>
  </si>
  <si>
    <t>USAcceleration</t>
  </si>
  <si>
    <t>USAccelerationPrec</t>
  </si>
  <si>
    <t>USStress</t>
  </si>
  <si>
    <t>USStressPrec</t>
  </si>
  <si>
    <t>USDensity</t>
  </si>
  <si>
    <t>USDensityPrec</t>
  </si>
  <si>
    <t>USUnitWt</t>
  </si>
  <si>
    <t>USUnitWtPrec</t>
  </si>
  <si>
    <t>USStrength</t>
  </si>
  <si>
    <t>USStrengthPrec</t>
  </si>
  <si>
    <t>USModulus</t>
  </si>
  <si>
    <t>USModulusPrec</t>
  </si>
  <si>
    <t>USTemperature</t>
  </si>
  <si>
    <t>USTemperaturePrec</t>
  </si>
  <si>
    <t>USPrinter</t>
  </si>
  <si>
    <t>USPrinterPrec</t>
  </si>
  <si>
    <t>USRotation</t>
  </si>
  <si>
    <t>USRotationPrec</t>
  </si>
  <si>
    <t>USSpacing</t>
  </si>
  <si>
    <t>USSpacingPrec</t>
  </si>
  <si>
    <t>SILength</t>
  </si>
  <si>
    <t>SILengthPrec</t>
  </si>
  <si>
    <t>SICoordinate</t>
  </si>
  <si>
    <t>SICoordinatePrec</t>
  </si>
  <si>
    <t>SIForce</t>
  </si>
  <si>
    <t>SIForcePrec</t>
  </si>
  <si>
    <t>SILoad</t>
  </si>
  <si>
    <t>SILoadPrec</t>
  </si>
  <si>
    <t>SIMoment</t>
  </si>
  <si>
    <t>SIMomentPrec</t>
  </si>
  <si>
    <t>SIProperties</t>
  </si>
  <si>
    <t>SIPropertiesPrec</t>
  </si>
  <si>
    <t>SIPressure</t>
  </si>
  <si>
    <t>SIPressurePrec</t>
  </si>
  <si>
    <t>SIVelocity</t>
  </si>
  <si>
    <t>SIVelocityPrec</t>
  </si>
  <si>
    <t>SIDisplacement</t>
  </si>
  <si>
    <t>SIDisplacementPrec</t>
  </si>
  <si>
    <t>SIMass</t>
  </si>
  <si>
    <t>SIMassPrec</t>
  </si>
  <si>
    <t>SIAcceleration</t>
  </si>
  <si>
    <t>SIAccelerationPrec</t>
  </si>
  <si>
    <t>SIStress</t>
  </si>
  <si>
    <t>SIStressPrec</t>
  </si>
  <si>
    <t>SIDensity</t>
  </si>
  <si>
    <t>SIDensityPrec</t>
  </si>
  <si>
    <t>SIUnitWt</t>
  </si>
  <si>
    <t>SIUnitWtPrec</t>
  </si>
  <si>
    <t>SIStrength</t>
  </si>
  <si>
    <t>SIStrengthPrec</t>
  </si>
  <si>
    <t>SIModulus</t>
  </si>
  <si>
    <t>SIModulusPrec</t>
  </si>
  <si>
    <t>SITemperature</t>
  </si>
  <si>
    <t>SITemperaturePrec</t>
  </si>
  <si>
    <t>SIPrinter</t>
  </si>
  <si>
    <t>SIPrinterPrec</t>
  </si>
  <si>
    <t>SIRotation</t>
  </si>
  <si>
    <t>SIRotationPrec</t>
  </si>
  <si>
    <t>SISpacing</t>
  </si>
  <si>
    <t>SISpacingPrec</t>
  </si>
  <si>
    <t>Architectural</t>
  </si>
  <si>
    <t>SteelCode</t>
  </si>
  <si>
    <t>AluminumCode</t>
  </si>
  <si>
    <t>TimberCode</t>
  </si>
  <si>
    <t>ConcreteCode</t>
  </si>
  <si>
    <t>MasonryCode</t>
  </si>
  <si>
    <t>BuildingCode</t>
  </si>
  <si>
    <t>PatternLive</t>
  </si>
  <si>
    <t>PostalCode</t>
  </si>
  <si>
    <t>PatternPerCent</t>
  </si>
  <si>
    <t>LoadsActPositiveDown</t>
  </si>
  <si>
    <t>IncludeSelfWeight</t>
  </si>
  <si>
    <t>UseLiveLoadReduction</t>
  </si>
  <si>
    <t>PreCompositeConstructionLoad</t>
  </si>
  <si>
    <t>ConstructionLoad</t>
  </si>
  <si>
    <t>PreCompositeDeadLoad</t>
  </si>
  <si>
    <t>PostCompositeDeadLoad</t>
  </si>
  <si>
    <t>RoofLiveLoad</t>
  </si>
  <si>
    <t>FloorLiveLoad</t>
  </si>
  <si>
    <t>SnowLoad</t>
  </si>
  <si>
    <t>WindLoad</t>
  </si>
  <si>
    <t>UBCSeismicZone</t>
  </si>
  <si>
    <t>UBCSeismicI</t>
  </si>
  <si>
    <t>UBCSeismicS</t>
  </si>
  <si>
    <t>UBCSeismicRw</t>
  </si>
  <si>
    <t>UBCWindExposureCategory</t>
  </si>
  <si>
    <t>UBCWindI</t>
  </si>
  <si>
    <t>UBCWindSpeed</t>
  </si>
  <si>
    <t>UBCWindOpenDoor</t>
  </si>
  <si>
    <t>UBCSnowLoad</t>
  </si>
  <si>
    <t>UBCConcentratedForce</t>
  </si>
  <si>
    <t>UBCSnowI</t>
  </si>
  <si>
    <t>UBCSnowCe</t>
  </si>
  <si>
    <t>UBCIsGarage</t>
  </si>
  <si>
    <t>UBCUsePostal</t>
  </si>
  <si>
    <t>SBCCISeismicAv</t>
  </si>
  <si>
    <t>SBCCISeismicAa</t>
  </si>
  <si>
    <t>SBCCISeismicS</t>
  </si>
  <si>
    <t>SBCCISeismicR</t>
  </si>
  <si>
    <t>SBCCISeismicCd</t>
  </si>
  <si>
    <t>SBCCIWindExposureCategory</t>
  </si>
  <si>
    <t>SBCCIWindI</t>
  </si>
  <si>
    <t>SBCCIWindSpeed</t>
  </si>
  <si>
    <t>SBCCIWindOpenDoor</t>
  </si>
  <si>
    <t>SBCCISnowLoad</t>
  </si>
  <si>
    <t>SBCCIConcentratedForce</t>
  </si>
  <si>
    <t>SBCCISnowI</t>
  </si>
  <si>
    <t>SBCCISnowCe</t>
  </si>
  <si>
    <t>SBCCISnowCt</t>
  </si>
  <si>
    <t>SBCCIIsGarage</t>
  </si>
  <si>
    <t>SBCCIUsePostal</t>
  </si>
  <si>
    <t>BOCASeismicAv</t>
  </si>
  <si>
    <t>BOCASeismicAa</t>
  </si>
  <si>
    <t>BOCASeismicS</t>
  </si>
  <si>
    <t>BOCASeismicR</t>
  </si>
  <si>
    <t>BOCASeismicCd</t>
  </si>
  <si>
    <t>BOCAWindExposureCategory</t>
  </si>
  <si>
    <t>BOCAWindI</t>
  </si>
  <si>
    <t>BOCAWindSpeed</t>
  </si>
  <si>
    <t>BOCAWindOpenDoor</t>
  </si>
  <si>
    <t>BOCASnowLoad</t>
  </si>
  <si>
    <t>BOCAConcentratedForce</t>
  </si>
  <si>
    <t>BOCASnowI</t>
  </si>
  <si>
    <t>BOCASnowCe</t>
  </si>
  <si>
    <t>BOCAIsGarage</t>
  </si>
  <si>
    <t>BOCAUsePostal</t>
  </si>
  <si>
    <t>ViewerUserName</t>
  </si>
  <si>
    <t>ViewerCompanyName</t>
  </si>
  <si>
    <t>ViewerStreetAddress</t>
  </si>
  <si>
    <t>ViewerCityState</t>
  </si>
  <si>
    <t>ViewerPhone</t>
  </si>
  <si>
    <t>ViewerFAX</t>
  </si>
  <si>
    <t>ViewerLogo</t>
  </si>
  <si>
    <t>ViewerCompanyBitmap</t>
  </si>
  <si>
    <t>sReportProjectNumber</t>
  </si>
  <si>
    <t>sReportJobType</t>
  </si>
  <si>
    <t>sReportCarrierName</t>
  </si>
  <si>
    <t>sReportCarrierSiteNumber</t>
  </si>
  <si>
    <t>sReportCarrierSiteName</t>
  </si>
  <si>
    <t>sReportSiteAddress</t>
  </si>
  <si>
    <t>sReportLatitudeDegree</t>
  </si>
  <si>
    <t>sReportLatitudeMinute</t>
  </si>
  <si>
    <t>sReportLatitudeSecond</t>
  </si>
  <si>
    <t>sReportLongitudeDegree</t>
  </si>
  <si>
    <t>sReportLongitudeMinute</t>
  </si>
  <si>
    <t>sReportLongitudeSecond</t>
  </si>
  <si>
    <t>sReportLocalCodeRequirement</t>
  </si>
  <si>
    <t>sReportSiteHistory</t>
  </si>
  <si>
    <t>sReportTowerManufacturer</t>
  </si>
  <si>
    <t>sReportMonthManufactured</t>
  </si>
  <si>
    <t>sReportYearManufactured</t>
  </si>
  <si>
    <t>sReportOriginalSpeed</t>
  </si>
  <si>
    <t>sReportOriginalCode</t>
  </si>
  <si>
    <t>sReportTowerType</t>
  </si>
  <si>
    <t>sReportEngrName</t>
  </si>
  <si>
    <t>sReportEngrTitle</t>
  </si>
  <si>
    <t>sReportHQPhoneNumber</t>
  </si>
  <si>
    <t>sReportEmailAddress</t>
  </si>
  <si>
    <t>sReportLogoPath</t>
  </si>
  <si>
    <t>sReportCCiContactName</t>
  </si>
  <si>
    <t>sReportCCiAddress1</t>
  </si>
  <si>
    <t>sReportCCiAddress2</t>
  </si>
  <si>
    <t>sReportCCiBUNumber</t>
  </si>
  <si>
    <t>sReportCCiSiteName</t>
  </si>
  <si>
    <t>sReportCCiJDENumber</t>
  </si>
  <si>
    <t>sReportCCiWONumber</t>
  </si>
  <si>
    <t>sReportCCiPONumber</t>
  </si>
  <si>
    <t>sReportCCiAppNumber</t>
  </si>
  <si>
    <t>sReportCCiRevNumber</t>
  </si>
  <si>
    <t>sReportRecommendations</t>
  </si>
  <si>
    <t>sReportAppurt1Note1</t>
  </si>
  <si>
    <t>sReportAppurt1Note2</t>
  </si>
  <si>
    <t>sReportAppurt1Note3</t>
  </si>
  <si>
    <t>sReportAppurt1Note4</t>
  </si>
  <si>
    <t>sReportAppurt1Note5</t>
  </si>
  <si>
    <t>sReportAppurt1Note6</t>
  </si>
  <si>
    <t>sReportAppurt1Note7</t>
  </si>
  <si>
    <t>sReportAppurt2Note1</t>
  </si>
  <si>
    <t>sReportAppurt2Note2</t>
  </si>
  <si>
    <t>sReportAppurt2Note3</t>
  </si>
  <si>
    <t>sReportAppurt2Note4</t>
  </si>
  <si>
    <t>sReportAppurt2Note5</t>
  </si>
  <si>
    <t>sReportAppurt2Note6</t>
  </si>
  <si>
    <t>sReportAppurt2Note7</t>
  </si>
  <si>
    <t>sReportAddlCapacityNote1</t>
  </si>
  <si>
    <t>sReportAddlCapacityNote2</t>
  </si>
  <si>
    <t>sReportAddlCapacityNote3</t>
  </si>
  <si>
    <t>sReportAddlCapacityNote4</t>
  </si>
  <si>
    <t>DesignCode</t>
  </si>
  <si>
    <t>TowerType</t>
  </si>
  <si>
    <t>AntennaType</t>
  </si>
  <si>
    <t>OverallHeight</t>
  </si>
  <si>
    <t>BaseElevation</t>
  </si>
  <si>
    <t>Lambda</t>
  </si>
  <si>
    <t>TowerTopFaceWidth</t>
  </si>
  <si>
    <t>TowerBaseFaceWidth</t>
  </si>
  <si>
    <t>WindSpeed</t>
  </si>
  <si>
    <t>WindSpeedIce</t>
  </si>
  <si>
    <t>WindSpeedService</t>
  </si>
  <si>
    <t>IceThickness</t>
  </si>
  <si>
    <t>CSA_S37_RefVelPress</t>
  </si>
  <si>
    <t>CSA_S37_ReliabilityClass</t>
  </si>
  <si>
    <t>CSA_S37_ServiceabilityFactor</t>
  </si>
  <si>
    <t>UseModified_TIA_222_IceParameters</t>
  </si>
  <si>
    <t>TIA_222_IceThicknessMultiplier</t>
  </si>
  <si>
    <t>DoNotUse_TIA_222_IceEscalation</t>
  </si>
  <si>
    <t>IceDensity</t>
  </si>
  <si>
    <t>SeismicSiteClass</t>
  </si>
  <si>
    <t>SeismicSs</t>
  </si>
  <si>
    <t>SeismicS1</t>
  </si>
  <si>
    <t>TempDrop</t>
  </si>
  <si>
    <t>GroutFc</t>
  </si>
  <si>
    <t>GirtOffset</t>
  </si>
  <si>
    <t>GirtOffsetLatticedPole</t>
  </si>
  <si>
    <t>MastVert</t>
  </si>
  <si>
    <t>MastHorz</t>
  </si>
  <si>
    <t>GuyVert</t>
  </si>
  <si>
    <t>GuyHorz</t>
  </si>
  <si>
    <t>AntennaPoleType</t>
  </si>
  <si>
    <t>AntennaPoleHt</t>
  </si>
  <si>
    <t>BeaconDiameter</t>
  </si>
  <si>
    <t>AntennaPoleIx</t>
  </si>
  <si>
    <t>AntennaPoleIy</t>
  </si>
  <si>
    <t>AntennaPoleEmod</t>
  </si>
  <si>
    <t>AntennaPoleWtNoIce</t>
  </si>
  <si>
    <t>AntennaPoleWtIce</t>
  </si>
  <si>
    <t>AntennaPoleWindNoIce</t>
  </si>
  <si>
    <t>AntennaPoleWindIce</t>
  </si>
  <si>
    <t>AntennaPoleWindService</t>
  </si>
  <si>
    <t>AntennaPoleCaAaNoIce</t>
  </si>
  <si>
    <t>AntennaPoleCaAaIce</t>
  </si>
  <si>
    <t>BeaconWtNoIce</t>
  </si>
  <si>
    <t>BeaconWtIce</t>
  </si>
  <si>
    <t>BeaconWindNoIce</t>
  </si>
  <si>
    <t>BeaconWindIce</t>
  </si>
  <si>
    <t>BeaconWindService</t>
  </si>
  <si>
    <t>BeaconCaAaNoIce</t>
  </si>
  <si>
    <t>BeaconCaAaIce</t>
  </si>
  <si>
    <t>HogRodTakeup</t>
  </si>
  <si>
    <t>TowerTaper</t>
  </si>
  <si>
    <t>GuyedMonopoleBaseType</t>
  </si>
  <si>
    <t>TaperHeight</t>
  </si>
  <si>
    <t>PivotHeight</t>
  </si>
  <si>
    <t>AutoCalcGH</t>
  </si>
  <si>
    <t>IncludeCapacityNote</t>
  </si>
  <si>
    <t>IncludeAppurtGraphics</t>
  </si>
  <si>
    <t>DisplayNotes</t>
  </si>
  <si>
    <t>DisplayReactions</t>
  </si>
  <si>
    <t>DisplaySchedule</t>
  </si>
  <si>
    <t>DisplayAppurtenanceTable</t>
  </si>
  <si>
    <t>DisplayMaterialStrengthTable</t>
  </si>
  <si>
    <t>AutoCalc_ASCE_GH</t>
  </si>
  <si>
    <t>ASCE_ExposureCat</t>
  </si>
  <si>
    <t>ASCE_Year</t>
  </si>
  <si>
    <t>ASCEGh</t>
  </si>
  <si>
    <t>ASCEI</t>
  </si>
  <si>
    <t>UseASCEWind</t>
  </si>
  <si>
    <t>UserGHElev</t>
  </si>
  <si>
    <t>UseCodeGuySF</t>
  </si>
  <si>
    <t>GuySF</t>
  </si>
  <si>
    <t>CalcWindAt</t>
  </si>
  <si>
    <t>TowerBoltGrade</t>
  </si>
  <si>
    <t>TowerBoltMinEdgeDist</t>
  </si>
  <si>
    <t>AllowStressRatio</t>
  </si>
  <si>
    <t>AllowAntStressRatio</t>
  </si>
  <si>
    <t>WindCalcPoints</t>
  </si>
  <si>
    <t>UseIndexPlate</t>
  </si>
  <si>
    <t>EnterUserDefinedGhValues</t>
  </si>
  <si>
    <t>BaseTowerGhInput</t>
  </si>
  <si>
    <t>UpperStructureGhInput</t>
  </si>
  <si>
    <t>EnterUserDefinedCgValues</t>
  </si>
  <si>
    <t>BaseTowerCgInput</t>
  </si>
  <si>
    <t>UpperStructureCgInput</t>
  </si>
  <si>
    <t>CheckVonMises</t>
  </si>
  <si>
    <t>UseClearSpans</t>
  </si>
  <si>
    <t>UseClearSpansKlr</t>
  </si>
  <si>
    <t>AntennaFaceWidth</t>
  </si>
  <si>
    <t>DoInteraction</t>
  </si>
  <si>
    <t>DoHorzInteraction</t>
  </si>
  <si>
    <t>DoDiagInteraction</t>
  </si>
  <si>
    <t>UseMomentMagnification</t>
  </si>
  <si>
    <t>UseShielding</t>
  </si>
  <si>
    <t>UseFeedlineAsCylinder</t>
  </si>
  <si>
    <t>OffsetBotGirt</t>
  </si>
  <si>
    <t>PrintBitmaps</t>
  </si>
  <si>
    <t>UseTopTakeup</t>
  </si>
  <si>
    <t>ConstantSlope</t>
  </si>
  <si>
    <t>UseCodeStressRatio</t>
  </si>
  <si>
    <t>UseLegLoads</t>
  </si>
  <si>
    <t>ERIDesignMode</t>
  </si>
  <si>
    <t>WindExposure</t>
  </si>
  <si>
    <t>WindZone</t>
  </si>
  <si>
    <t>StructureCategory</t>
  </si>
  <si>
    <t>RiskCategory</t>
  </si>
  <si>
    <t>TopoCategory</t>
  </si>
  <si>
    <t>RSMTopographicFeature</t>
  </si>
  <si>
    <t>RSM_L</t>
  </si>
  <si>
    <t>RSM_X</t>
  </si>
  <si>
    <t>CrestHeight</t>
  </si>
  <si>
    <t>TIA_222_H_TopoFeatureDownwind</t>
  </si>
  <si>
    <t>BaseElevAboveSeaLevel</t>
  </si>
  <si>
    <t>ConsiderRooftopSpeedUp</t>
  </si>
  <si>
    <t>RooftopWS</t>
  </si>
  <si>
    <t>RooftopHS</t>
  </si>
  <si>
    <t>RooftopParapetHt</t>
  </si>
  <si>
    <t>RooftopXB</t>
  </si>
  <si>
    <t>UseTIA222H_AnnexS</t>
  </si>
  <si>
    <t>TIA_222_H_AnnexS_Ratio</t>
  </si>
  <si>
    <t>UseASCE7_10_Seismic_LComb</t>
  </si>
  <si>
    <t>EIACWindMult</t>
  </si>
  <si>
    <t>EIACWindMultIce</t>
  </si>
  <si>
    <t>EIACIgnoreCableDrag</t>
  </si>
  <si>
    <t>Notes</t>
  </si>
  <si>
    <t>SuppElev1</t>
  </si>
  <si>
    <t>SuppNone1</t>
  </si>
  <si>
    <t>SuppLegA1</t>
  </si>
  <si>
    <t>SuppLegB1</t>
  </si>
  <si>
    <t>SuppLegC1</t>
  </si>
  <si>
    <t>SuppLegD1</t>
  </si>
  <si>
    <t>SuppVert1</t>
  </si>
  <si>
    <t>SuppElev2</t>
  </si>
  <si>
    <t>SuppNone2</t>
  </si>
  <si>
    <t>SuppLegA2</t>
  </si>
  <si>
    <t>SuppLegB2</t>
  </si>
  <si>
    <t>SuppLegC2</t>
  </si>
  <si>
    <t>SuppLegD2</t>
  </si>
  <si>
    <t>SuppVert2</t>
  </si>
  <si>
    <t>SuppNone3</t>
  </si>
  <si>
    <t>SuppLegA3</t>
  </si>
  <si>
    <t>SuppLegB3</t>
  </si>
  <si>
    <t>SuppLegC3</t>
  </si>
  <si>
    <t>SuppLegD3</t>
  </si>
  <si>
    <t>SuppVert3</t>
  </si>
  <si>
    <t>EliminateBase</t>
  </si>
  <si>
    <t>MRSSNumSpiderLegs</t>
  </si>
  <si>
    <t>MRSSUseMitredLegs</t>
  </si>
  <si>
    <t>MRSSSpiderType</t>
  </si>
  <si>
    <t>MRSSSpiderSize</t>
  </si>
  <si>
    <t>MRSSSpiderGradeVal</t>
  </si>
  <si>
    <t>MRSSSpiderGrade</t>
  </si>
  <si>
    <t>MRSSSpacerThick</t>
  </si>
  <si>
    <t>MRSSSpiderRadius</t>
  </si>
  <si>
    <t>MRSSClampRingHt</t>
  </si>
  <si>
    <t>MRSSSpiderMaxPoleMoment</t>
  </si>
  <si>
    <t>BasePlateDataPlateGradeVal</t>
  </si>
  <si>
    <t>BasePlateDataPlateGrade</t>
  </si>
  <si>
    <t>BasePlateDataSquareBasePlate</t>
  </si>
  <si>
    <t>BasePlateDataGrouted</t>
  </si>
  <si>
    <t>BasePlateDataAnchorBoltGrade</t>
  </si>
  <si>
    <t>BasePlateDataBasePlateType</t>
  </si>
  <si>
    <t>BasePlateDataNumBolts</t>
  </si>
  <si>
    <t>BasePlateDataNumBoltsPerStiffener</t>
  </si>
  <si>
    <t>BasePlateDataAnchorBoltSize</t>
  </si>
  <si>
    <t>BasePlateDataAnchorBoltCircle</t>
  </si>
  <si>
    <t>BasePlateDataEmbedmentLength</t>
  </si>
  <si>
    <t>BasePlateDataGroutSpace</t>
  </si>
  <si>
    <t>BasePlateDataThick</t>
  </si>
  <si>
    <t>BasePlateDataInnerDiameter</t>
  </si>
  <si>
    <t>BasePlateDataOuterDiameter</t>
  </si>
  <si>
    <t>BasePlateDataClippedCorner</t>
  </si>
  <si>
    <t>BasePlateDataStiffenerThick</t>
  </si>
  <si>
    <t>BasePlateDataStiffenerHeight</t>
  </si>
  <si>
    <t>BasePlateDatafpc</t>
  </si>
  <si>
    <t>FtgDataFtgType</t>
  </si>
  <si>
    <t>FtgDataPierDiameter</t>
  </si>
  <si>
    <t>FtgDataPierLength</t>
  </si>
  <si>
    <t>FtgDataSpreadPierWidth</t>
  </si>
  <si>
    <t>FtgDataSpreadFtgDepth</t>
  </si>
  <si>
    <t>FtgDataSpreadFtgWidth</t>
  </si>
  <si>
    <t>FtgDataSpreadFtgThickness</t>
  </si>
  <si>
    <t>FtgDataTieSpacing</t>
  </si>
  <si>
    <t>FtgDataAllowBrgPressure</t>
  </si>
  <si>
    <t>FtgDataConcretefpc</t>
  </si>
  <si>
    <t>FtgDataRebarFy</t>
  </si>
  <si>
    <t>FtgDataPierBarSize</t>
  </si>
  <si>
    <t>FtgDataTopBarSize</t>
  </si>
  <si>
    <t>FtgDataBotBarSize</t>
  </si>
  <si>
    <t>FtgDataTieSize</t>
  </si>
  <si>
    <t>FtgDataNumBotBars</t>
  </si>
  <si>
    <t>FtgDataNumPierBars</t>
  </si>
  <si>
    <t>FtgDataNumTopBars</t>
  </si>
  <si>
    <t>FtgDataSoilLayers0soilType</t>
  </si>
  <si>
    <t>FtgDataSoilLayers0layerDepth</t>
  </si>
  <si>
    <t>FtgDataSoilLayers0density</t>
  </si>
  <si>
    <t>FtgDataSoilLayers0shearStrength</t>
  </si>
  <si>
    <t>FtgDataSoilLayers0phiAngle</t>
  </si>
  <si>
    <t>FtgDataSoilLayers1soilType</t>
  </si>
  <si>
    <t>FtgDataSoilLayers1layerDepth</t>
  </si>
  <si>
    <t>FtgDataSoilLayers1density</t>
  </si>
  <si>
    <t>FtgDataSoilLayers1shearStrength</t>
  </si>
  <si>
    <t>FtgDataSoilLayers1phiAngle</t>
  </si>
  <si>
    <t>FtgDataSoilLayers2soilType</t>
  </si>
  <si>
    <t>FtgDataSoilLayers2layerDepth</t>
  </si>
  <si>
    <t>FtgDataSoilLayers2density</t>
  </si>
  <si>
    <t>FtgDataSoilLayers2shearStrength</t>
  </si>
  <si>
    <t>FtgDataSoilLayers2phiAngle</t>
  </si>
  <si>
    <t>FtgDataSoilLayers3soilType</t>
  </si>
  <si>
    <t>FtgDataSoilLayers3layerDepth</t>
  </si>
  <si>
    <t>FtgDataSoilLayers3density</t>
  </si>
  <si>
    <t>FtgDataSoilLayers3shearStrength</t>
  </si>
  <si>
    <t>FtgDataSoilLayers3phiAngle</t>
  </si>
  <si>
    <t>FtgDataSoilLayers4soilType</t>
  </si>
  <si>
    <t>FtgDataSoilLayers4layerDepth</t>
  </si>
  <si>
    <t>FtgDataSoilLayers4density</t>
  </si>
  <si>
    <t>FtgDataSoilLayers4shearStrength</t>
  </si>
  <si>
    <t>FtgDataSoilLayers4phiAngle</t>
  </si>
  <si>
    <t>CostData</t>
  </si>
  <si>
    <t>HandlingCostData</t>
  </si>
  <si>
    <t>NumGuyRecs</t>
  </si>
  <si>
    <t>NumFeedLineRecs</t>
  </si>
  <si>
    <t>NumFeedTowerRecs</t>
  </si>
  <si>
    <t>FCDescription</t>
  </si>
  <si>
    <t>FCNoIceAxial</t>
  </si>
  <si>
    <t>FCNoIceShear</t>
  </si>
  <si>
    <t>FCNoIceMoment</t>
  </si>
  <si>
    <t>FCNoIceTorque</t>
  </si>
  <si>
    <t>FCIceAxial</t>
  </si>
  <si>
    <t>FCIceShear</t>
  </si>
  <si>
    <t>FCIceMoment</t>
  </si>
  <si>
    <t>FCIceTorque</t>
  </si>
  <si>
    <t>FCServiceShear</t>
  </si>
  <si>
    <t>FCServiceMoment</t>
  </si>
  <si>
    <t>FCServiceTorque</t>
  </si>
  <si>
    <t>NumTowerLoadRecs</t>
  </si>
  <si>
    <t>NumDishRecs</t>
  </si>
  <si>
    <t>NumUserForceRecs</t>
  </si>
  <si>
    <t>ReportInputCosts</t>
  </si>
  <si>
    <t>ReportInputGeometry</t>
  </si>
  <si>
    <t>ReportInputOptions</t>
  </si>
  <si>
    <t>ReportMaxForces</t>
  </si>
  <si>
    <t>ReportInputMap</t>
  </si>
  <si>
    <t>CostReportOutputType</t>
  </si>
  <si>
    <t>CapacityReportOutputType</t>
  </si>
  <si>
    <t>ReportPrintForceTotals</t>
  </si>
  <si>
    <t>ReportPrintForceDetails</t>
  </si>
  <si>
    <t>ReportPrintMastVectors</t>
  </si>
  <si>
    <t>ReportPrintAntPoleVectors</t>
  </si>
  <si>
    <t>ReportPrintDiscreteVectors</t>
  </si>
  <si>
    <t>ReportPrintDishVectors</t>
  </si>
  <si>
    <t>ReportPrintFeedTowerVectors</t>
  </si>
  <si>
    <t>ReportPrintUserLoadVectors</t>
  </si>
  <si>
    <t>ReportPrintPressures</t>
  </si>
  <si>
    <t>ReportPrintAppurtForces</t>
  </si>
  <si>
    <t>ReportPrintGuyForces</t>
  </si>
  <si>
    <t>ReportPrintGuyStressing</t>
  </si>
  <si>
    <t>ReportPrintDeflections</t>
  </si>
  <si>
    <t>ReportPrintReactions</t>
  </si>
  <si>
    <t>ReportPrintStressChecks</t>
  </si>
  <si>
    <t>ReportPrintBoltChecks</t>
  </si>
  <si>
    <t>ReportPrintInputGVerificationTables</t>
  </si>
  <si>
    <t>ReportPrintOutputGVerificationTables</t>
  </si>
  <si>
    <t>MastMultiplier</t>
  </si>
  <si>
    <t>SocketTopMount</t>
  </si>
  <si>
    <t>SRTakeCompression</t>
  </si>
  <si>
    <t>AllLegPanelsSame</t>
  </si>
  <si>
    <t>UseCombinedBoltCapacity</t>
  </si>
  <si>
    <t>SecHorzBracesLeg</t>
  </si>
  <si>
    <t>SortByComponent</t>
  </si>
  <si>
    <t>SRCutEnds</t>
  </si>
  <si>
    <t>SRConcentric</t>
  </si>
  <si>
    <t>CalcBlockShear</t>
  </si>
  <si>
    <t>Use4SidedDiamondBracing</t>
  </si>
  <si>
    <t>TriangulateInnerBracing</t>
  </si>
  <si>
    <t>PrintCarrierNotes</t>
  </si>
  <si>
    <t>AddIBCWindCase</t>
  </si>
  <si>
    <t>UseStateCountyLookup</t>
  </si>
  <si>
    <t>State</t>
  </si>
  <si>
    <t>County</t>
  </si>
  <si>
    <t>EnforceAllOffsetsVer2</t>
  </si>
  <si>
    <t>LegBoltsAtTop</t>
  </si>
  <si>
    <t>PrintMonopoleAtIncrements</t>
  </si>
  <si>
    <t>UseTIA222Exemptions_MinBracingResistance</t>
  </si>
  <si>
    <t>UseTIA222Exemptions_TensionSplice</t>
  </si>
  <si>
    <t>IgnoreKLryFor60DegAngleLegs</t>
  </si>
  <si>
    <t>ASCE_7_10_WindData</t>
  </si>
  <si>
    <t>ASCE_7_10_ConvertWindToASD</t>
  </si>
  <si>
    <t>SolutionUsePDelta</t>
  </si>
  <si>
    <t>UseFeedlineTorque</t>
  </si>
  <si>
    <t>UsePinnedElements</t>
  </si>
  <si>
    <t>UseMaxKz</t>
  </si>
  <si>
    <t>UseRigidIndex</t>
  </si>
  <si>
    <t>UseTrueCable</t>
  </si>
  <si>
    <t>UseASCELy</t>
  </si>
  <si>
    <t>CalcBracingForces</t>
  </si>
  <si>
    <t>IgnoreBracingFEA</t>
  </si>
  <si>
    <t>UseSubCriticalFlow</t>
  </si>
  <si>
    <t>AssumePoleWithNoAttachments</t>
  </si>
  <si>
    <t>AssumePoleWithShroud</t>
  </si>
  <si>
    <t>PoleCornerRadiusKnown</t>
  </si>
  <si>
    <t>SolutionMinStiffness</t>
  </si>
  <si>
    <t>SolutionMaxStiffness</t>
  </si>
  <si>
    <t>SolutionMaxCycles</t>
  </si>
  <si>
    <t>SolutionPower</t>
  </si>
  <si>
    <t>SolutionTolerance</t>
  </si>
  <si>
    <t>CantKFactor</t>
  </si>
  <si>
    <t>RadiusSampleDist</t>
  </si>
  <si>
    <t>BypassStabilityChecks</t>
  </si>
  <si>
    <t>UseWindProjection</t>
  </si>
  <si>
    <t>UseIceEscalation</t>
  </si>
  <si>
    <t>UseDishCoeff</t>
  </si>
  <si>
    <t>UseMastResponse</t>
  </si>
  <si>
    <t>AutoCalcTorqArmArea</t>
  </si>
  <si>
    <t>Use_TIA_222_G_Addendum2_MP</t>
  </si>
  <si>
    <t>WindDirOption</t>
  </si>
  <si>
    <t>WindDir0_0</t>
  </si>
  <si>
    <t>WindDir0_1</t>
  </si>
  <si>
    <t>WindDir0_2</t>
  </si>
  <si>
    <t>WindDir0_3</t>
  </si>
  <si>
    <t>WindDir0_4</t>
  </si>
  <si>
    <t>WindDir0_5</t>
  </si>
  <si>
    <t>WindDir0_6</t>
  </si>
  <si>
    <t>WindDir0_7</t>
  </si>
  <si>
    <t>WindDir0_8</t>
  </si>
  <si>
    <t>WindDir0_9</t>
  </si>
  <si>
    <t>WindDir0_10</t>
  </si>
  <si>
    <t>WindDir0_11</t>
  </si>
  <si>
    <t>WindDir0_12</t>
  </si>
  <si>
    <t>WindDir0_13</t>
  </si>
  <si>
    <t>WindDir0_14</t>
  </si>
  <si>
    <t>WindDir0_15</t>
  </si>
  <si>
    <t>WindDir1_0</t>
  </si>
  <si>
    <t>WindDir1_1</t>
  </si>
  <si>
    <t>WindDir1_2</t>
  </si>
  <si>
    <t>WindDir1_3</t>
  </si>
  <si>
    <t>WindDir1_4</t>
  </si>
  <si>
    <t>WindDir1_5</t>
  </si>
  <si>
    <t>WindDir1_6</t>
  </si>
  <si>
    <t>WindDir1_7</t>
  </si>
  <si>
    <t>WindDir1_8</t>
  </si>
  <si>
    <t>WindDir1_9</t>
  </si>
  <si>
    <t>WindDir1_10</t>
  </si>
  <si>
    <t>WindDir1_11</t>
  </si>
  <si>
    <t>WindDir1_12</t>
  </si>
  <si>
    <t>WindDir1_13</t>
  </si>
  <si>
    <t>WindDir1_14</t>
  </si>
  <si>
    <t>WindDir1_15</t>
  </si>
  <si>
    <t>WindDir2_0</t>
  </si>
  <si>
    <t>WindDir2_1</t>
  </si>
  <si>
    <t>WindDir2_2</t>
  </si>
  <si>
    <t>WindDir2_3</t>
  </si>
  <si>
    <t>WindDir2_4</t>
  </si>
  <si>
    <t>WindDir2_5</t>
  </si>
  <si>
    <t>WindDir2_6</t>
  </si>
  <si>
    <t>WindDir2_7</t>
  </si>
  <si>
    <t>WindDir2_8</t>
  </si>
  <si>
    <t>WindDir2_9</t>
  </si>
  <si>
    <t>WindDir2_10</t>
  </si>
  <si>
    <t>WindDir2_11</t>
  </si>
  <si>
    <t>WindDir2_12</t>
  </si>
  <si>
    <t>WindDir2_13</t>
  </si>
  <si>
    <t>WindDir2_14</t>
  </si>
  <si>
    <t>WindDir2_15</t>
  </si>
  <si>
    <t>SuppressWindPatternLoading</t>
  </si>
  <si>
    <t>DoELCAnalysis</t>
  </si>
  <si>
    <t>CreatedOn</t>
  </si>
  <si>
    <t>LastUsedOn</t>
  </si>
  <si>
    <t>upper_structure_sections</t>
  </si>
  <si>
    <t>sReportDocsProvided</t>
  </si>
  <si>
    <t>sReportAppurt1</t>
  </si>
  <si>
    <t>sReportAppurt2</t>
  </si>
  <si>
    <t>sReportAppurt3</t>
  </si>
  <si>
    <t>sReportAddlCapacity</t>
  </si>
  <si>
    <t>sReportAssumption</t>
  </si>
  <si>
    <t>sReportAddlCapacityNote</t>
  </si>
  <si>
    <t>AntennaRedundantDiagonalType</t>
  </si>
  <si>
    <t>AntennaRedundantDiagonalType2</t>
  </si>
  <si>
    <t>AntennaRedundantDiagonalType3</t>
  </si>
  <si>
    <t>AntennaRedundantDiagonalType4</t>
  </si>
  <si>
    <t>NumMPRFRecs</t>
  </si>
  <si>
    <t>MPRFTubeGradeVal</t>
  </si>
  <si>
    <t>MPRFTubeGrade</t>
  </si>
  <si>
    <t>MPRFRec</t>
  </si>
  <si>
    <t>MPRFHeight</t>
  </si>
  <si>
    <t>MPRFTubeLength</t>
  </si>
  <si>
    <t>MPRFNoOfTubes</t>
  </si>
  <si>
    <t>MPRFTubeOffset</t>
  </si>
  <si>
    <t>MPRFTubeType</t>
  </si>
  <si>
    <t>MPRFTubeSize</t>
  </si>
  <si>
    <t>MPRFTubeK</t>
  </si>
  <si>
    <t>MPRFTubeLb</t>
  </si>
  <si>
    <t>MPRFBoltHoleDia</t>
  </si>
  <si>
    <t>MPRFBoltsPerRow</t>
  </si>
  <si>
    <t>MPRFShearLagU</t>
  </si>
  <si>
    <t>TowerRedundantDiagonalType</t>
  </si>
  <si>
    <t>TowerRedundantDiagonalType2</t>
  </si>
  <si>
    <t>TowerRedundantDiagonalType3</t>
  </si>
  <si>
    <t>TowerRedundantDiagonalType4</t>
  </si>
  <si>
    <t>DesignChoicesList</t>
  </si>
  <si>
    <t>FeedLineRec</t>
  </si>
  <si>
    <t>FeedLineEnabled</t>
  </si>
  <si>
    <t>FeedLineDatabase</t>
  </si>
  <si>
    <t>FeedLineDescription</t>
  </si>
  <si>
    <t>FeedLineClassificationCategory</t>
  </si>
  <si>
    <t>FeedLineNote</t>
  </si>
  <si>
    <t>FeedLineNum</t>
  </si>
  <si>
    <t>FeedLineUseShielding</t>
  </si>
  <si>
    <t>ExcludeFeedLineFromTorque</t>
  </si>
  <si>
    <t>FeedLineNumPerRow</t>
  </si>
  <si>
    <t>FeedLineFace</t>
  </si>
  <si>
    <t>FeedLineComponentType</t>
  </si>
  <si>
    <t>FeedLineGroupTreatmentType</t>
  </si>
  <si>
    <t>FeedLineRoundClusterDia</t>
  </si>
  <si>
    <t>FeedLineWidth</t>
  </si>
  <si>
    <t>FeedLinePerimeter</t>
  </si>
  <si>
    <t>FlatAttachmentEffectiveWidthRatio</t>
  </si>
  <si>
    <t>AutoCalcFlatAttachmentEffectiveWidthRatio</t>
  </si>
  <si>
    <t>FeedLineShieldingFactorKaNoIce</t>
  </si>
  <si>
    <t>FeedLineShieldingFactorKaIce</t>
  </si>
  <si>
    <t>FeedLineAutoCalcKa</t>
  </si>
  <si>
    <t>FeedLineCaAaNoIce</t>
  </si>
  <si>
    <t>FeedLineCaAaIce</t>
  </si>
  <si>
    <t>FeedLineCaAaIce_1</t>
  </si>
  <si>
    <t>FeedLineCaAaIce_2</t>
  </si>
  <si>
    <t>FeedLineCaAaIce_4</t>
  </si>
  <si>
    <t>FeedLineWtNoIce</t>
  </si>
  <si>
    <t>FeedLineWtIce</t>
  </si>
  <si>
    <t>FeedLineWtIce_1</t>
  </si>
  <si>
    <t>FeedLineWtIce_2</t>
  </si>
  <si>
    <t>FeedLineWtIce_4</t>
  </si>
  <si>
    <t>FeedLineFaceOffset</t>
  </si>
  <si>
    <t>FeedLineOffsetFrac</t>
  </si>
  <si>
    <t>FeedLinePerimeterOffsetStartFrac</t>
  </si>
  <si>
    <t>FeedLinePerimeterOffsetEndFrac</t>
  </si>
  <si>
    <t>FeedLineStartHt</t>
  </si>
  <si>
    <t>FeedLineEndHt</t>
  </si>
  <si>
    <t>FeedLineClearSpacing</t>
  </si>
  <si>
    <t>FeedLineRowClearSpacing</t>
  </si>
  <si>
    <t>FeedTowerRec</t>
  </si>
  <si>
    <t>FeedTowerDescription</t>
  </si>
  <si>
    <t>FeedTowerCaAaNoIce</t>
  </si>
  <si>
    <t>FeedTowerCaAaIce</t>
  </si>
  <si>
    <t>FeedTowerCaAaIce_1</t>
  </si>
  <si>
    <t>FeedTowerCaAaIce_2</t>
  </si>
  <si>
    <t>FeedTowerCaAaIce_4</t>
  </si>
  <si>
    <t>FeedTowerWtNoIce</t>
  </si>
  <si>
    <t>FeedTowerWtIce</t>
  </si>
  <si>
    <t>FeedTowerWtIce_1</t>
  </si>
  <si>
    <t>FeedTowerWtIce_2</t>
  </si>
  <si>
    <t>FeedTowerWtIce_4</t>
  </si>
  <si>
    <t>FeedTowerGuySections</t>
  </si>
  <si>
    <t>FeedTowerI</t>
  </si>
  <si>
    <t>FeedTowerStartHt</t>
  </si>
  <si>
    <t>FeedTowerEndHt</t>
  </si>
  <si>
    <t>FeedTowerGuySize</t>
  </si>
  <si>
    <t>FeedTowerGuyGrade</t>
  </si>
  <si>
    <t>TowerLoadRec</t>
  </si>
  <si>
    <t>TowerLoadEnabled</t>
  </si>
  <si>
    <t>TowerLoadDatabase</t>
  </si>
  <si>
    <t>TowerLoadDescription</t>
  </si>
  <si>
    <t>TowerLoadType</t>
  </si>
  <si>
    <t>TowerLoadClassificationCategory</t>
  </si>
  <si>
    <t>TowerLoadNote</t>
  </si>
  <si>
    <t>TowerLoadNum</t>
  </si>
  <si>
    <t>TowerLoadFace</t>
  </si>
  <si>
    <t>TowerOffsetType</t>
  </si>
  <si>
    <t>TowerOffsetDist</t>
  </si>
  <si>
    <t>TowerVertOffset</t>
  </si>
  <si>
    <t>TowerLateralOffset</t>
  </si>
  <si>
    <t>TowerAzimuthAdjustment</t>
  </si>
  <si>
    <t>TowerAppurtSymbol</t>
  </si>
  <si>
    <t>TowerLoadShieldingFactorKaNoIce</t>
  </si>
  <si>
    <t>TowerLoadShieldingFactorKaIce</t>
  </si>
  <si>
    <t>TowerLoadAutoCalcKa</t>
  </si>
  <si>
    <t>TowerLoadCaAaNoIce</t>
  </si>
  <si>
    <t>TowerLoadCaAaIce</t>
  </si>
  <si>
    <t>TowerLoadCaAaIce_1</t>
  </si>
  <si>
    <t>TowerLoadCaAaIce_2</t>
  </si>
  <si>
    <t>TowerLoadCaAaIce_4</t>
  </si>
  <si>
    <t>TowerLoadCaAaNoIce_Side</t>
  </si>
  <si>
    <t>TowerLoadCaAaIce_Side</t>
  </si>
  <si>
    <t>TowerLoadCaAaIce_Side_1</t>
  </si>
  <si>
    <t>TowerLoadCaAaIce_Side_2</t>
  </si>
  <si>
    <t>TowerLoadCaAaIce_Side_4</t>
  </si>
  <si>
    <t>TowerLoadWtNoIce</t>
  </si>
  <si>
    <t>TowerLoadWtIce</t>
  </si>
  <si>
    <t>TowerLoadWtIce_1</t>
  </si>
  <si>
    <t>TowerLoadWtIce_2</t>
  </si>
  <si>
    <t>TowerLoadWtIce_4</t>
  </si>
  <si>
    <t>TowerLoadStartHt</t>
  </si>
  <si>
    <t>TowerLoadEndHt</t>
  </si>
  <si>
    <t>DishRec</t>
  </si>
  <si>
    <t>DishEnabled</t>
  </si>
  <si>
    <t>DishDatabase</t>
  </si>
  <si>
    <t>DishDescription</t>
  </si>
  <si>
    <t>DishClassificationCategory</t>
  </si>
  <si>
    <t>DishNote</t>
  </si>
  <si>
    <t>DishNum</t>
  </si>
  <si>
    <t>DishFace</t>
  </si>
  <si>
    <t>DishType</t>
  </si>
  <si>
    <t>DishOffsetType</t>
  </si>
  <si>
    <t>DishVertOffset</t>
  </si>
  <si>
    <t>DishLateralOffset</t>
  </si>
  <si>
    <t>DishOffsetDist</t>
  </si>
  <si>
    <t>DishArea</t>
  </si>
  <si>
    <t>DishAreaIce</t>
  </si>
  <si>
    <t>DishAreaIce_1</t>
  </si>
  <si>
    <t>DishAreaIce_2</t>
  </si>
  <si>
    <t>DishAreaIce_4</t>
  </si>
  <si>
    <t>DishDiameter</t>
  </si>
  <si>
    <t>DishWtNoIce</t>
  </si>
  <si>
    <t>DishWtIce</t>
  </si>
  <si>
    <t>DishWtIce_1</t>
  </si>
  <si>
    <t>DishWtIce_2</t>
  </si>
  <si>
    <t>DishWtIce_4</t>
  </si>
  <si>
    <t>DishStartHt</t>
  </si>
  <si>
    <t>DishAzimuthAdjustment</t>
  </si>
  <si>
    <t>DishBeamWidth</t>
  </si>
  <si>
    <t>UserForceRec</t>
  </si>
  <si>
    <t>UserForceEnabled</t>
  </si>
  <si>
    <t>UserForceDescription</t>
  </si>
  <si>
    <t>UserForceStartHt</t>
  </si>
  <si>
    <t>UserForceOffset</t>
  </si>
  <si>
    <t>UserForceAzimuth</t>
  </si>
  <si>
    <t>UserForceFxNoIce</t>
  </si>
  <si>
    <t>UserForceFzNoIce</t>
  </si>
  <si>
    <t>UserForceAxialNoIce</t>
  </si>
  <si>
    <t>UserForceShearNoIce</t>
  </si>
  <si>
    <t>UserForceCaAcNoIce</t>
  </si>
  <si>
    <t>UserForceFxIce</t>
  </si>
  <si>
    <t>UserForceFzIce</t>
  </si>
  <si>
    <t>UserForceAxialIce</t>
  </si>
  <si>
    <t>UserForceShearIce</t>
  </si>
  <si>
    <t>UserForceCaAcIce</t>
  </si>
  <si>
    <t>UserForceFxService</t>
  </si>
  <si>
    <t>UserForceFzService</t>
  </si>
  <si>
    <t>UserForceAxialService</t>
  </si>
  <si>
    <t>UserForceShearService</t>
  </si>
  <si>
    <t>UserForceCaAcService</t>
  </si>
  <si>
    <t>UserForceEhx</t>
  </si>
  <si>
    <t>UserForceEhz</t>
  </si>
  <si>
    <t>UserForceEv</t>
  </si>
  <si>
    <t>UserForceEh</t>
  </si>
  <si>
    <t>UseAlternativeAppurtEPACalculation</t>
  </si>
  <si>
    <t>CandelabraPath</t>
  </si>
  <si>
    <t>CandelabraType</t>
  </si>
  <si>
    <t>CandelabraHeight</t>
  </si>
  <si>
    <t>CandelabraFCNoIceAxial0</t>
  </si>
  <si>
    <t>CandelabraFCNoIceAxial120</t>
  </si>
  <si>
    <t>CandelabraFCNoIceAxial240</t>
  </si>
  <si>
    <t>CandelabraFCNoIceShear0</t>
  </si>
  <si>
    <t>CandelabraFCNoIceShear120</t>
  </si>
  <si>
    <t>CandelabraFCNoIceShear240</t>
  </si>
  <si>
    <t>CandelabraFCNoIceMoment0</t>
  </si>
  <si>
    <t>CandelabraFCNoIceMoment120</t>
  </si>
  <si>
    <t>CandelabraFCNoIceMoment240</t>
  </si>
  <si>
    <t>CandelabraFCNoIceTorque0</t>
  </si>
  <si>
    <t>CandelabraFCNoIceTorque120</t>
  </si>
  <si>
    <t>CandelabraFCNoIceTorque240</t>
  </si>
  <si>
    <t>CandelabraFCIceAxial0</t>
  </si>
  <si>
    <t>CandelabraFCIceAxial120</t>
  </si>
  <si>
    <t>CandelabraFCIceAxial240</t>
  </si>
  <si>
    <t>CandelabraFCIceShear0</t>
  </si>
  <si>
    <t>CandelabraFCIceShear120</t>
  </si>
  <si>
    <t>CandelabraFCIceShear240</t>
  </si>
  <si>
    <t>CandelabraFCIceMoment0</t>
  </si>
  <si>
    <t>CandelabraFCIceMoment120</t>
  </si>
  <si>
    <t>CandelabraFCIceMoment240</t>
  </si>
  <si>
    <t>CandelabraFCIceTorque0</t>
  </si>
  <si>
    <t>CandelabraFCIceTorque120</t>
  </si>
  <si>
    <t>CandelabraFCIceTorque240</t>
  </si>
  <si>
    <t>CandelabraFCDownNoIceAxial0</t>
  </si>
  <si>
    <t>CandelabraFCDownNoIceAxial120</t>
  </si>
  <si>
    <t>CandelabraFCDownNoIceAxial240</t>
  </si>
  <si>
    <t>CandelabraFCDownNoIceShear0</t>
  </si>
  <si>
    <t>CandelabraFCDownNoIceShear120</t>
  </si>
  <si>
    <t>CandelabraFCDownNoIceShear240</t>
  </si>
  <si>
    <t>CandelabraFCDownNoIceMoment0</t>
  </si>
  <si>
    <t>CandelabraFCDownNoIceMoment120</t>
  </si>
  <si>
    <t>CandelabraFCDownNoIceMoment240</t>
  </si>
  <si>
    <t>CandelabraFCDownNoIceTorque0</t>
  </si>
  <si>
    <t>CandelabraFCDownNoIceTorque120</t>
  </si>
  <si>
    <t>CandelabraFCDownNoIceTorque240</t>
  </si>
  <si>
    <t>CandelabraFCDownIceAxial0</t>
  </si>
  <si>
    <t>CandelabraFCDownIceAxial120</t>
  </si>
  <si>
    <t>CandelabraFCDownIceAxial240</t>
  </si>
  <si>
    <t>CandelabraFCDownIceShear0</t>
  </si>
  <si>
    <t>CandelabraFCDownIceShear120</t>
  </si>
  <si>
    <t>CandelabraFCDownIceShear240</t>
  </si>
  <si>
    <t>CandelabraFCDownIceMoment0</t>
  </si>
  <si>
    <t>CandelabraFCDownIceMoment120</t>
  </si>
  <si>
    <t>CandelabraFCDownIceMoment240</t>
  </si>
  <si>
    <t>CandelabraFCDownIceTorque0</t>
  </si>
  <si>
    <t>CandelabraFCDownIceTorque120</t>
  </si>
  <si>
    <t>CandelabraFCDownIceTorque240</t>
  </si>
  <si>
    <t>CandelabraSWMult</t>
  </si>
  <si>
    <t>CandelabraCaAaNoIce</t>
  </si>
  <si>
    <t>CandelabraCaAaIce</t>
  </si>
  <si>
    <t>CandelabraStrutCaAaNoIce</t>
  </si>
  <si>
    <t>CandelabraStrutCaAaIce</t>
  </si>
  <si>
    <t>NumberOfEquipmentLoadCases</t>
  </si>
  <si>
    <t>ELCNameForFullReport</t>
  </si>
  <si>
    <t>EquipmentLoadCasesRec</t>
  </si>
  <si>
    <t>EquipmentLoadCaseSelected</t>
  </si>
  <si>
    <t>EquipmentLoadCaseName</t>
  </si>
  <si>
    <t>EquipmentLoadCaseStatus1</t>
  </si>
  <si>
    <t>EquipmentLoadCaseStatus2</t>
  </si>
  <si>
    <t>EquipmentLoadCaseStatus3</t>
  </si>
  <si>
    <t>EquipmentLoadCaseStatus4</t>
  </si>
  <si>
    <t>EquipmentLoadCaseStatus5</t>
  </si>
  <si>
    <t>EquipmentLoadCaseStatus6</t>
  </si>
  <si>
    <t>EquipmentLoadCaseStatus7</t>
  </si>
  <si>
    <t>EquipmentLoadCaseStatus8</t>
  </si>
  <si>
    <t>EquipmentLoadCaseStatus9</t>
  </si>
  <si>
    <t>EquipmentLoadCaseStatus10</t>
  </si>
  <si>
    <t>Table</t>
  </si>
  <si>
    <t>Found?</t>
  </si>
  <si>
    <t>discrete_output</t>
  </si>
  <si>
    <t>dish_output</t>
  </si>
  <si>
    <t>linear_output</t>
  </si>
  <si>
    <t>user_force_output</t>
  </si>
  <si>
    <t>Attribute list provided by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</si>
</sst>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0" xfId="0" applyBorder="1"/>
    <xf numFmtId="0" fontId="0" fillId="0" borderId="0" xfId="0" applyBorder="1" applyAlignment="1">
      <alignment horizontal="left"/>
    </xf>
    <xf numFmtId="16" fontId="0" fillId="0" borderId="0" xfId="0" applyNumberFormat="1"/>
    <xf numFmtId="10" fontId="0" fillId="0" borderId="0" xfId="0" applyNumberFormat="1"/>
    <xf numFmtId="12" fontId="0" fillId="0" borderId="0" xfId="0" applyNumberFormat="1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148CD-34D4-4374-AA72-31DCE4D94044}">
  <sheetPr codeName="Sheet1" filterMode="1"/>
  <dimension ref="A3:V418"/>
  <sheetViews>
    <sheetView topLeftCell="A352" zoomScale="70" zoomScaleNormal="70" workbookViewId="0">
      <selection activeCell="E52" sqref="E52:E418"/>
    </sheetView>
  </sheetViews>
  <sheetFormatPr defaultRowHeight="15" x14ac:dyDescent="0.25"/>
  <cols>
    <col min="1" max="1" width="48.42578125" style="1" bestFit="1" customWidth="1"/>
    <col min="2" max="2" width="14.5703125" bestFit="1" customWidth="1"/>
    <col min="3" max="3" width="44.28515625" bestFit="1" customWidth="1"/>
    <col min="4" max="4" width="14.5703125" customWidth="1"/>
    <col min="5" max="5" width="46.7109375" bestFit="1" customWidth="1"/>
    <col min="6" max="6" width="22.85546875" bestFit="1" customWidth="1"/>
    <col min="7" max="7" width="12.7109375" bestFit="1" customWidth="1"/>
    <col min="8" max="9" width="22.85546875" customWidth="1"/>
    <col min="10" max="10" width="43" customWidth="1"/>
    <col min="11" max="11" width="9" customWidth="1"/>
  </cols>
  <sheetData>
    <row r="3" spans="1:22" x14ac:dyDescent="0.25">
      <c r="A3" s="1" t="s">
        <v>0</v>
      </c>
      <c r="B3" s="2" t="s">
        <v>287</v>
      </c>
      <c r="C3" s="3"/>
      <c r="D3" s="3"/>
      <c r="E3" t="s">
        <v>722</v>
      </c>
      <c r="F3" t="s">
        <v>761</v>
      </c>
      <c r="G3" t="s">
        <v>762</v>
      </c>
      <c r="H3" t="s">
        <v>770</v>
      </c>
      <c r="T3" t="s">
        <v>763</v>
      </c>
      <c r="U3" t="s">
        <v>724</v>
      </c>
      <c r="V3" t="s">
        <v>764</v>
      </c>
    </row>
    <row r="4" spans="1:22" hidden="1" x14ac:dyDescent="0.25">
      <c r="A4" s="1" t="s">
        <v>1</v>
      </c>
      <c r="B4" s="2" t="s">
        <v>247</v>
      </c>
      <c r="C4" s="3" t="str">
        <f>TRIM(SUBSTITUTE(A4,",",""))</f>
        <v>towerrec</v>
      </c>
      <c r="D4" s="4">
        <f>MATCH(C4,E:E,0)</f>
        <v>4</v>
      </c>
      <c r="E4" t="str">
        <f>(J4)</f>
        <v>TowerRec</v>
      </c>
      <c r="F4" s="4" t="str">
        <f>IFERROR(IF(MATCH(E4,C:C,0)&gt;0,"YES"),"NO")</f>
        <v>YES</v>
      </c>
      <c r="G4" s="4" t="str">
        <f>IFERROR(IF(MATCH(E4,N:N,0)&gt;0,"YES"),"NO")</f>
        <v>YES</v>
      </c>
      <c r="H4" s="4" t="str">
        <f>IFERROR(IF(MATCH(E4,S:S,0)&gt;0,"YES"),"NO")</f>
        <v>YES</v>
      </c>
      <c r="I4" s="4" t="str">
        <f>IF(OR(F4="NO",G4="NO"),"NO","YES")</f>
        <v>YES</v>
      </c>
      <c r="J4" t="s">
        <v>288</v>
      </c>
      <c r="N4" t="str">
        <f>TRIM(LOWER(O4))</f>
        <v>towerrec</v>
      </c>
      <c r="O4" t="s">
        <v>288</v>
      </c>
      <c r="P4" t="s">
        <v>724</v>
      </c>
      <c r="Q4" t="s">
        <v>248</v>
      </c>
      <c r="S4" t="str">
        <f>TRIM(LOWER(T4))</f>
        <v>tnxid</v>
      </c>
      <c r="T4" t="s">
        <v>765</v>
      </c>
      <c r="U4" t="s">
        <v>724</v>
      </c>
      <c r="V4" t="s">
        <v>766</v>
      </c>
    </row>
    <row r="5" spans="1:22" hidden="1" x14ac:dyDescent="0.25">
      <c r="A5" s="1" t="s">
        <v>2</v>
      </c>
      <c r="B5" s="2" t="s">
        <v>248</v>
      </c>
      <c r="C5" s="3" t="str">
        <f t="shared" ref="C5:C68" si="0">TRIM(SUBSTITUTE(A5,",",""))</f>
        <v>towerdatabase</v>
      </c>
      <c r="D5" s="4">
        <f t="shared" ref="D5:D68" si="1">MATCH(C5,E:E,0)</f>
        <v>5</v>
      </c>
      <c r="E5" t="str">
        <f t="shared" ref="E5:E68" si="2">(J5)</f>
        <v>TowerDatabase</v>
      </c>
      <c r="F5" s="4" t="str">
        <f t="shared" ref="F5:F68" si="3">IFERROR(IF(MATCH(E5,C:C,0)&gt;0,"YES"),"NO")</f>
        <v>YES</v>
      </c>
      <c r="G5" s="4" t="str">
        <f t="shared" ref="G5:G68" si="4">IFERROR(IF(MATCH(E5,N:N,0)&gt;0,"YES"),"NO")</f>
        <v>YES</v>
      </c>
      <c r="H5" s="4" t="str">
        <f t="shared" ref="H5:H68" si="5">IFERROR(IF(MATCH(E5,S:S,0)&gt;0,"YES"),"NO")</f>
        <v>YES</v>
      </c>
      <c r="I5" s="4" t="str">
        <f t="shared" ref="I5:I68" si="6">IF(OR(F5="NO",G5="NO"),"NO","YES")</f>
        <v>YES</v>
      </c>
      <c r="J5" t="s">
        <v>289</v>
      </c>
      <c r="N5" t="str">
        <f t="shared" ref="N5:N68" si="7">TRIM(LOWER(O5))</f>
        <v>tnx_id</v>
      </c>
      <c r="O5" t="s">
        <v>725</v>
      </c>
      <c r="P5" t="s">
        <v>724</v>
      </c>
      <c r="Q5" t="s">
        <v>248</v>
      </c>
      <c r="S5" t="str">
        <f t="shared" ref="S5:S68" si="8">TRIM(LOWER(T5))</f>
        <v>towerrec</v>
      </c>
      <c r="T5" t="s">
        <v>288</v>
      </c>
      <c r="U5" t="s">
        <v>767</v>
      </c>
      <c r="V5" t="s">
        <v>766</v>
      </c>
    </row>
    <row r="6" spans="1:22" hidden="1" x14ac:dyDescent="0.25">
      <c r="A6" s="1" t="s">
        <v>3</v>
      </c>
      <c r="B6" s="2" t="s">
        <v>248</v>
      </c>
      <c r="C6" s="3" t="str">
        <f t="shared" si="0"/>
        <v>towername</v>
      </c>
      <c r="D6" s="4">
        <f t="shared" si="1"/>
        <v>6</v>
      </c>
      <c r="E6" t="str">
        <f t="shared" si="2"/>
        <v>TowerName</v>
      </c>
      <c r="F6" s="4" t="str">
        <f t="shared" si="3"/>
        <v>YES</v>
      </c>
      <c r="G6" s="4" t="str">
        <f t="shared" si="4"/>
        <v>YES</v>
      </c>
      <c r="H6" s="4" t="str">
        <f t="shared" si="5"/>
        <v>YES</v>
      </c>
      <c r="I6" s="4" t="str">
        <f t="shared" si="6"/>
        <v>YES</v>
      </c>
      <c r="J6" t="s">
        <v>290</v>
      </c>
      <c r="N6" t="str">
        <f t="shared" si="7"/>
        <v>towerdatabase</v>
      </c>
      <c r="O6" t="s">
        <v>289</v>
      </c>
      <c r="P6" t="s">
        <v>726</v>
      </c>
      <c r="Q6" t="s">
        <v>248</v>
      </c>
      <c r="S6" t="str">
        <f t="shared" si="8"/>
        <v>towerdatabase</v>
      </c>
      <c r="T6" t="s">
        <v>289</v>
      </c>
      <c r="U6" t="s">
        <v>768</v>
      </c>
      <c r="V6" t="s">
        <v>766</v>
      </c>
    </row>
    <row r="7" spans="1:22" hidden="1" x14ac:dyDescent="0.25">
      <c r="A7" s="1" t="s">
        <v>4</v>
      </c>
      <c r="B7" s="2" t="s">
        <v>249</v>
      </c>
      <c r="C7" s="3" t="str">
        <f t="shared" si="0"/>
        <v>towerheight</v>
      </c>
      <c r="D7" s="4">
        <f t="shared" si="1"/>
        <v>7</v>
      </c>
      <c r="E7" t="str">
        <f t="shared" si="2"/>
        <v>TowerHeight</v>
      </c>
      <c r="F7" s="4" t="str">
        <f t="shared" si="3"/>
        <v>YES</v>
      </c>
      <c r="G7" s="4" t="str">
        <f t="shared" si="4"/>
        <v>YES</v>
      </c>
      <c r="H7" s="4" t="str">
        <f t="shared" si="5"/>
        <v>YES</v>
      </c>
      <c r="I7" s="4" t="str">
        <f t="shared" si="6"/>
        <v>YES</v>
      </c>
      <c r="J7" t="s">
        <v>291</v>
      </c>
      <c r="N7" t="str">
        <f t="shared" si="7"/>
        <v>towername</v>
      </c>
      <c r="O7" t="s">
        <v>290</v>
      </c>
      <c r="P7" t="s">
        <v>726</v>
      </c>
      <c r="Q7" t="s">
        <v>248</v>
      </c>
      <c r="S7" t="str">
        <f t="shared" si="8"/>
        <v>towername</v>
      </c>
      <c r="T7" t="s">
        <v>290</v>
      </c>
      <c r="U7" t="s">
        <v>768</v>
      </c>
      <c r="V7" t="s">
        <v>766</v>
      </c>
    </row>
    <row r="8" spans="1:22" hidden="1" x14ac:dyDescent="0.25">
      <c r="A8" s="1" t="s">
        <v>5</v>
      </c>
      <c r="B8" s="2" t="s">
        <v>250</v>
      </c>
      <c r="C8" s="3" t="str">
        <f t="shared" si="0"/>
        <v>towerfacewidth</v>
      </c>
      <c r="D8" s="4">
        <f t="shared" si="1"/>
        <v>8</v>
      </c>
      <c r="E8" t="str">
        <f t="shared" si="2"/>
        <v>TowerFaceWidth</v>
      </c>
      <c r="F8" s="4" t="str">
        <f t="shared" si="3"/>
        <v>YES</v>
      </c>
      <c r="G8" s="4" t="str">
        <f t="shared" si="4"/>
        <v>YES</v>
      </c>
      <c r="H8" s="4" t="str">
        <f t="shared" si="5"/>
        <v>YES</v>
      </c>
      <c r="I8" s="4" t="str">
        <f t="shared" si="6"/>
        <v>YES</v>
      </c>
      <c r="J8" t="s">
        <v>292</v>
      </c>
      <c r="N8" t="str">
        <f t="shared" si="7"/>
        <v>towerheight</v>
      </c>
      <c r="O8" t="s">
        <v>291</v>
      </c>
      <c r="P8" t="s">
        <v>727</v>
      </c>
      <c r="Q8" t="s">
        <v>723</v>
      </c>
      <c r="R8" t="s">
        <v>248</v>
      </c>
      <c r="S8" t="str">
        <f t="shared" si="8"/>
        <v>towerheight</v>
      </c>
      <c r="T8" t="s">
        <v>291</v>
      </c>
      <c r="U8" t="s">
        <v>767</v>
      </c>
      <c r="V8" t="s">
        <v>766</v>
      </c>
    </row>
    <row r="9" spans="1:22" hidden="1" x14ac:dyDescent="0.25">
      <c r="A9" s="1" t="s">
        <v>6</v>
      </c>
      <c r="B9" s="2" t="s">
        <v>251</v>
      </c>
      <c r="C9" s="3" t="str">
        <f t="shared" si="0"/>
        <v>towernumsections</v>
      </c>
      <c r="D9" s="4">
        <f t="shared" si="1"/>
        <v>9</v>
      </c>
      <c r="E9" t="str">
        <f t="shared" si="2"/>
        <v>TowerNumSections</v>
      </c>
      <c r="F9" s="4" t="str">
        <f t="shared" si="3"/>
        <v>YES</v>
      </c>
      <c r="G9" s="4" t="str">
        <f t="shared" si="4"/>
        <v>YES</v>
      </c>
      <c r="H9" s="4" t="str">
        <f t="shared" si="5"/>
        <v>YES</v>
      </c>
      <c r="I9" s="4" t="str">
        <f t="shared" si="6"/>
        <v>YES</v>
      </c>
      <c r="J9" t="s">
        <v>293</v>
      </c>
      <c r="N9" t="str">
        <f t="shared" si="7"/>
        <v>towerfacewidth</v>
      </c>
      <c r="O9" t="s">
        <v>292</v>
      </c>
      <c r="P9" t="s">
        <v>727</v>
      </c>
      <c r="Q9" t="s">
        <v>723</v>
      </c>
      <c r="R9" t="s">
        <v>248</v>
      </c>
      <c r="S9" t="str">
        <f t="shared" si="8"/>
        <v>towerfacewidth</v>
      </c>
      <c r="T9" t="s">
        <v>292</v>
      </c>
      <c r="U9" t="s">
        <v>767</v>
      </c>
      <c r="V9" t="s">
        <v>766</v>
      </c>
    </row>
    <row r="10" spans="1:22" hidden="1" x14ac:dyDescent="0.25">
      <c r="A10" s="1" t="s">
        <v>7</v>
      </c>
      <c r="B10" s="2" t="s">
        <v>249</v>
      </c>
      <c r="C10" s="3" t="str">
        <f t="shared" si="0"/>
        <v>towersectionlength</v>
      </c>
      <c r="D10" s="4">
        <f t="shared" si="1"/>
        <v>10</v>
      </c>
      <c r="E10" t="str">
        <f t="shared" si="2"/>
        <v>TowerSectionLength</v>
      </c>
      <c r="F10" s="4" t="str">
        <f t="shared" si="3"/>
        <v>YES</v>
      </c>
      <c r="G10" s="4" t="str">
        <f t="shared" si="4"/>
        <v>YES</v>
      </c>
      <c r="H10" s="4" t="str">
        <f t="shared" si="5"/>
        <v>YES</v>
      </c>
      <c r="I10" s="4" t="str">
        <f t="shared" si="6"/>
        <v>YES</v>
      </c>
      <c r="J10" t="s">
        <v>294</v>
      </c>
      <c r="N10" t="str">
        <f t="shared" si="7"/>
        <v>towernumsections</v>
      </c>
      <c r="O10" t="s">
        <v>293</v>
      </c>
      <c r="P10" t="s">
        <v>724</v>
      </c>
      <c r="Q10" t="s">
        <v>248</v>
      </c>
      <c r="S10" t="str">
        <f t="shared" si="8"/>
        <v>towernumsections</v>
      </c>
      <c r="T10" t="s">
        <v>293</v>
      </c>
      <c r="U10" t="s">
        <v>767</v>
      </c>
      <c r="V10" t="s">
        <v>766</v>
      </c>
    </row>
    <row r="11" spans="1:22" hidden="1" x14ac:dyDescent="0.25">
      <c r="A11" s="1" t="s">
        <v>8</v>
      </c>
      <c r="B11" s="2" t="s">
        <v>249</v>
      </c>
      <c r="C11" s="3" t="str">
        <f t="shared" si="0"/>
        <v>towerdiagonalspacing</v>
      </c>
      <c r="D11" s="4">
        <f t="shared" si="1"/>
        <v>11</v>
      </c>
      <c r="E11" t="str">
        <f t="shared" si="2"/>
        <v>TowerDiagonalSpacing</v>
      </c>
      <c r="F11" s="4" t="str">
        <f t="shared" si="3"/>
        <v>YES</v>
      </c>
      <c r="G11" s="4" t="str">
        <f t="shared" si="4"/>
        <v>YES</v>
      </c>
      <c r="H11" s="4" t="str">
        <f t="shared" si="5"/>
        <v>YES</v>
      </c>
      <c r="I11" s="4" t="str">
        <f t="shared" si="6"/>
        <v>YES</v>
      </c>
      <c r="J11" t="s">
        <v>295</v>
      </c>
      <c r="N11" t="str">
        <f t="shared" si="7"/>
        <v>towersectionlength</v>
      </c>
      <c r="O11" t="s">
        <v>294</v>
      </c>
      <c r="P11" t="s">
        <v>727</v>
      </c>
      <c r="Q11" t="s">
        <v>723</v>
      </c>
      <c r="R11" t="s">
        <v>248</v>
      </c>
      <c r="S11" t="str">
        <f t="shared" si="8"/>
        <v>towersectionlength</v>
      </c>
      <c r="T11" t="s">
        <v>294</v>
      </c>
      <c r="U11" t="s">
        <v>767</v>
      </c>
      <c r="V11" t="s">
        <v>766</v>
      </c>
    </row>
    <row r="12" spans="1:22" hidden="1" x14ac:dyDescent="0.25">
      <c r="A12" s="1" t="s">
        <v>9</v>
      </c>
      <c r="B12" s="2" t="s">
        <v>249</v>
      </c>
      <c r="C12" s="3" t="str">
        <f t="shared" si="0"/>
        <v>towerdiagonalspacingex</v>
      </c>
      <c r="D12" s="4">
        <f t="shared" si="1"/>
        <v>12</v>
      </c>
      <c r="E12" t="str">
        <f t="shared" si="2"/>
        <v>TowerDiagonalSpacingEx</v>
      </c>
      <c r="F12" s="4" t="str">
        <f t="shared" si="3"/>
        <v>YES</v>
      </c>
      <c r="G12" s="4" t="str">
        <f t="shared" si="4"/>
        <v>YES</v>
      </c>
      <c r="H12" s="4" t="str">
        <f t="shared" si="5"/>
        <v>YES</v>
      </c>
      <c r="I12" s="4" t="str">
        <f t="shared" si="6"/>
        <v>YES</v>
      </c>
      <c r="J12" t="s">
        <v>296</v>
      </c>
      <c r="N12" t="str">
        <f t="shared" si="7"/>
        <v>towerdiagonalspacing</v>
      </c>
      <c r="O12" t="s">
        <v>295</v>
      </c>
      <c r="P12" t="s">
        <v>727</v>
      </c>
      <c r="Q12" t="s">
        <v>723</v>
      </c>
      <c r="R12" t="s">
        <v>248</v>
      </c>
      <c r="S12" t="str">
        <f t="shared" si="8"/>
        <v>towerdiagonalspacing</v>
      </c>
      <c r="T12" t="s">
        <v>295</v>
      </c>
      <c r="U12" t="s">
        <v>767</v>
      </c>
      <c r="V12" t="s">
        <v>766</v>
      </c>
    </row>
    <row r="13" spans="1:22" hidden="1" x14ac:dyDescent="0.25">
      <c r="A13" s="1" t="s">
        <v>10</v>
      </c>
      <c r="B13" s="2" t="s">
        <v>252</v>
      </c>
      <c r="C13" s="3" t="str">
        <f t="shared" si="0"/>
        <v>towerbracetype</v>
      </c>
      <c r="D13" s="4">
        <f t="shared" si="1"/>
        <v>13</v>
      </c>
      <c r="E13" t="str">
        <f t="shared" si="2"/>
        <v>TowerBraceType</v>
      </c>
      <c r="F13" s="4" t="str">
        <f t="shared" si="3"/>
        <v>YES</v>
      </c>
      <c r="G13" s="4" t="str">
        <f t="shared" si="4"/>
        <v>YES</v>
      </c>
      <c r="H13" s="4" t="str">
        <f t="shared" si="5"/>
        <v>YES</v>
      </c>
      <c r="I13" s="4" t="str">
        <f t="shared" si="6"/>
        <v>YES</v>
      </c>
      <c r="J13" t="s">
        <v>297</v>
      </c>
      <c r="N13" t="str">
        <f t="shared" si="7"/>
        <v>towerdiagonalspacingex</v>
      </c>
      <c r="O13" t="s">
        <v>296</v>
      </c>
      <c r="P13" t="s">
        <v>727</v>
      </c>
      <c r="Q13" t="s">
        <v>723</v>
      </c>
      <c r="R13" t="s">
        <v>248</v>
      </c>
      <c r="S13" t="str">
        <f t="shared" si="8"/>
        <v>towerdiagonalspacingex</v>
      </c>
      <c r="T13" t="s">
        <v>296</v>
      </c>
      <c r="U13" t="s">
        <v>767</v>
      </c>
      <c r="V13" t="s">
        <v>766</v>
      </c>
    </row>
    <row r="14" spans="1:22" hidden="1" x14ac:dyDescent="0.25">
      <c r="A14" s="1" t="s">
        <v>11</v>
      </c>
      <c r="B14" s="2" t="s">
        <v>253</v>
      </c>
      <c r="C14" s="3" t="str">
        <f t="shared" si="0"/>
        <v>towerfacebevel</v>
      </c>
      <c r="D14" s="4">
        <f t="shared" si="1"/>
        <v>14</v>
      </c>
      <c r="E14" t="str">
        <f t="shared" si="2"/>
        <v>TowerFaceBevel</v>
      </c>
      <c r="F14" s="4" t="str">
        <f t="shared" si="3"/>
        <v>YES</v>
      </c>
      <c r="G14" s="4" t="str">
        <f t="shared" si="4"/>
        <v>YES</v>
      </c>
      <c r="H14" s="4" t="str">
        <f t="shared" si="5"/>
        <v>YES</v>
      </c>
      <c r="I14" s="4" t="str">
        <f t="shared" si="6"/>
        <v>YES</v>
      </c>
      <c r="J14" t="s">
        <v>299</v>
      </c>
      <c r="N14" t="str">
        <f t="shared" si="7"/>
        <v>towerbracetype</v>
      </c>
      <c r="O14" t="s">
        <v>297</v>
      </c>
      <c r="P14" t="s">
        <v>728</v>
      </c>
      <c r="Q14" t="s">
        <v>248</v>
      </c>
      <c r="S14" t="str">
        <f t="shared" si="8"/>
        <v>towerbracetype</v>
      </c>
      <c r="T14" t="s">
        <v>297</v>
      </c>
      <c r="U14" t="s">
        <v>769</v>
      </c>
      <c r="V14" t="s">
        <v>766</v>
      </c>
    </row>
    <row r="15" spans="1:22" hidden="1" x14ac:dyDescent="0.25">
      <c r="A15" s="1" t="s">
        <v>12</v>
      </c>
      <c r="B15" s="2" t="s">
        <v>254</v>
      </c>
      <c r="C15" s="3" t="str">
        <f t="shared" si="0"/>
        <v>towertopgirtoffset</v>
      </c>
      <c r="D15" s="4">
        <f t="shared" si="1"/>
        <v>15</v>
      </c>
      <c r="E15" t="str">
        <f t="shared" si="2"/>
        <v>TowerTopGirtOffset</v>
      </c>
      <c r="F15" s="4" t="str">
        <f t="shared" si="3"/>
        <v>YES</v>
      </c>
      <c r="G15" s="4" t="str">
        <f t="shared" si="4"/>
        <v>YES</v>
      </c>
      <c r="H15" s="4" t="str">
        <f t="shared" si="5"/>
        <v>YES</v>
      </c>
      <c r="I15" s="4" t="str">
        <f t="shared" si="6"/>
        <v>YES</v>
      </c>
      <c r="J15" t="s">
        <v>300</v>
      </c>
      <c r="N15" t="str">
        <f t="shared" si="7"/>
        <v>towerfacebevel</v>
      </c>
      <c r="O15" t="s">
        <v>299</v>
      </c>
      <c r="P15" t="s">
        <v>727</v>
      </c>
      <c r="Q15" t="s">
        <v>723</v>
      </c>
      <c r="R15" t="s">
        <v>248</v>
      </c>
      <c r="S15" t="str">
        <f t="shared" si="8"/>
        <v>towerfacebevel</v>
      </c>
      <c r="T15" t="s">
        <v>299</v>
      </c>
      <c r="U15" t="s">
        <v>767</v>
      </c>
      <c r="V15" t="s">
        <v>766</v>
      </c>
    </row>
    <row r="16" spans="1:22" hidden="1" x14ac:dyDescent="0.25">
      <c r="A16" s="1" t="s">
        <v>13</v>
      </c>
      <c r="B16" s="2" t="s">
        <v>254</v>
      </c>
      <c r="C16" s="3" t="str">
        <f t="shared" si="0"/>
        <v>towerbotgirtoffset</v>
      </c>
      <c r="D16" s="4">
        <f t="shared" si="1"/>
        <v>16</v>
      </c>
      <c r="E16" t="str">
        <f t="shared" si="2"/>
        <v>TowerBotGirtOffset</v>
      </c>
      <c r="F16" s="4" t="str">
        <f t="shared" si="3"/>
        <v>YES</v>
      </c>
      <c r="G16" s="4" t="str">
        <f t="shared" si="4"/>
        <v>YES</v>
      </c>
      <c r="H16" s="4" t="str">
        <f t="shared" si="5"/>
        <v>YES</v>
      </c>
      <c r="I16" s="4" t="str">
        <f t="shared" si="6"/>
        <v>YES</v>
      </c>
      <c r="J16" t="s">
        <v>301</v>
      </c>
      <c r="N16" t="str">
        <f t="shared" si="7"/>
        <v>towertopgirtoffset</v>
      </c>
      <c r="O16" t="s">
        <v>300</v>
      </c>
      <c r="P16" t="s">
        <v>727</v>
      </c>
      <c r="Q16" t="s">
        <v>723</v>
      </c>
      <c r="R16" t="s">
        <v>248</v>
      </c>
      <c r="S16" t="str">
        <f t="shared" si="8"/>
        <v>towertopgirtoffset</v>
      </c>
      <c r="T16" t="s">
        <v>300</v>
      </c>
      <c r="U16" t="s">
        <v>767</v>
      </c>
      <c r="V16" t="s">
        <v>766</v>
      </c>
    </row>
    <row r="17" spans="1:22" hidden="1" x14ac:dyDescent="0.25">
      <c r="A17" s="1" t="s">
        <v>14</v>
      </c>
      <c r="B17" s="2" t="s">
        <v>255</v>
      </c>
      <c r="C17" s="3" t="str">
        <f t="shared" si="0"/>
        <v>towerhaskbraceendpanels</v>
      </c>
      <c r="D17" s="4">
        <f t="shared" si="1"/>
        <v>17</v>
      </c>
      <c r="E17" t="str">
        <f t="shared" si="2"/>
        <v>TowerHasKBraceEndPanels</v>
      </c>
      <c r="F17" s="4" t="str">
        <f t="shared" si="3"/>
        <v>YES</v>
      </c>
      <c r="G17" s="4" t="str">
        <f t="shared" si="4"/>
        <v>YES</v>
      </c>
      <c r="H17" s="4" t="str">
        <f t="shared" si="5"/>
        <v>YES</v>
      </c>
      <c r="I17" s="4" t="str">
        <f t="shared" si="6"/>
        <v>YES</v>
      </c>
      <c r="J17" t="s">
        <v>302</v>
      </c>
      <c r="N17" t="str">
        <f t="shared" si="7"/>
        <v>towerbotgirtoffset</v>
      </c>
      <c r="O17" t="s">
        <v>301</v>
      </c>
      <c r="P17" t="s">
        <v>727</v>
      </c>
      <c r="Q17" t="s">
        <v>723</v>
      </c>
      <c r="R17" t="s">
        <v>248</v>
      </c>
      <c r="S17" t="str">
        <f t="shared" si="8"/>
        <v>towerbotgirtoffset</v>
      </c>
      <c r="T17" t="s">
        <v>301</v>
      </c>
      <c r="U17" t="s">
        <v>767</v>
      </c>
      <c r="V17" t="s">
        <v>766</v>
      </c>
    </row>
    <row r="18" spans="1:22" hidden="1" x14ac:dyDescent="0.25">
      <c r="A18" s="1" t="s">
        <v>15</v>
      </c>
      <c r="B18" s="2" t="s">
        <v>256</v>
      </c>
      <c r="C18" s="3" t="str">
        <f t="shared" si="0"/>
        <v>towerhashorizontals</v>
      </c>
      <c r="D18" s="4">
        <f t="shared" si="1"/>
        <v>18</v>
      </c>
      <c r="E18" t="str">
        <f t="shared" si="2"/>
        <v>TowerHasHorizontals</v>
      </c>
      <c r="F18" s="4" t="str">
        <f t="shared" si="3"/>
        <v>YES</v>
      </c>
      <c r="G18" s="4" t="str">
        <f t="shared" si="4"/>
        <v>YES</v>
      </c>
      <c r="H18" s="4" t="str">
        <f t="shared" si="5"/>
        <v>YES</v>
      </c>
      <c r="I18" s="4" t="str">
        <f t="shared" si="6"/>
        <v>YES</v>
      </c>
      <c r="J18" t="s">
        <v>304</v>
      </c>
      <c r="N18" t="str">
        <f t="shared" si="7"/>
        <v>towerhaskbraceendpanels</v>
      </c>
      <c r="O18" t="s">
        <v>302</v>
      </c>
      <c r="P18" t="s">
        <v>729</v>
      </c>
      <c r="Q18" t="s">
        <v>248</v>
      </c>
      <c r="S18" t="str">
        <f t="shared" si="8"/>
        <v>towerhaskbraceendpanels</v>
      </c>
      <c r="T18" t="s">
        <v>302</v>
      </c>
      <c r="U18" t="s">
        <v>767</v>
      </c>
      <c r="V18" t="s">
        <v>766</v>
      </c>
    </row>
    <row r="19" spans="1:22" hidden="1" x14ac:dyDescent="0.25">
      <c r="A19" s="1" t="s">
        <v>16</v>
      </c>
      <c r="B19" s="2" t="s">
        <v>257</v>
      </c>
      <c r="C19" s="3" t="str">
        <f t="shared" si="0"/>
        <v>towerlegtype</v>
      </c>
      <c r="D19" s="4">
        <f t="shared" si="1"/>
        <v>19</v>
      </c>
      <c r="E19" t="str">
        <f t="shared" si="2"/>
        <v>TowerLegType</v>
      </c>
      <c r="F19" s="4" t="str">
        <f t="shared" si="3"/>
        <v>YES</v>
      </c>
      <c r="G19" s="4" t="str">
        <f t="shared" si="4"/>
        <v>YES</v>
      </c>
      <c r="H19" s="4" t="str">
        <f t="shared" si="5"/>
        <v>YES</v>
      </c>
      <c r="I19" s="4" t="str">
        <f t="shared" si="6"/>
        <v>YES</v>
      </c>
      <c r="J19" t="s">
        <v>306</v>
      </c>
      <c r="N19" t="str">
        <f t="shared" si="7"/>
        <v>towerhashorizontals</v>
      </c>
      <c r="O19" t="s">
        <v>304</v>
      </c>
      <c r="P19" t="s">
        <v>729</v>
      </c>
      <c r="Q19" t="s">
        <v>248</v>
      </c>
      <c r="S19" t="str">
        <f t="shared" si="8"/>
        <v>towerhashorizontals</v>
      </c>
      <c r="T19" t="s">
        <v>304</v>
      </c>
      <c r="U19" t="s">
        <v>767</v>
      </c>
      <c r="V19" t="s">
        <v>766</v>
      </c>
    </row>
    <row r="20" spans="1:22" hidden="1" x14ac:dyDescent="0.25">
      <c r="A20" s="1" t="s">
        <v>17</v>
      </c>
      <c r="B20" s="2" t="s">
        <v>258</v>
      </c>
      <c r="C20" s="3" t="str">
        <f t="shared" si="0"/>
        <v>towerlegsize</v>
      </c>
      <c r="D20" s="4">
        <f t="shared" si="1"/>
        <v>20</v>
      </c>
      <c r="E20" t="str">
        <f t="shared" si="2"/>
        <v>TowerLegSize</v>
      </c>
      <c r="F20" s="4" t="str">
        <f t="shared" si="3"/>
        <v>YES</v>
      </c>
      <c r="G20" s="4" t="str">
        <f t="shared" si="4"/>
        <v>YES</v>
      </c>
      <c r="H20" s="4" t="str">
        <f t="shared" si="5"/>
        <v>YES</v>
      </c>
      <c r="I20" s="4" t="str">
        <f t="shared" si="6"/>
        <v>YES</v>
      </c>
      <c r="J20" t="s">
        <v>308</v>
      </c>
      <c r="N20" t="str">
        <f t="shared" si="7"/>
        <v>towerlegtype</v>
      </c>
      <c r="O20" t="s">
        <v>306</v>
      </c>
      <c r="P20" t="s">
        <v>728</v>
      </c>
      <c r="Q20" t="s">
        <v>248</v>
      </c>
      <c r="S20" t="str">
        <f t="shared" si="8"/>
        <v>towerlegtype</v>
      </c>
      <c r="T20" t="s">
        <v>306</v>
      </c>
      <c r="U20" t="s">
        <v>768</v>
      </c>
      <c r="V20" t="s">
        <v>766</v>
      </c>
    </row>
    <row r="21" spans="1:22" hidden="1" x14ac:dyDescent="0.25">
      <c r="A21" s="1" t="s">
        <v>18</v>
      </c>
      <c r="B21" s="2" t="s">
        <v>259</v>
      </c>
      <c r="C21" s="3" t="str">
        <f t="shared" si="0"/>
        <v>towerleggrade</v>
      </c>
      <c r="D21" s="4">
        <f t="shared" si="1"/>
        <v>21</v>
      </c>
      <c r="E21" t="str">
        <f t="shared" si="2"/>
        <v>TowerLegGrade</v>
      </c>
      <c r="F21" s="4" t="str">
        <f t="shared" si="3"/>
        <v>YES</v>
      </c>
      <c r="G21" s="4" t="str">
        <f t="shared" si="4"/>
        <v>YES</v>
      </c>
      <c r="H21" s="4" t="str">
        <f t="shared" si="5"/>
        <v>YES</v>
      </c>
      <c r="I21" s="4" t="str">
        <f t="shared" si="6"/>
        <v>YES</v>
      </c>
      <c r="J21" t="s">
        <v>310</v>
      </c>
      <c r="N21" t="str">
        <f t="shared" si="7"/>
        <v>towerlegsize</v>
      </c>
      <c r="O21" t="s">
        <v>308</v>
      </c>
      <c r="P21" t="s">
        <v>726</v>
      </c>
      <c r="Q21" t="s">
        <v>248</v>
      </c>
      <c r="S21" t="str">
        <f t="shared" si="8"/>
        <v>towerlegsize</v>
      </c>
      <c r="T21" t="s">
        <v>308</v>
      </c>
      <c r="U21" t="s">
        <v>768</v>
      </c>
      <c r="V21" t="s">
        <v>766</v>
      </c>
    </row>
    <row r="22" spans="1:22" hidden="1" x14ac:dyDescent="0.25">
      <c r="A22" s="1" t="s">
        <v>19</v>
      </c>
      <c r="B22" s="2" t="s">
        <v>260</v>
      </c>
      <c r="C22" s="3" t="str">
        <f t="shared" si="0"/>
        <v>towerlegmatlgrade</v>
      </c>
      <c r="D22" s="4">
        <f t="shared" si="1"/>
        <v>22</v>
      </c>
      <c r="E22" t="str">
        <f t="shared" si="2"/>
        <v>TowerLegMatlGrade</v>
      </c>
      <c r="F22" s="4" t="str">
        <f t="shared" si="3"/>
        <v>YES</v>
      </c>
      <c r="G22" s="4" t="str">
        <f t="shared" si="4"/>
        <v>YES</v>
      </c>
      <c r="H22" s="4" t="str">
        <f t="shared" si="5"/>
        <v>YES</v>
      </c>
      <c r="I22" s="4" t="str">
        <f t="shared" si="6"/>
        <v>YES</v>
      </c>
      <c r="J22" t="s">
        <v>311</v>
      </c>
      <c r="N22" t="str">
        <f t="shared" si="7"/>
        <v>towerleggrade</v>
      </c>
      <c r="O22" t="s">
        <v>310</v>
      </c>
      <c r="P22" t="s">
        <v>727</v>
      </c>
      <c r="Q22" t="s">
        <v>723</v>
      </c>
      <c r="R22" t="s">
        <v>248</v>
      </c>
      <c r="S22" t="str">
        <f t="shared" si="8"/>
        <v>towerleggrade</v>
      </c>
      <c r="T22" t="s">
        <v>310</v>
      </c>
      <c r="U22" t="s">
        <v>767</v>
      </c>
      <c r="V22" t="s">
        <v>766</v>
      </c>
    </row>
    <row r="23" spans="1:22" hidden="1" x14ac:dyDescent="0.25">
      <c r="A23" s="1" t="s">
        <v>20</v>
      </c>
      <c r="B23" s="2" t="s">
        <v>261</v>
      </c>
      <c r="C23" s="3" t="str">
        <f t="shared" si="0"/>
        <v>towerdiagonalgrade</v>
      </c>
      <c r="D23" s="4">
        <f t="shared" si="1"/>
        <v>23</v>
      </c>
      <c r="E23" t="str">
        <f t="shared" si="2"/>
        <v>TowerDiagonalGrade</v>
      </c>
      <c r="F23" s="4" t="str">
        <f t="shared" si="3"/>
        <v>YES</v>
      </c>
      <c r="G23" s="4" t="str">
        <f t="shared" si="4"/>
        <v>YES</v>
      </c>
      <c r="H23" s="4" t="str">
        <f t="shared" si="5"/>
        <v>YES</v>
      </c>
      <c r="I23" s="4" t="str">
        <f t="shared" si="6"/>
        <v>YES</v>
      </c>
      <c r="J23" t="s">
        <v>313</v>
      </c>
      <c r="N23" t="str">
        <f t="shared" si="7"/>
        <v>towerlegmatlgrade</v>
      </c>
      <c r="O23" t="s">
        <v>311</v>
      </c>
      <c r="P23" t="s">
        <v>728</v>
      </c>
      <c r="Q23" t="s">
        <v>248</v>
      </c>
      <c r="S23" t="str">
        <f t="shared" si="8"/>
        <v>towerlegmatlgrade</v>
      </c>
      <c r="T23" t="s">
        <v>311</v>
      </c>
      <c r="U23" t="s">
        <v>769</v>
      </c>
      <c r="V23" t="s">
        <v>766</v>
      </c>
    </row>
    <row r="24" spans="1:22" hidden="1" x14ac:dyDescent="0.25">
      <c r="A24" s="1" t="s">
        <v>21</v>
      </c>
      <c r="B24" s="2" t="s">
        <v>262</v>
      </c>
      <c r="C24" s="3" t="str">
        <f t="shared" si="0"/>
        <v>towerdiagonalmatlgrade</v>
      </c>
      <c r="D24" s="4">
        <f t="shared" si="1"/>
        <v>24</v>
      </c>
      <c r="E24" t="str">
        <f t="shared" si="2"/>
        <v>TowerDiagonalMatlGrade</v>
      </c>
      <c r="F24" s="4" t="str">
        <f t="shared" si="3"/>
        <v>YES</v>
      </c>
      <c r="G24" s="4" t="str">
        <f t="shared" si="4"/>
        <v>YES</v>
      </c>
      <c r="H24" s="4" t="str">
        <f t="shared" si="5"/>
        <v>YES</v>
      </c>
      <c r="I24" s="4" t="str">
        <f t="shared" si="6"/>
        <v>YES</v>
      </c>
      <c r="J24" t="s">
        <v>314</v>
      </c>
      <c r="N24" t="str">
        <f t="shared" si="7"/>
        <v>towerdiagonalgrade</v>
      </c>
      <c r="O24" t="s">
        <v>313</v>
      </c>
      <c r="P24" t="s">
        <v>727</v>
      </c>
      <c r="Q24" t="s">
        <v>723</v>
      </c>
      <c r="R24" t="s">
        <v>248</v>
      </c>
      <c r="S24" t="str">
        <f t="shared" si="8"/>
        <v>towerdiagonalgrade</v>
      </c>
      <c r="T24" t="s">
        <v>313</v>
      </c>
      <c r="U24" t="s">
        <v>767</v>
      </c>
      <c r="V24" t="s">
        <v>766</v>
      </c>
    </row>
    <row r="25" spans="1:22" hidden="1" x14ac:dyDescent="0.25">
      <c r="A25" s="1" t="s">
        <v>22</v>
      </c>
      <c r="B25" s="2" t="s">
        <v>259</v>
      </c>
      <c r="C25" s="3" t="str">
        <f t="shared" si="0"/>
        <v>towerinnerbracinggrade</v>
      </c>
      <c r="D25" s="4">
        <f t="shared" si="1"/>
        <v>25</v>
      </c>
      <c r="E25" t="str">
        <f t="shared" si="2"/>
        <v>TowerInnerBracingGrade</v>
      </c>
      <c r="F25" s="4" t="str">
        <f t="shared" si="3"/>
        <v>YES</v>
      </c>
      <c r="G25" s="4" t="str">
        <f t="shared" si="4"/>
        <v>YES</v>
      </c>
      <c r="H25" s="4" t="str">
        <f t="shared" si="5"/>
        <v>YES</v>
      </c>
      <c r="I25" s="4" t="str">
        <f t="shared" si="6"/>
        <v>YES</v>
      </c>
      <c r="J25" t="s">
        <v>316</v>
      </c>
      <c r="N25" t="str">
        <f t="shared" si="7"/>
        <v>towerdiagonalmatlgrade</v>
      </c>
      <c r="O25" t="s">
        <v>314</v>
      </c>
      <c r="P25" t="s">
        <v>728</v>
      </c>
      <c r="Q25" t="s">
        <v>248</v>
      </c>
      <c r="S25" t="str">
        <f t="shared" si="8"/>
        <v>towerdiagonalmatlgrade</v>
      </c>
      <c r="T25" t="s">
        <v>314</v>
      </c>
      <c r="U25" t="s">
        <v>769</v>
      </c>
      <c r="V25" t="s">
        <v>766</v>
      </c>
    </row>
    <row r="26" spans="1:22" hidden="1" x14ac:dyDescent="0.25">
      <c r="A26" s="1" t="s">
        <v>23</v>
      </c>
      <c r="B26" s="2" t="s">
        <v>260</v>
      </c>
      <c r="C26" s="3" t="str">
        <f t="shared" si="0"/>
        <v>towerinnerbracingmatlgrade</v>
      </c>
      <c r="D26" s="4">
        <f t="shared" si="1"/>
        <v>26</v>
      </c>
      <c r="E26" t="str">
        <f t="shared" si="2"/>
        <v>TowerInnerBracingMatlGrade</v>
      </c>
      <c r="F26" s="4" t="str">
        <f t="shared" si="3"/>
        <v>YES</v>
      </c>
      <c r="G26" s="4" t="str">
        <f t="shared" si="4"/>
        <v>YES</v>
      </c>
      <c r="H26" s="4" t="str">
        <f t="shared" si="5"/>
        <v>YES</v>
      </c>
      <c r="I26" s="4" t="str">
        <f t="shared" si="6"/>
        <v>YES</v>
      </c>
      <c r="J26" t="s">
        <v>317</v>
      </c>
      <c r="N26" t="str">
        <f t="shared" si="7"/>
        <v>towerinnerbracinggrade</v>
      </c>
      <c r="O26" t="s">
        <v>316</v>
      </c>
      <c r="P26" t="s">
        <v>727</v>
      </c>
      <c r="Q26" t="s">
        <v>723</v>
      </c>
      <c r="R26" t="s">
        <v>248</v>
      </c>
      <c r="S26" t="str">
        <f t="shared" si="8"/>
        <v>towerinnerbracinggrade</v>
      </c>
      <c r="T26" t="s">
        <v>316</v>
      </c>
      <c r="U26" t="s">
        <v>767</v>
      </c>
      <c r="V26" t="s">
        <v>766</v>
      </c>
    </row>
    <row r="27" spans="1:22" hidden="1" x14ac:dyDescent="0.25">
      <c r="A27" s="1" t="s">
        <v>24</v>
      </c>
      <c r="B27" s="2" t="s">
        <v>263</v>
      </c>
      <c r="C27" s="3" t="str">
        <f t="shared" si="0"/>
        <v>towertopgirtgrade</v>
      </c>
      <c r="D27" s="4">
        <f t="shared" si="1"/>
        <v>27</v>
      </c>
      <c r="E27" t="str">
        <f t="shared" si="2"/>
        <v>TowerTopGirtGrade</v>
      </c>
      <c r="F27" s="4" t="str">
        <f t="shared" si="3"/>
        <v>YES</v>
      </c>
      <c r="G27" s="4" t="str">
        <f t="shared" si="4"/>
        <v>YES</v>
      </c>
      <c r="H27" s="4" t="str">
        <f t="shared" si="5"/>
        <v>YES</v>
      </c>
      <c r="I27" s="4" t="str">
        <f t="shared" si="6"/>
        <v>YES</v>
      </c>
      <c r="J27" t="s">
        <v>318</v>
      </c>
      <c r="N27" t="str">
        <f t="shared" si="7"/>
        <v>towerinnerbracingmatlgrade</v>
      </c>
      <c r="O27" t="s">
        <v>317</v>
      </c>
      <c r="P27" t="s">
        <v>728</v>
      </c>
      <c r="Q27" t="s">
        <v>248</v>
      </c>
      <c r="S27" t="str">
        <f t="shared" si="8"/>
        <v>towerinnerbracingmatlgrade</v>
      </c>
      <c r="T27" t="s">
        <v>317</v>
      </c>
      <c r="U27" t="s">
        <v>769</v>
      </c>
      <c r="V27" t="s">
        <v>766</v>
      </c>
    </row>
    <row r="28" spans="1:22" hidden="1" x14ac:dyDescent="0.25">
      <c r="A28" s="1" t="s">
        <v>25</v>
      </c>
      <c r="B28" s="2" t="s">
        <v>264</v>
      </c>
      <c r="C28" s="3" t="str">
        <f t="shared" si="0"/>
        <v>towertopgirtmatlgrade</v>
      </c>
      <c r="D28" s="4">
        <f t="shared" si="1"/>
        <v>28</v>
      </c>
      <c r="E28" t="str">
        <f t="shared" si="2"/>
        <v>TowerTopGirtMatlGrade</v>
      </c>
      <c r="F28" s="4" t="str">
        <f t="shared" si="3"/>
        <v>YES</v>
      </c>
      <c r="G28" s="4" t="str">
        <f t="shared" si="4"/>
        <v>YES</v>
      </c>
      <c r="H28" s="4" t="str">
        <f t="shared" si="5"/>
        <v>YES</v>
      </c>
      <c r="I28" s="4" t="str">
        <f t="shared" si="6"/>
        <v>YES</v>
      </c>
      <c r="J28" t="s">
        <v>319</v>
      </c>
      <c r="N28" t="str">
        <f t="shared" si="7"/>
        <v>towertopgirtgrade</v>
      </c>
      <c r="O28" t="s">
        <v>318</v>
      </c>
      <c r="P28" t="s">
        <v>727</v>
      </c>
      <c r="Q28" t="s">
        <v>723</v>
      </c>
      <c r="R28" t="s">
        <v>248</v>
      </c>
      <c r="S28" t="str">
        <f t="shared" si="8"/>
        <v>towertopgirtgrade</v>
      </c>
      <c r="T28" t="s">
        <v>318</v>
      </c>
      <c r="U28" t="s">
        <v>767</v>
      </c>
      <c r="V28" t="s">
        <v>766</v>
      </c>
    </row>
    <row r="29" spans="1:22" hidden="1" x14ac:dyDescent="0.25">
      <c r="A29" s="1" t="s">
        <v>26</v>
      </c>
      <c r="B29" s="2" t="s">
        <v>263</v>
      </c>
      <c r="C29" s="3" t="str">
        <f t="shared" si="0"/>
        <v>towerbotgirtgrade</v>
      </c>
      <c r="D29" s="4">
        <f t="shared" si="1"/>
        <v>29</v>
      </c>
      <c r="E29" t="str">
        <f t="shared" si="2"/>
        <v>TowerBotGirtGrade</v>
      </c>
      <c r="F29" s="4" t="str">
        <f t="shared" si="3"/>
        <v>YES</v>
      </c>
      <c r="G29" s="4" t="str">
        <f t="shared" si="4"/>
        <v>YES</v>
      </c>
      <c r="H29" s="4" t="str">
        <f t="shared" si="5"/>
        <v>YES</v>
      </c>
      <c r="I29" s="4" t="str">
        <f t="shared" si="6"/>
        <v>YES</v>
      </c>
      <c r="J29" t="s">
        <v>321</v>
      </c>
      <c r="N29" t="str">
        <f t="shared" si="7"/>
        <v>towertopgirtmatlgrade</v>
      </c>
      <c r="O29" t="s">
        <v>319</v>
      </c>
      <c r="P29" t="s">
        <v>728</v>
      </c>
      <c r="Q29" t="s">
        <v>248</v>
      </c>
      <c r="S29" t="str">
        <f t="shared" si="8"/>
        <v>towertopgirtmatlgrade</v>
      </c>
      <c r="T29" t="s">
        <v>319</v>
      </c>
      <c r="U29" t="s">
        <v>769</v>
      </c>
      <c r="V29" t="s">
        <v>766</v>
      </c>
    </row>
    <row r="30" spans="1:22" hidden="1" x14ac:dyDescent="0.25">
      <c r="A30" s="1" t="s">
        <v>27</v>
      </c>
      <c r="B30" s="2" t="s">
        <v>264</v>
      </c>
      <c r="C30" s="3" t="str">
        <f t="shared" si="0"/>
        <v>towerbotgirtmatlgrade</v>
      </c>
      <c r="D30" s="4">
        <f t="shared" si="1"/>
        <v>30</v>
      </c>
      <c r="E30" t="str">
        <f t="shared" si="2"/>
        <v>TowerBotGirtMatlGrade</v>
      </c>
      <c r="F30" s="4" t="str">
        <f t="shared" si="3"/>
        <v>YES</v>
      </c>
      <c r="G30" s="4" t="str">
        <f t="shared" si="4"/>
        <v>YES</v>
      </c>
      <c r="H30" s="4" t="str">
        <f t="shared" si="5"/>
        <v>YES</v>
      </c>
      <c r="I30" s="4" t="str">
        <f t="shared" si="6"/>
        <v>YES</v>
      </c>
      <c r="J30" t="s">
        <v>322</v>
      </c>
      <c r="N30" t="str">
        <f t="shared" si="7"/>
        <v>towerbotgirtgrade</v>
      </c>
      <c r="O30" t="s">
        <v>321</v>
      </c>
      <c r="P30" t="s">
        <v>727</v>
      </c>
      <c r="Q30" t="s">
        <v>723</v>
      </c>
      <c r="R30" t="s">
        <v>248</v>
      </c>
      <c r="S30" t="str">
        <f t="shared" si="8"/>
        <v>towerbotgirtgrade</v>
      </c>
      <c r="T30" t="s">
        <v>321</v>
      </c>
      <c r="U30" t="s">
        <v>767</v>
      </c>
      <c r="V30" t="s">
        <v>766</v>
      </c>
    </row>
    <row r="31" spans="1:22" hidden="1" x14ac:dyDescent="0.25">
      <c r="A31" s="1" t="s">
        <v>28</v>
      </c>
      <c r="B31" s="2" t="s">
        <v>263</v>
      </c>
      <c r="C31" s="3" t="str">
        <f t="shared" si="0"/>
        <v>towerinnergirtgrade</v>
      </c>
      <c r="D31" s="4">
        <f t="shared" si="1"/>
        <v>31</v>
      </c>
      <c r="E31" t="str">
        <f t="shared" si="2"/>
        <v>TowerInnerGirtGrade</v>
      </c>
      <c r="F31" s="4" t="str">
        <f t="shared" si="3"/>
        <v>YES</v>
      </c>
      <c r="G31" s="4" t="str">
        <f t="shared" si="4"/>
        <v>YES</v>
      </c>
      <c r="H31" s="4" t="str">
        <f t="shared" si="5"/>
        <v>YES</v>
      </c>
      <c r="I31" s="4" t="str">
        <f t="shared" si="6"/>
        <v>YES</v>
      </c>
      <c r="J31" t="s">
        <v>323</v>
      </c>
      <c r="N31" t="str">
        <f t="shared" si="7"/>
        <v>towerbotgirtmatlgrade</v>
      </c>
      <c r="O31" t="s">
        <v>322</v>
      </c>
      <c r="P31" t="s">
        <v>728</v>
      </c>
      <c r="Q31" t="s">
        <v>248</v>
      </c>
      <c r="S31" t="str">
        <f t="shared" si="8"/>
        <v>towerbotgirtmatlgrade</v>
      </c>
      <c r="T31" t="s">
        <v>322</v>
      </c>
      <c r="U31" t="s">
        <v>769</v>
      </c>
      <c r="V31" t="s">
        <v>766</v>
      </c>
    </row>
    <row r="32" spans="1:22" hidden="1" x14ac:dyDescent="0.25">
      <c r="A32" s="1" t="s">
        <v>29</v>
      </c>
      <c r="B32" s="2" t="s">
        <v>264</v>
      </c>
      <c r="C32" s="3" t="str">
        <f t="shared" si="0"/>
        <v>towerinnergirtmatlgrade</v>
      </c>
      <c r="D32" s="4">
        <f t="shared" si="1"/>
        <v>32</v>
      </c>
      <c r="E32" t="str">
        <f t="shared" si="2"/>
        <v>TowerInnerGirtMatlGrade</v>
      </c>
      <c r="F32" s="4" t="str">
        <f t="shared" si="3"/>
        <v>YES</v>
      </c>
      <c r="G32" s="4" t="str">
        <f t="shared" si="4"/>
        <v>YES</v>
      </c>
      <c r="H32" s="4" t="str">
        <f t="shared" si="5"/>
        <v>YES</v>
      </c>
      <c r="I32" s="4" t="str">
        <f t="shared" si="6"/>
        <v>YES</v>
      </c>
      <c r="J32" t="s">
        <v>324</v>
      </c>
      <c r="N32" t="str">
        <f t="shared" si="7"/>
        <v>towerinnergirtgrade</v>
      </c>
      <c r="O32" t="s">
        <v>323</v>
      </c>
      <c r="P32" t="s">
        <v>727</v>
      </c>
      <c r="Q32" t="s">
        <v>723</v>
      </c>
      <c r="R32" t="s">
        <v>248</v>
      </c>
      <c r="S32" t="str">
        <f t="shared" si="8"/>
        <v>towerinnergirtgrade</v>
      </c>
      <c r="T32" t="s">
        <v>323</v>
      </c>
      <c r="U32" t="s">
        <v>767</v>
      </c>
      <c r="V32" t="s">
        <v>766</v>
      </c>
    </row>
    <row r="33" spans="1:22" hidden="1" x14ac:dyDescent="0.25">
      <c r="A33" s="1" t="s">
        <v>30</v>
      </c>
      <c r="B33" s="2" t="s">
        <v>259</v>
      </c>
      <c r="C33" s="3" t="str">
        <f t="shared" si="0"/>
        <v>towerlonghorizontalgrade</v>
      </c>
      <c r="D33" s="4">
        <f t="shared" si="1"/>
        <v>33</v>
      </c>
      <c r="E33" t="str">
        <f t="shared" si="2"/>
        <v>TowerLongHorizontalGrade</v>
      </c>
      <c r="F33" s="4" t="str">
        <f t="shared" si="3"/>
        <v>YES</v>
      </c>
      <c r="G33" s="4" t="str">
        <f t="shared" si="4"/>
        <v>YES</v>
      </c>
      <c r="H33" s="4" t="str">
        <f t="shared" si="5"/>
        <v>YES</v>
      </c>
      <c r="I33" s="4" t="str">
        <f t="shared" si="6"/>
        <v>YES</v>
      </c>
      <c r="J33" t="s">
        <v>325</v>
      </c>
      <c r="N33" t="str">
        <f t="shared" si="7"/>
        <v>towerinnergirtmatlgrade</v>
      </c>
      <c r="O33" t="s">
        <v>324</v>
      </c>
      <c r="P33" t="s">
        <v>728</v>
      </c>
      <c r="Q33" t="s">
        <v>248</v>
      </c>
      <c r="S33" t="str">
        <f t="shared" si="8"/>
        <v>towerinnergirtmatlgrade</v>
      </c>
      <c r="T33" t="s">
        <v>324</v>
      </c>
      <c r="U33" t="s">
        <v>769</v>
      </c>
      <c r="V33" t="s">
        <v>766</v>
      </c>
    </row>
    <row r="34" spans="1:22" hidden="1" x14ac:dyDescent="0.25">
      <c r="A34" s="1" t="s">
        <v>31</v>
      </c>
      <c r="B34" s="2" t="s">
        <v>260</v>
      </c>
      <c r="C34" s="3" t="str">
        <f t="shared" si="0"/>
        <v>towerlonghorizontalmatlgrade</v>
      </c>
      <c r="D34" s="4">
        <f t="shared" si="1"/>
        <v>34</v>
      </c>
      <c r="E34" t="str">
        <f t="shared" si="2"/>
        <v>TowerLongHorizontalMatlGrade</v>
      </c>
      <c r="F34" s="4" t="str">
        <f t="shared" si="3"/>
        <v>YES</v>
      </c>
      <c r="G34" s="4" t="str">
        <f t="shared" si="4"/>
        <v>YES</v>
      </c>
      <c r="H34" s="4" t="str">
        <f t="shared" si="5"/>
        <v>YES</v>
      </c>
      <c r="I34" s="4" t="str">
        <f t="shared" si="6"/>
        <v>YES</v>
      </c>
      <c r="J34" t="s">
        <v>326</v>
      </c>
      <c r="N34" t="str">
        <f t="shared" si="7"/>
        <v>towerlonghorizontalgrade</v>
      </c>
      <c r="O34" t="s">
        <v>325</v>
      </c>
      <c r="P34" t="s">
        <v>727</v>
      </c>
      <c r="Q34" t="s">
        <v>723</v>
      </c>
      <c r="R34" t="s">
        <v>248</v>
      </c>
      <c r="S34" t="str">
        <f t="shared" si="8"/>
        <v>towerlonghorizontalgrade</v>
      </c>
      <c r="T34" t="s">
        <v>325</v>
      </c>
      <c r="U34" t="s">
        <v>767</v>
      </c>
      <c r="V34" t="s">
        <v>766</v>
      </c>
    </row>
    <row r="35" spans="1:22" hidden="1" x14ac:dyDescent="0.25">
      <c r="A35" s="1" t="s">
        <v>32</v>
      </c>
      <c r="B35" s="2" t="s">
        <v>263</v>
      </c>
      <c r="C35" s="3" t="str">
        <f t="shared" si="0"/>
        <v>towershorthorizontalgrade</v>
      </c>
      <c r="D35" s="4">
        <f t="shared" si="1"/>
        <v>35</v>
      </c>
      <c r="E35" t="str">
        <f t="shared" si="2"/>
        <v>TowerShortHorizontalGrade</v>
      </c>
      <c r="F35" s="4" t="str">
        <f t="shared" si="3"/>
        <v>YES</v>
      </c>
      <c r="G35" s="4" t="str">
        <f t="shared" si="4"/>
        <v>YES</v>
      </c>
      <c r="H35" s="4" t="str">
        <f t="shared" si="5"/>
        <v>YES</v>
      </c>
      <c r="I35" s="4" t="str">
        <f t="shared" si="6"/>
        <v>YES</v>
      </c>
      <c r="J35" t="s">
        <v>327</v>
      </c>
      <c r="N35" t="str">
        <f t="shared" si="7"/>
        <v>towerlonghorizontalmatlgrade</v>
      </c>
      <c r="O35" t="s">
        <v>326</v>
      </c>
      <c r="P35" t="s">
        <v>728</v>
      </c>
      <c r="Q35" t="s">
        <v>248</v>
      </c>
      <c r="S35" t="str">
        <f t="shared" si="8"/>
        <v>towerlonghorizontalmatlgrade</v>
      </c>
      <c r="T35" t="s">
        <v>326</v>
      </c>
      <c r="U35" t="s">
        <v>769</v>
      </c>
      <c r="V35" t="s">
        <v>766</v>
      </c>
    </row>
    <row r="36" spans="1:22" hidden="1" x14ac:dyDescent="0.25">
      <c r="A36" s="1" t="s">
        <v>33</v>
      </c>
      <c r="B36" s="2" t="s">
        <v>264</v>
      </c>
      <c r="C36" s="3" t="str">
        <f t="shared" si="0"/>
        <v>towershorthorizontalmatlgrade</v>
      </c>
      <c r="D36" s="4">
        <f t="shared" si="1"/>
        <v>36</v>
      </c>
      <c r="E36" t="str">
        <f t="shared" si="2"/>
        <v>TowerShortHorizontalMatlGrade</v>
      </c>
      <c r="F36" s="4" t="str">
        <f t="shared" si="3"/>
        <v>YES</v>
      </c>
      <c r="G36" s="4" t="str">
        <f t="shared" si="4"/>
        <v>YES</v>
      </c>
      <c r="H36" s="4" t="str">
        <f t="shared" si="5"/>
        <v>YES</v>
      </c>
      <c r="I36" s="4" t="str">
        <f t="shared" si="6"/>
        <v>YES</v>
      </c>
      <c r="J36" t="s">
        <v>328</v>
      </c>
      <c r="N36" t="str">
        <f t="shared" si="7"/>
        <v>towershorthorizontalgrade</v>
      </c>
      <c r="O36" t="s">
        <v>327</v>
      </c>
      <c r="P36" t="s">
        <v>727</v>
      </c>
      <c r="Q36" t="s">
        <v>723</v>
      </c>
      <c r="R36" t="s">
        <v>248</v>
      </c>
      <c r="S36" t="str">
        <f t="shared" si="8"/>
        <v>towershorthorizontalgrade</v>
      </c>
      <c r="T36" t="s">
        <v>327</v>
      </c>
      <c r="U36" t="s">
        <v>767</v>
      </c>
      <c r="V36" t="s">
        <v>766</v>
      </c>
    </row>
    <row r="37" spans="1:22" hidden="1" x14ac:dyDescent="0.25">
      <c r="A37" s="1" t="s">
        <v>34</v>
      </c>
      <c r="B37" s="2" t="s">
        <v>257</v>
      </c>
      <c r="C37" s="3" t="str">
        <f t="shared" si="0"/>
        <v>towerdiagonaltype</v>
      </c>
      <c r="D37" s="4">
        <f t="shared" si="1"/>
        <v>37</v>
      </c>
      <c r="E37" t="str">
        <f t="shared" si="2"/>
        <v>TowerDiagonalType</v>
      </c>
      <c r="F37" s="4" t="str">
        <f t="shared" si="3"/>
        <v>YES</v>
      </c>
      <c r="G37" s="4" t="str">
        <f t="shared" si="4"/>
        <v>YES</v>
      </c>
      <c r="H37" s="4" t="str">
        <f t="shared" si="5"/>
        <v>YES</v>
      </c>
      <c r="I37" s="4" t="str">
        <f t="shared" si="6"/>
        <v>YES</v>
      </c>
      <c r="J37" t="s">
        <v>329</v>
      </c>
      <c r="N37" t="str">
        <f t="shared" si="7"/>
        <v>towershorthorizontalmatlgrade</v>
      </c>
      <c r="O37" t="s">
        <v>328</v>
      </c>
      <c r="P37" t="s">
        <v>728</v>
      </c>
      <c r="Q37" t="s">
        <v>248</v>
      </c>
      <c r="S37" t="str">
        <f t="shared" si="8"/>
        <v>towershorthorizontalmatlgrade</v>
      </c>
      <c r="T37" t="s">
        <v>328</v>
      </c>
      <c r="U37" t="s">
        <v>769</v>
      </c>
      <c r="V37" t="s">
        <v>766</v>
      </c>
    </row>
    <row r="38" spans="1:22" hidden="1" x14ac:dyDescent="0.25">
      <c r="A38" s="1" t="s">
        <v>35</v>
      </c>
      <c r="B38" s="2" t="s">
        <v>265</v>
      </c>
      <c r="C38" s="3" t="str">
        <f t="shared" si="0"/>
        <v>towerdiagonalsize</v>
      </c>
      <c r="D38" s="4">
        <f t="shared" si="1"/>
        <v>38</v>
      </c>
      <c r="E38" t="str">
        <f t="shared" si="2"/>
        <v>TowerDiagonalSize</v>
      </c>
      <c r="F38" s="4" t="str">
        <f t="shared" si="3"/>
        <v>YES</v>
      </c>
      <c r="G38" s="4" t="str">
        <f t="shared" si="4"/>
        <v>YES</v>
      </c>
      <c r="H38" s="4" t="str">
        <f t="shared" si="5"/>
        <v>YES</v>
      </c>
      <c r="I38" s="4" t="str">
        <f t="shared" si="6"/>
        <v>YES</v>
      </c>
      <c r="J38" t="s">
        <v>330</v>
      </c>
      <c r="N38" t="str">
        <f t="shared" si="7"/>
        <v>towerdiagonaltype</v>
      </c>
      <c r="O38" t="s">
        <v>329</v>
      </c>
      <c r="P38" t="s">
        <v>728</v>
      </c>
      <c r="Q38" t="s">
        <v>248</v>
      </c>
      <c r="S38" t="str">
        <f t="shared" si="8"/>
        <v>towerdiagonaltype</v>
      </c>
      <c r="T38" t="s">
        <v>329</v>
      </c>
      <c r="U38" t="s">
        <v>768</v>
      </c>
      <c r="V38" t="s">
        <v>766</v>
      </c>
    </row>
    <row r="39" spans="1:22" hidden="1" x14ac:dyDescent="0.25">
      <c r="A39" s="1" t="s">
        <v>36</v>
      </c>
      <c r="B39" s="2" t="s">
        <v>257</v>
      </c>
      <c r="C39" s="3" t="str">
        <f t="shared" si="0"/>
        <v>towerinnerbracingtype</v>
      </c>
      <c r="D39" s="4">
        <f t="shared" si="1"/>
        <v>39</v>
      </c>
      <c r="E39" t="str">
        <f t="shared" si="2"/>
        <v>TowerInnerBracingType</v>
      </c>
      <c r="F39" s="4" t="str">
        <f t="shared" si="3"/>
        <v>YES</v>
      </c>
      <c r="G39" s="4" t="str">
        <f t="shared" si="4"/>
        <v>YES</v>
      </c>
      <c r="H39" s="4" t="str">
        <f t="shared" si="5"/>
        <v>YES</v>
      </c>
      <c r="I39" s="4" t="str">
        <f t="shared" si="6"/>
        <v>YES</v>
      </c>
      <c r="J39" t="s">
        <v>332</v>
      </c>
      <c r="N39" t="str">
        <f t="shared" si="7"/>
        <v>towerdiagonalsize</v>
      </c>
      <c r="O39" t="s">
        <v>330</v>
      </c>
      <c r="P39" t="s">
        <v>726</v>
      </c>
      <c r="Q39" t="s">
        <v>248</v>
      </c>
      <c r="S39" t="str">
        <f t="shared" si="8"/>
        <v>towerdiagonalsize</v>
      </c>
      <c r="T39" t="s">
        <v>330</v>
      </c>
      <c r="U39" t="s">
        <v>768</v>
      </c>
      <c r="V39" t="s">
        <v>766</v>
      </c>
    </row>
    <row r="40" spans="1:22" hidden="1" x14ac:dyDescent="0.25">
      <c r="A40" s="1" t="s">
        <v>37</v>
      </c>
      <c r="B40" s="2" t="s">
        <v>266</v>
      </c>
      <c r="C40" s="3" t="str">
        <f t="shared" si="0"/>
        <v>towerinnerbracingsize</v>
      </c>
      <c r="D40" s="4">
        <f t="shared" si="1"/>
        <v>40</v>
      </c>
      <c r="E40" t="str">
        <f t="shared" si="2"/>
        <v>TowerInnerBracingSize</v>
      </c>
      <c r="F40" s="4" t="str">
        <f t="shared" si="3"/>
        <v>YES</v>
      </c>
      <c r="G40" s="4" t="str">
        <f t="shared" si="4"/>
        <v>YES</v>
      </c>
      <c r="H40" s="4" t="str">
        <f t="shared" si="5"/>
        <v>YES</v>
      </c>
      <c r="I40" s="4" t="str">
        <f t="shared" si="6"/>
        <v>YES</v>
      </c>
      <c r="J40" t="s">
        <v>333</v>
      </c>
      <c r="N40" t="str">
        <f t="shared" si="7"/>
        <v>towerinnerbracingtype</v>
      </c>
      <c r="O40" t="s">
        <v>332</v>
      </c>
      <c r="P40" t="s">
        <v>728</v>
      </c>
      <c r="Q40" t="s">
        <v>248</v>
      </c>
      <c r="S40" t="str">
        <f t="shared" si="8"/>
        <v>towerinnerbracingtype</v>
      </c>
      <c r="T40" t="s">
        <v>332</v>
      </c>
      <c r="U40" t="s">
        <v>768</v>
      </c>
      <c r="V40" t="s">
        <v>766</v>
      </c>
    </row>
    <row r="41" spans="1:22" hidden="1" x14ac:dyDescent="0.25">
      <c r="A41" s="1" t="s">
        <v>38</v>
      </c>
      <c r="B41" s="2" t="s">
        <v>267</v>
      </c>
      <c r="C41" s="3" t="str">
        <f t="shared" si="0"/>
        <v>towertopgirttype</v>
      </c>
      <c r="D41" s="4">
        <f t="shared" si="1"/>
        <v>41</v>
      </c>
      <c r="E41" t="str">
        <f t="shared" si="2"/>
        <v>TowerTopGirtType</v>
      </c>
      <c r="F41" s="4" t="str">
        <f t="shared" si="3"/>
        <v>YES</v>
      </c>
      <c r="G41" s="4" t="str">
        <f t="shared" si="4"/>
        <v>YES</v>
      </c>
      <c r="H41" s="4" t="str">
        <f t="shared" si="5"/>
        <v>YES</v>
      </c>
      <c r="I41" s="4" t="str">
        <f t="shared" si="6"/>
        <v>YES</v>
      </c>
      <c r="J41" t="s">
        <v>335</v>
      </c>
      <c r="N41" t="str">
        <f t="shared" si="7"/>
        <v>towerinnerbracingsize</v>
      </c>
      <c r="O41" t="s">
        <v>333</v>
      </c>
      <c r="P41" t="s">
        <v>726</v>
      </c>
      <c r="Q41" t="s">
        <v>248</v>
      </c>
      <c r="S41" t="str">
        <f t="shared" si="8"/>
        <v>towerinnerbracingsize</v>
      </c>
      <c r="T41" t="s">
        <v>333</v>
      </c>
      <c r="U41" t="s">
        <v>768</v>
      </c>
      <c r="V41" t="s">
        <v>766</v>
      </c>
    </row>
    <row r="42" spans="1:22" hidden="1" x14ac:dyDescent="0.25">
      <c r="A42" s="1" t="s">
        <v>39</v>
      </c>
      <c r="B42" s="2" t="s">
        <v>248</v>
      </c>
      <c r="C42" s="3" t="str">
        <f t="shared" si="0"/>
        <v>towertopgirtsize</v>
      </c>
      <c r="D42" s="4">
        <f t="shared" si="1"/>
        <v>42</v>
      </c>
      <c r="E42" t="str">
        <f t="shared" si="2"/>
        <v>TowerTopGirtSize</v>
      </c>
      <c r="F42" s="4" t="str">
        <f t="shared" si="3"/>
        <v>YES</v>
      </c>
      <c r="G42" s="4" t="str">
        <f t="shared" si="4"/>
        <v>YES</v>
      </c>
      <c r="H42" s="4" t="str">
        <f t="shared" si="5"/>
        <v>YES</v>
      </c>
      <c r="I42" s="4" t="str">
        <f t="shared" si="6"/>
        <v>YES</v>
      </c>
      <c r="J42" t="s">
        <v>337</v>
      </c>
      <c r="N42" t="str">
        <f t="shared" si="7"/>
        <v>towertopgirttype</v>
      </c>
      <c r="O42" t="s">
        <v>335</v>
      </c>
      <c r="P42" t="s">
        <v>728</v>
      </c>
      <c r="Q42" t="s">
        <v>248</v>
      </c>
      <c r="S42" t="str">
        <f t="shared" si="8"/>
        <v>towertopgirttype</v>
      </c>
      <c r="T42" t="s">
        <v>335</v>
      </c>
      <c r="U42" t="s">
        <v>768</v>
      </c>
      <c r="V42" t="s">
        <v>766</v>
      </c>
    </row>
    <row r="43" spans="1:22" hidden="1" x14ac:dyDescent="0.25">
      <c r="A43" s="1" t="s">
        <v>40</v>
      </c>
      <c r="B43" s="2" t="s">
        <v>267</v>
      </c>
      <c r="C43" s="3" t="str">
        <f t="shared" si="0"/>
        <v>towerbotgirttype</v>
      </c>
      <c r="D43" s="4">
        <f t="shared" si="1"/>
        <v>43</v>
      </c>
      <c r="E43" t="str">
        <f t="shared" si="2"/>
        <v>TowerBotGirtType</v>
      </c>
      <c r="F43" s="4" t="str">
        <f t="shared" si="3"/>
        <v>YES</v>
      </c>
      <c r="G43" s="4" t="str">
        <f t="shared" si="4"/>
        <v>YES</v>
      </c>
      <c r="H43" s="4" t="str">
        <f t="shared" si="5"/>
        <v>YES</v>
      </c>
      <c r="I43" s="4" t="str">
        <f t="shared" si="6"/>
        <v>YES</v>
      </c>
      <c r="J43" t="s">
        <v>338</v>
      </c>
      <c r="N43" t="str">
        <f t="shared" si="7"/>
        <v>towertopgirtsize</v>
      </c>
      <c r="O43" t="s">
        <v>337</v>
      </c>
      <c r="P43" t="s">
        <v>726</v>
      </c>
      <c r="Q43" t="s">
        <v>248</v>
      </c>
      <c r="S43" t="str">
        <f t="shared" si="8"/>
        <v>towertopgirtsize</v>
      </c>
      <c r="T43" t="s">
        <v>337</v>
      </c>
      <c r="U43" t="s">
        <v>768</v>
      </c>
      <c r="V43" t="s">
        <v>766</v>
      </c>
    </row>
    <row r="44" spans="1:22" hidden="1" x14ac:dyDescent="0.25">
      <c r="A44" s="1" t="s">
        <v>41</v>
      </c>
      <c r="B44" s="2" t="s">
        <v>248</v>
      </c>
      <c r="C44" s="3" t="str">
        <f t="shared" si="0"/>
        <v>towerbotgirtsize</v>
      </c>
      <c r="D44" s="4">
        <f t="shared" si="1"/>
        <v>44</v>
      </c>
      <c r="E44" t="str">
        <f t="shared" si="2"/>
        <v>TowerBotGirtSize</v>
      </c>
      <c r="F44" s="4" t="str">
        <f t="shared" si="3"/>
        <v>YES</v>
      </c>
      <c r="G44" s="4" t="str">
        <f t="shared" si="4"/>
        <v>YES</v>
      </c>
      <c r="H44" s="4" t="str">
        <f t="shared" si="5"/>
        <v>YES</v>
      </c>
      <c r="I44" s="4" t="str">
        <f t="shared" si="6"/>
        <v>YES</v>
      </c>
      <c r="J44" t="s">
        <v>339</v>
      </c>
      <c r="N44" t="str">
        <f t="shared" si="7"/>
        <v>towerbotgirttype</v>
      </c>
      <c r="O44" t="s">
        <v>338</v>
      </c>
      <c r="P44" t="s">
        <v>728</v>
      </c>
      <c r="Q44" t="s">
        <v>248</v>
      </c>
      <c r="S44" t="str">
        <f t="shared" si="8"/>
        <v>towerbotgirttype</v>
      </c>
      <c r="T44" t="s">
        <v>338</v>
      </c>
      <c r="U44" t="s">
        <v>768</v>
      </c>
      <c r="V44" t="s">
        <v>766</v>
      </c>
    </row>
    <row r="45" spans="1:22" hidden="1" x14ac:dyDescent="0.25">
      <c r="A45" s="1" t="s">
        <v>42</v>
      </c>
      <c r="B45" s="2" t="s">
        <v>254</v>
      </c>
      <c r="C45" s="3" t="str">
        <f t="shared" si="0"/>
        <v>towernuminnergirts</v>
      </c>
      <c r="D45" s="4">
        <f t="shared" si="1"/>
        <v>45</v>
      </c>
      <c r="E45" t="str">
        <f t="shared" si="2"/>
        <v>TowerNumInnerGirts</v>
      </c>
      <c r="F45" s="4" t="str">
        <f t="shared" si="3"/>
        <v>YES</v>
      </c>
      <c r="G45" s="4" t="str">
        <f t="shared" si="4"/>
        <v>YES</v>
      </c>
      <c r="H45" s="4" t="str">
        <f t="shared" si="5"/>
        <v>YES</v>
      </c>
      <c r="I45" s="4" t="str">
        <f t="shared" si="6"/>
        <v>YES</v>
      </c>
      <c r="J45" t="s">
        <v>340</v>
      </c>
      <c r="N45" t="str">
        <f t="shared" si="7"/>
        <v>towerbotgirtsize</v>
      </c>
      <c r="O45" t="s">
        <v>339</v>
      </c>
      <c r="P45" t="s">
        <v>726</v>
      </c>
      <c r="Q45" t="s">
        <v>248</v>
      </c>
      <c r="S45" t="str">
        <f t="shared" si="8"/>
        <v>towerbotgirtsize</v>
      </c>
      <c r="T45" t="s">
        <v>339</v>
      </c>
      <c r="U45" t="s">
        <v>768</v>
      </c>
      <c r="V45" t="s">
        <v>766</v>
      </c>
    </row>
    <row r="46" spans="1:22" hidden="1" x14ac:dyDescent="0.25">
      <c r="A46" s="1" t="s">
        <v>43</v>
      </c>
      <c r="B46" s="2" t="s">
        <v>268</v>
      </c>
      <c r="C46" s="3" t="str">
        <f t="shared" si="0"/>
        <v>towerinnergirttype</v>
      </c>
      <c r="D46" s="4">
        <f t="shared" si="1"/>
        <v>46</v>
      </c>
      <c r="E46" t="str">
        <f t="shared" si="2"/>
        <v>TowerInnerGirtType</v>
      </c>
      <c r="F46" s="4" t="str">
        <f t="shared" si="3"/>
        <v>YES</v>
      </c>
      <c r="G46" s="4" t="str">
        <f t="shared" si="4"/>
        <v>YES</v>
      </c>
      <c r="H46" s="4" t="str">
        <f t="shared" si="5"/>
        <v>YES</v>
      </c>
      <c r="I46" s="4" t="str">
        <f t="shared" si="6"/>
        <v>YES</v>
      </c>
      <c r="J46" t="s">
        <v>341</v>
      </c>
      <c r="N46" t="str">
        <f t="shared" si="7"/>
        <v>towernuminnergirts</v>
      </c>
      <c r="O46" t="s">
        <v>340</v>
      </c>
      <c r="P46" t="s">
        <v>724</v>
      </c>
      <c r="Q46" t="s">
        <v>248</v>
      </c>
      <c r="S46" t="str">
        <f t="shared" si="8"/>
        <v>towernuminnergirts</v>
      </c>
      <c r="T46" t="s">
        <v>340</v>
      </c>
      <c r="U46" t="s">
        <v>768</v>
      </c>
      <c r="V46" t="s">
        <v>766</v>
      </c>
    </row>
    <row r="47" spans="1:22" hidden="1" x14ac:dyDescent="0.25">
      <c r="A47" s="1" t="s">
        <v>44</v>
      </c>
      <c r="B47" s="2" t="s">
        <v>248</v>
      </c>
      <c r="C47" s="3" t="str">
        <f t="shared" si="0"/>
        <v>towerinnergirtsize</v>
      </c>
      <c r="D47" s="4">
        <f t="shared" si="1"/>
        <v>47</v>
      </c>
      <c r="E47" t="str">
        <f t="shared" si="2"/>
        <v>TowerInnerGirtSize</v>
      </c>
      <c r="F47" s="4" t="str">
        <f t="shared" si="3"/>
        <v>YES</v>
      </c>
      <c r="G47" s="4" t="str">
        <f t="shared" si="4"/>
        <v>YES</v>
      </c>
      <c r="H47" s="4" t="str">
        <f t="shared" si="5"/>
        <v>YES</v>
      </c>
      <c r="I47" s="4" t="str">
        <f t="shared" si="6"/>
        <v>YES</v>
      </c>
      <c r="J47" t="s">
        <v>343</v>
      </c>
      <c r="N47" t="str">
        <f t="shared" si="7"/>
        <v>towerinnergirttype</v>
      </c>
      <c r="O47" t="s">
        <v>341</v>
      </c>
      <c r="P47" t="s">
        <v>728</v>
      </c>
      <c r="Q47" t="s">
        <v>248</v>
      </c>
      <c r="S47" t="str">
        <f t="shared" si="8"/>
        <v>towerinnergirttype</v>
      </c>
      <c r="T47" t="s">
        <v>341</v>
      </c>
      <c r="U47" t="s">
        <v>768</v>
      </c>
      <c r="V47" t="s">
        <v>766</v>
      </c>
    </row>
    <row r="48" spans="1:22" hidden="1" x14ac:dyDescent="0.25">
      <c r="A48" s="1" t="s">
        <v>45</v>
      </c>
      <c r="B48" s="2" t="s">
        <v>257</v>
      </c>
      <c r="C48" s="3" t="str">
        <f t="shared" si="0"/>
        <v>towerlonghorizontaltype</v>
      </c>
      <c r="D48" s="4">
        <f t="shared" si="1"/>
        <v>48</v>
      </c>
      <c r="E48" t="str">
        <f t="shared" si="2"/>
        <v>TowerLongHorizontalType</v>
      </c>
      <c r="F48" s="4" t="str">
        <f t="shared" si="3"/>
        <v>YES</v>
      </c>
      <c r="G48" s="4" t="str">
        <f t="shared" si="4"/>
        <v>YES</v>
      </c>
      <c r="H48" s="4" t="str">
        <f t="shared" si="5"/>
        <v>YES</v>
      </c>
      <c r="I48" s="4" t="str">
        <f t="shared" si="6"/>
        <v>YES</v>
      </c>
      <c r="J48" t="s">
        <v>344</v>
      </c>
      <c r="N48" t="str">
        <f t="shared" si="7"/>
        <v>towerinnergirtsize</v>
      </c>
      <c r="O48" t="s">
        <v>343</v>
      </c>
      <c r="P48" t="s">
        <v>726</v>
      </c>
      <c r="Q48" t="s">
        <v>248</v>
      </c>
      <c r="S48" t="str">
        <f t="shared" si="8"/>
        <v>towerinnergirtsize</v>
      </c>
      <c r="T48" t="s">
        <v>343</v>
      </c>
      <c r="U48" t="s">
        <v>768</v>
      </c>
      <c r="V48" t="s">
        <v>766</v>
      </c>
    </row>
    <row r="49" spans="1:22" hidden="1" x14ac:dyDescent="0.25">
      <c r="A49" s="1" t="s">
        <v>46</v>
      </c>
      <c r="B49" s="2" t="s">
        <v>269</v>
      </c>
      <c r="C49" s="3" t="str">
        <f t="shared" si="0"/>
        <v>towerlonghorizontalsize</v>
      </c>
      <c r="D49" s="4">
        <f t="shared" si="1"/>
        <v>49</v>
      </c>
      <c r="E49" t="str">
        <f t="shared" si="2"/>
        <v>TowerLongHorizontalSize</v>
      </c>
      <c r="F49" s="4" t="str">
        <f t="shared" si="3"/>
        <v>YES</v>
      </c>
      <c r="G49" s="4" t="str">
        <f t="shared" si="4"/>
        <v>YES</v>
      </c>
      <c r="H49" s="4" t="str">
        <f t="shared" si="5"/>
        <v>YES</v>
      </c>
      <c r="I49" s="4" t="str">
        <f t="shared" si="6"/>
        <v>YES</v>
      </c>
      <c r="J49" t="s">
        <v>345</v>
      </c>
      <c r="N49" t="str">
        <f t="shared" si="7"/>
        <v>towerlonghorizontaltype</v>
      </c>
      <c r="O49" t="s">
        <v>344</v>
      </c>
      <c r="P49" t="s">
        <v>728</v>
      </c>
      <c r="Q49" t="s">
        <v>248</v>
      </c>
      <c r="S49" t="str">
        <f t="shared" si="8"/>
        <v>towerlonghorizontaltype</v>
      </c>
      <c r="T49" t="s">
        <v>344</v>
      </c>
      <c r="U49" t="s">
        <v>768</v>
      </c>
      <c r="V49" t="s">
        <v>766</v>
      </c>
    </row>
    <row r="50" spans="1:22" hidden="1" x14ac:dyDescent="0.25">
      <c r="A50" s="1" t="s">
        <v>47</v>
      </c>
      <c r="B50" s="2" t="s">
        <v>268</v>
      </c>
      <c r="C50" s="3" t="str">
        <f t="shared" si="0"/>
        <v>towershorthorizontaltype</v>
      </c>
      <c r="D50" s="4">
        <f t="shared" si="1"/>
        <v>50</v>
      </c>
      <c r="E50" t="str">
        <f t="shared" si="2"/>
        <v>TowerShortHorizontalType</v>
      </c>
      <c r="F50" s="4" t="str">
        <f t="shared" si="3"/>
        <v>YES</v>
      </c>
      <c r="G50" s="4" t="str">
        <f t="shared" si="4"/>
        <v>YES</v>
      </c>
      <c r="H50" s="4" t="str">
        <f t="shared" si="5"/>
        <v>YES</v>
      </c>
      <c r="I50" s="4" t="str">
        <f t="shared" si="6"/>
        <v>YES</v>
      </c>
      <c r="J50" t="s">
        <v>347</v>
      </c>
      <c r="N50" t="str">
        <f t="shared" si="7"/>
        <v>towerlonghorizontalsize</v>
      </c>
      <c r="O50" t="s">
        <v>345</v>
      </c>
      <c r="P50" t="s">
        <v>726</v>
      </c>
      <c r="Q50" t="s">
        <v>248</v>
      </c>
      <c r="S50" t="str">
        <f t="shared" si="8"/>
        <v>towerlonghorizontalsize</v>
      </c>
      <c r="T50" t="s">
        <v>345</v>
      </c>
      <c r="U50" t="s">
        <v>768</v>
      </c>
      <c r="V50" t="s">
        <v>766</v>
      </c>
    </row>
    <row r="51" spans="1:22" hidden="1" x14ac:dyDescent="0.25">
      <c r="A51" s="1" t="s">
        <v>48</v>
      </c>
      <c r="B51" s="2" t="s">
        <v>248</v>
      </c>
      <c r="C51" s="3" t="str">
        <f t="shared" si="0"/>
        <v>towershorthorizontalsize</v>
      </c>
      <c r="D51" s="4">
        <f t="shared" si="1"/>
        <v>51</v>
      </c>
      <c r="E51" t="str">
        <f t="shared" si="2"/>
        <v>TowerShortHorizontalSize</v>
      </c>
      <c r="F51" s="4" t="str">
        <f t="shared" si="3"/>
        <v>YES</v>
      </c>
      <c r="G51" s="4" t="str">
        <f t="shared" si="4"/>
        <v>YES</v>
      </c>
      <c r="H51" s="4" t="str">
        <f t="shared" si="5"/>
        <v>YES</v>
      </c>
      <c r="I51" s="4" t="str">
        <f t="shared" si="6"/>
        <v>YES</v>
      </c>
      <c r="J51" t="s">
        <v>348</v>
      </c>
      <c r="N51" t="str">
        <f t="shared" si="7"/>
        <v>towershorthorizontaltype</v>
      </c>
      <c r="O51" t="s">
        <v>347</v>
      </c>
      <c r="P51" t="s">
        <v>728</v>
      </c>
      <c r="Q51" t="s">
        <v>248</v>
      </c>
      <c r="S51" t="str">
        <f t="shared" si="8"/>
        <v>towershorthorizontaltype</v>
      </c>
      <c r="T51" t="s">
        <v>347</v>
      </c>
      <c r="U51" t="s">
        <v>768</v>
      </c>
      <c r="V51" t="s">
        <v>766</v>
      </c>
    </row>
    <row r="52" spans="1:22" x14ac:dyDescent="0.25">
      <c r="A52" s="1" t="s">
        <v>49</v>
      </c>
      <c r="B52" s="2" t="s">
        <v>248</v>
      </c>
      <c r="C52" s="3" t="str">
        <f t="shared" si="0"/>
        <v>towerredundantgrade</v>
      </c>
      <c r="D52" s="4" t="e">
        <f t="shared" si="1"/>
        <v>#N/A</v>
      </c>
      <c r="E52" t="str">
        <f t="shared" si="2"/>
        <v>TowerRedundantHorizontalGrade</v>
      </c>
      <c r="F52" s="4" t="str">
        <f t="shared" si="3"/>
        <v>NO</v>
      </c>
      <c r="G52" s="4" t="str">
        <f t="shared" si="4"/>
        <v>NO</v>
      </c>
      <c r="H52" s="4" t="str">
        <f t="shared" si="5"/>
        <v>NO</v>
      </c>
      <c r="I52" s="4" t="str">
        <f t="shared" si="6"/>
        <v>NO</v>
      </c>
      <c r="J52" t="s">
        <v>349</v>
      </c>
      <c r="N52" t="str">
        <f t="shared" si="7"/>
        <v>towershorthorizontalsize</v>
      </c>
      <c r="O52" t="s">
        <v>348</v>
      </c>
      <c r="P52" t="s">
        <v>726</v>
      </c>
      <c r="Q52" t="s">
        <v>248</v>
      </c>
      <c r="S52" t="str">
        <f t="shared" si="8"/>
        <v>towershorthorizontalsize</v>
      </c>
      <c r="T52" t="s">
        <v>348</v>
      </c>
      <c r="U52" t="s">
        <v>768</v>
      </c>
      <c r="V52" t="s">
        <v>766</v>
      </c>
    </row>
    <row r="53" spans="1:22" x14ac:dyDescent="0.25">
      <c r="A53" s="1" t="s">
        <v>50</v>
      </c>
      <c r="B53" s="2" t="s">
        <v>248</v>
      </c>
      <c r="C53" s="3" t="str">
        <f t="shared" si="0"/>
        <v>towerredundantmatlgrade</v>
      </c>
      <c r="D53" s="4" t="e">
        <f t="shared" si="1"/>
        <v>#N/A</v>
      </c>
      <c r="E53" t="str">
        <f t="shared" si="2"/>
        <v>TowerRedundantHorizontalMatlGrade</v>
      </c>
      <c r="F53" s="4" t="str">
        <f t="shared" si="3"/>
        <v>NO</v>
      </c>
      <c r="G53" s="4" t="str">
        <f t="shared" si="4"/>
        <v>NO</v>
      </c>
      <c r="H53" s="4" t="str">
        <f t="shared" si="5"/>
        <v>NO</v>
      </c>
      <c r="I53" s="4" t="str">
        <f t="shared" si="6"/>
        <v>NO</v>
      </c>
      <c r="J53" t="s">
        <v>351</v>
      </c>
      <c r="N53" t="str">
        <f t="shared" si="7"/>
        <v>towerredundantgrade</v>
      </c>
      <c r="O53" t="s">
        <v>730</v>
      </c>
      <c r="P53" t="s">
        <v>727</v>
      </c>
      <c r="Q53" t="s">
        <v>723</v>
      </c>
      <c r="R53" t="s">
        <v>248</v>
      </c>
      <c r="S53" t="str">
        <f t="shared" si="8"/>
        <v>towerredundantgrade</v>
      </c>
      <c r="T53" t="s">
        <v>730</v>
      </c>
      <c r="U53" t="s">
        <v>768</v>
      </c>
      <c r="V53" t="s">
        <v>766</v>
      </c>
    </row>
    <row r="54" spans="1:22" x14ac:dyDescent="0.25">
      <c r="A54" s="1" t="s">
        <v>51</v>
      </c>
      <c r="B54" s="2" t="s">
        <v>248</v>
      </c>
      <c r="C54" s="3" t="str">
        <f t="shared" si="0"/>
        <v>towerredundanttype</v>
      </c>
      <c r="D54" s="4" t="e">
        <f t="shared" si="1"/>
        <v>#N/A</v>
      </c>
      <c r="E54" t="str">
        <f t="shared" si="2"/>
        <v>TowerRedundantHorizontalGrade2</v>
      </c>
      <c r="F54" s="4" t="str">
        <f t="shared" si="3"/>
        <v>NO</v>
      </c>
      <c r="G54" s="4" t="str">
        <f t="shared" si="4"/>
        <v>NO</v>
      </c>
      <c r="H54" s="4" t="str">
        <f t="shared" si="5"/>
        <v>NO</v>
      </c>
      <c r="I54" s="4" t="str">
        <f t="shared" si="6"/>
        <v>NO</v>
      </c>
      <c r="J54" t="s">
        <v>353</v>
      </c>
      <c r="N54" t="str">
        <f t="shared" si="7"/>
        <v>towerredundantmatlgrade</v>
      </c>
      <c r="O54" t="s">
        <v>731</v>
      </c>
      <c r="P54" t="s">
        <v>728</v>
      </c>
      <c r="Q54" t="s">
        <v>248</v>
      </c>
      <c r="S54" t="str">
        <f t="shared" si="8"/>
        <v>towerredundantmatlgrade</v>
      </c>
      <c r="T54" t="s">
        <v>731</v>
      </c>
      <c r="U54" t="s">
        <v>768</v>
      </c>
      <c r="V54" t="s">
        <v>766</v>
      </c>
    </row>
    <row r="55" spans="1:22" x14ac:dyDescent="0.25">
      <c r="A55" s="1" t="s">
        <v>52</v>
      </c>
      <c r="B55" s="2" t="s">
        <v>257</v>
      </c>
      <c r="C55" s="3" t="str">
        <f t="shared" si="0"/>
        <v>towerredundantdiagtype</v>
      </c>
      <c r="D55" s="4">
        <f t="shared" si="1"/>
        <v>94</v>
      </c>
      <c r="E55" t="str">
        <f t="shared" si="2"/>
        <v>TowerRedundantHorizontalMatlGrade2</v>
      </c>
      <c r="F55" s="4" t="str">
        <f t="shared" si="3"/>
        <v>NO</v>
      </c>
      <c r="G55" s="4" t="str">
        <f t="shared" si="4"/>
        <v>NO</v>
      </c>
      <c r="H55" s="4" t="str">
        <f t="shared" si="5"/>
        <v>NO</v>
      </c>
      <c r="I55" s="4" t="str">
        <f t="shared" si="6"/>
        <v>NO</v>
      </c>
      <c r="J55" t="s">
        <v>355</v>
      </c>
      <c r="N55" t="str">
        <f t="shared" si="7"/>
        <v>towerredundanttype</v>
      </c>
      <c r="O55" t="s">
        <v>732</v>
      </c>
      <c r="P55" t="s">
        <v>728</v>
      </c>
      <c r="Q55" t="s">
        <v>248</v>
      </c>
      <c r="S55" t="str">
        <f t="shared" si="8"/>
        <v>towerredundanttype</v>
      </c>
      <c r="T55" t="s">
        <v>732</v>
      </c>
      <c r="U55" t="s">
        <v>768</v>
      </c>
      <c r="V55" t="s">
        <v>766</v>
      </c>
    </row>
    <row r="56" spans="1:22" x14ac:dyDescent="0.25">
      <c r="A56" s="1" t="s">
        <v>53</v>
      </c>
      <c r="B56" s="2" t="s">
        <v>270</v>
      </c>
      <c r="C56" s="3" t="str">
        <f t="shared" si="0"/>
        <v>towerredundantsubdiagonaltype</v>
      </c>
      <c r="D56" s="4">
        <f t="shared" si="1"/>
        <v>98</v>
      </c>
      <c r="E56" t="str">
        <f t="shared" si="2"/>
        <v>TowerRedundantHorizontalGrade3</v>
      </c>
      <c r="F56" s="4" t="str">
        <f t="shared" si="3"/>
        <v>NO</v>
      </c>
      <c r="G56" s="4" t="str">
        <f t="shared" si="4"/>
        <v>NO</v>
      </c>
      <c r="H56" s="4" t="str">
        <f t="shared" si="5"/>
        <v>NO</v>
      </c>
      <c r="I56" s="4" t="str">
        <f t="shared" si="6"/>
        <v>NO</v>
      </c>
      <c r="J56" t="s">
        <v>357</v>
      </c>
      <c r="N56" t="str">
        <f t="shared" si="7"/>
        <v>towerredundantdiagtype</v>
      </c>
      <c r="O56" t="s">
        <v>429</v>
      </c>
      <c r="P56" t="s">
        <v>728</v>
      </c>
      <c r="Q56" t="s">
        <v>248</v>
      </c>
      <c r="S56" t="str">
        <f t="shared" si="8"/>
        <v>towerredundantdiagtype</v>
      </c>
      <c r="T56" t="s">
        <v>429</v>
      </c>
      <c r="U56" t="s">
        <v>768</v>
      </c>
      <c r="V56" t="s">
        <v>766</v>
      </c>
    </row>
    <row r="57" spans="1:22" x14ac:dyDescent="0.25">
      <c r="A57" s="1" t="s">
        <v>54</v>
      </c>
      <c r="B57" s="2" t="s">
        <v>257</v>
      </c>
      <c r="C57" s="3" t="str">
        <f t="shared" si="0"/>
        <v>towerredundantsubhorizontaltype</v>
      </c>
      <c r="D57" s="4">
        <f t="shared" si="1"/>
        <v>99</v>
      </c>
      <c r="E57" t="str">
        <f t="shared" si="2"/>
        <v>TowerRedundantHorizontalMatlGrade3</v>
      </c>
      <c r="F57" s="4" t="str">
        <f t="shared" si="3"/>
        <v>NO</v>
      </c>
      <c r="G57" s="4" t="str">
        <f t="shared" si="4"/>
        <v>NO</v>
      </c>
      <c r="H57" s="4" t="str">
        <f t="shared" si="5"/>
        <v>NO</v>
      </c>
      <c r="I57" s="4" t="str">
        <f t="shared" si="6"/>
        <v>NO</v>
      </c>
      <c r="J57" t="s">
        <v>359</v>
      </c>
      <c r="N57" t="str">
        <f t="shared" si="7"/>
        <v>towerredundantsubdiagonaltype</v>
      </c>
      <c r="O57" t="s">
        <v>433</v>
      </c>
      <c r="P57" t="s">
        <v>728</v>
      </c>
      <c r="Q57" t="s">
        <v>248</v>
      </c>
      <c r="S57" t="str">
        <f t="shared" si="8"/>
        <v>towerredundantsubdiagonaltype</v>
      </c>
      <c r="T57" t="s">
        <v>433</v>
      </c>
      <c r="U57" t="s">
        <v>768</v>
      </c>
      <c r="V57" t="s">
        <v>766</v>
      </c>
    </row>
    <row r="58" spans="1:22" x14ac:dyDescent="0.25">
      <c r="A58" s="1" t="s">
        <v>55</v>
      </c>
      <c r="B58" s="2" t="s">
        <v>270</v>
      </c>
      <c r="C58" s="3" t="str">
        <f t="shared" si="0"/>
        <v>towerredundantverticaltype</v>
      </c>
      <c r="D58" s="4">
        <f t="shared" si="1"/>
        <v>100</v>
      </c>
      <c r="E58" t="str">
        <f t="shared" si="2"/>
        <v>TowerRedundantHorizontalGrade4</v>
      </c>
      <c r="F58" s="4" t="str">
        <f t="shared" si="3"/>
        <v>NO</v>
      </c>
      <c r="G58" s="4" t="str">
        <f t="shared" si="4"/>
        <v>NO</v>
      </c>
      <c r="H58" s="4" t="str">
        <f t="shared" si="5"/>
        <v>NO</v>
      </c>
      <c r="I58" s="4" t="str">
        <f t="shared" si="6"/>
        <v>NO</v>
      </c>
      <c r="J58" t="s">
        <v>361</v>
      </c>
      <c r="N58" t="str">
        <f t="shared" si="7"/>
        <v>towerredundantsubhorizontaltype</v>
      </c>
      <c r="O58" t="s">
        <v>435</v>
      </c>
      <c r="P58" t="s">
        <v>728</v>
      </c>
      <c r="Q58" t="s">
        <v>248</v>
      </c>
      <c r="S58" t="str">
        <f t="shared" si="8"/>
        <v>towerredundantsubhorizontaltype</v>
      </c>
      <c r="T58" t="s">
        <v>435</v>
      </c>
      <c r="U58" t="s">
        <v>768</v>
      </c>
      <c r="V58" t="s">
        <v>766</v>
      </c>
    </row>
    <row r="59" spans="1:22" x14ac:dyDescent="0.25">
      <c r="A59" s="1" t="s">
        <v>56</v>
      </c>
      <c r="B59" s="2" t="s">
        <v>257</v>
      </c>
      <c r="C59" s="3" t="str">
        <f t="shared" si="0"/>
        <v>towerredundanthiptype</v>
      </c>
      <c r="D59" s="4">
        <f t="shared" si="1"/>
        <v>101</v>
      </c>
      <c r="E59" t="str">
        <f t="shared" si="2"/>
        <v>TowerRedundantHorizontalMatlGrade4</v>
      </c>
      <c r="F59" s="4" t="str">
        <f t="shared" si="3"/>
        <v>NO</v>
      </c>
      <c r="G59" s="4" t="str">
        <f t="shared" si="4"/>
        <v>NO</v>
      </c>
      <c r="H59" s="4" t="str">
        <f t="shared" si="5"/>
        <v>NO</v>
      </c>
      <c r="I59" s="4" t="str">
        <f t="shared" si="6"/>
        <v>NO</v>
      </c>
      <c r="J59" t="s">
        <v>363</v>
      </c>
      <c r="N59" t="str">
        <f t="shared" si="7"/>
        <v>towerredundantverticaltype</v>
      </c>
      <c r="O59" t="s">
        <v>436</v>
      </c>
      <c r="P59" t="s">
        <v>728</v>
      </c>
      <c r="Q59" t="s">
        <v>248</v>
      </c>
      <c r="S59" t="str">
        <f t="shared" si="8"/>
        <v>towerredundantverticaltype</v>
      </c>
      <c r="T59" t="s">
        <v>436</v>
      </c>
      <c r="U59" t="s">
        <v>768</v>
      </c>
      <c r="V59" t="s">
        <v>766</v>
      </c>
    </row>
    <row r="60" spans="1:22" x14ac:dyDescent="0.25">
      <c r="A60" s="1" t="s">
        <v>57</v>
      </c>
      <c r="B60" s="2" t="s">
        <v>257</v>
      </c>
      <c r="C60" s="3" t="str">
        <f t="shared" si="0"/>
        <v>towerredundanthipdiagonaltype</v>
      </c>
      <c r="D60" s="4">
        <f t="shared" si="1"/>
        <v>105</v>
      </c>
      <c r="E60" t="str">
        <f t="shared" si="2"/>
        <v>TowerRedundantDiagonalGrade</v>
      </c>
      <c r="F60" s="4" t="str">
        <f t="shared" si="3"/>
        <v>NO</v>
      </c>
      <c r="G60" s="4" t="str">
        <f t="shared" si="4"/>
        <v>NO</v>
      </c>
      <c r="H60" s="4" t="str">
        <f t="shared" si="5"/>
        <v>NO</v>
      </c>
      <c r="I60" s="4" t="str">
        <f t="shared" si="6"/>
        <v>NO</v>
      </c>
      <c r="J60" t="s">
        <v>365</v>
      </c>
      <c r="N60" t="str">
        <f t="shared" si="7"/>
        <v>towerredundanthiptype</v>
      </c>
      <c r="O60" t="s">
        <v>437</v>
      </c>
      <c r="P60" t="s">
        <v>728</v>
      </c>
      <c r="Q60" t="s">
        <v>248</v>
      </c>
      <c r="S60" t="str">
        <f t="shared" si="8"/>
        <v>towerredundanthiptype</v>
      </c>
      <c r="T60" t="s">
        <v>437</v>
      </c>
      <c r="U60" t="s">
        <v>768</v>
      </c>
      <c r="V60" t="s">
        <v>766</v>
      </c>
    </row>
    <row r="61" spans="1:22" x14ac:dyDescent="0.25">
      <c r="A61" s="1" t="s">
        <v>58</v>
      </c>
      <c r="B61" s="2" t="s">
        <v>271</v>
      </c>
      <c r="C61" s="3" t="str">
        <f t="shared" si="0"/>
        <v>towerredundanthorizontalsize</v>
      </c>
      <c r="D61" s="4">
        <f t="shared" si="1"/>
        <v>109</v>
      </c>
      <c r="E61" t="str">
        <f t="shared" si="2"/>
        <v>TowerRedundantDiagonalMatlGrade</v>
      </c>
      <c r="F61" s="4" t="str">
        <f t="shared" si="3"/>
        <v>NO</v>
      </c>
      <c r="G61" s="4" t="str">
        <f t="shared" si="4"/>
        <v>NO</v>
      </c>
      <c r="H61" s="4" t="str">
        <f t="shared" si="5"/>
        <v>NO</v>
      </c>
      <c r="I61" s="4" t="str">
        <f t="shared" si="6"/>
        <v>NO</v>
      </c>
      <c r="J61" t="s">
        <v>367</v>
      </c>
      <c r="N61" t="str">
        <f t="shared" si="7"/>
        <v>towerredundanthipdiagonaltype</v>
      </c>
      <c r="O61" t="s">
        <v>441</v>
      </c>
      <c r="P61" t="s">
        <v>728</v>
      </c>
      <c r="Q61" t="s">
        <v>248</v>
      </c>
      <c r="S61" t="str">
        <f t="shared" si="8"/>
        <v>towerredundanthipdiagonaltype</v>
      </c>
      <c r="T61" t="s">
        <v>441</v>
      </c>
      <c r="U61" t="s">
        <v>768</v>
      </c>
      <c r="V61" t="s">
        <v>766</v>
      </c>
    </row>
    <row r="62" spans="1:22" x14ac:dyDescent="0.25">
      <c r="A62" s="1" t="s">
        <v>59</v>
      </c>
      <c r="B62" s="2" t="s">
        <v>248</v>
      </c>
      <c r="C62" s="3" t="str">
        <f t="shared" si="0"/>
        <v>towerredundanthorizontalsize2</v>
      </c>
      <c r="D62" s="4">
        <f t="shared" si="1"/>
        <v>110</v>
      </c>
      <c r="E62" t="str">
        <f t="shared" si="2"/>
        <v>TowerRedundantDiagonalGrade2</v>
      </c>
      <c r="F62" s="4" t="str">
        <f t="shared" si="3"/>
        <v>NO</v>
      </c>
      <c r="G62" s="4" t="str">
        <f t="shared" si="4"/>
        <v>NO</v>
      </c>
      <c r="H62" s="4" t="str">
        <f t="shared" si="5"/>
        <v>NO</v>
      </c>
      <c r="I62" s="4" t="str">
        <f t="shared" si="6"/>
        <v>NO</v>
      </c>
      <c r="J62" t="s">
        <v>369</v>
      </c>
      <c r="N62" t="str">
        <f t="shared" si="7"/>
        <v>towerredundanthorizontalsize</v>
      </c>
      <c r="O62" t="s">
        <v>445</v>
      </c>
      <c r="P62" t="s">
        <v>726</v>
      </c>
      <c r="Q62" t="s">
        <v>248</v>
      </c>
      <c r="S62" t="str">
        <f t="shared" si="8"/>
        <v>towerredundanthorizontalsize</v>
      </c>
      <c r="T62" t="s">
        <v>445</v>
      </c>
      <c r="U62" t="s">
        <v>768</v>
      </c>
      <c r="V62" t="s">
        <v>766</v>
      </c>
    </row>
    <row r="63" spans="1:22" x14ac:dyDescent="0.25">
      <c r="A63" s="1" t="s">
        <v>60</v>
      </c>
      <c r="B63" s="2" t="s">
        <v>248</v>
      </c>
      <c r="C63" s="3" t="str">
        <f t="shared" si="0"/>
        <v>towerredundanthorizontalsize3</v>
      </c>
      <c r="D63" s="4">
        <f t="shared" si="1"/>
        <v>111</v>
      </c>
      <c r="E63" t="str">
        <f t="shared" si="2"/>
        <v>TowerRedundantDiagonalMatlGrade2</v>
      </c>
      <c r="F63" s="4" t="str">
        <f t="shared" si="3"/>
        <v>NO</v>
      </c>
      <c r="G63" s="4" t="str">
        <f t="shared" si="4"/>
        <v>NO</v>
      </c>
      <c r="H63" s="4" t="str">
        <f t="shared" si="5"/>
        <v>NO</v>
      </c>
      <c r="I63" s="4" t="str">
        <f t="shared" si="6"/>
        <v>NO</v>
      </c>
      <c r="J63" t="s">
        <v>371</v>
      </c>
      <c r="N63" t="str">
        <f t="shared" si="7"/>
        <v>towerredundanthorizontalsize2</v>
      </c>
      <c r="O63" t="s">
        <v>447</v>
      </c>
      <c r="P63" t="s">
        <v>726</v>
      </c>
      <c r="Q63" t="s">
        <v>248</v>
      </c>
      <c r="S63" t="str">
        <f t="shared" si="8"/>
        <v>towerredundanthorizontalsize2</v>
      </c>
      <c r="T63" t="s">
        <v>447</v>
      </c>
      <c r="U63" t="s">
        <v>768</v>
      </c>
      <c r="V63" t="s">
        <v>766</v>
      </c>
    </row>
    <row r="64" spans="1:22" x14ac:dyDescent="0.25">
      <c r="A64" s="1" t="s">
        <v>61</v>
      </c>
      <c r="B64" s="2" t="s">
        <v>248</v>
      </c>
      <c r="C64" s="3" t="str">
        <f t="shared" si="0"/>
        <v>towerredundanthorizontalsize4</v>
      </c>
      <c r="D64" s="4">
        <f t="shared" si="1"/>
        <v>112</v>
      </c>
      <c r="E64" t="str">
        <f t="shared" si="2"/>
        <v>TowerRedundantDiagonalGrade3</v>
      </c>
      <c r="F64" s="4" t="str">
        <f t="shared" si="3"/>
        <v>NO</v>
      </c>
      <c r="G64" s="4" t="str">
        <f t="shared" si="4"/>
        <v>NO</v>
      </c>
      <c r="H64" s="4" t="str">
        <f t="shared" si="5"/>
        <v>NO</v>
      </c>
      <c r="I64" s="4" t="str">
        <f t="shared" si="6"/>
        <v>NO</v>
      </c>
      <c r="J64" t="s">
        <v>373</v>
      </c>
      <c r="N64" t="str">
        <f t="shared" si="7"/>
        <v>towerredundanthorizontalsize3</v>
      </c>
      <c r="O64" t="s">
        <v>448</v>
      </c>
      <c r="P64" t="s">
        <v>726</v>
      </c>
      <c r="Q64" t="s">
        <v>248</v>
      </c>
      <c r="S64" t="str">
        <f t="shared" si="8"/>
        <v>towerredundanthorizontalsize3</v>
      </c>
      <c r="T64" t="s">
        <v>448</v>
      </c>
      <c r="U64" t="s">
        <v>768</v>
      </c>
      <c r="V64" t="s">
        <v>766</v>
      </c>
    </row>
    <row r="65" spans="1:22" x14ac:dyDescent="0.25">
      <c r="A65" s="1" t="s">
        <v>62</v>
      </c>
      <c r="B65" s="2" t="s">
        <v>266</v>
      </c>
      <c r="C65" s="3" t="str">
        <f t="shared" si="0"/>
        <v>towerredundantdiagonalsize</v>
      </c>
      <c r="D65" s="4">
        <f t="shared" si="1"/>
        <v>113</v>
      </c>
      <c r="E65" t="str">
        <f t="shared" si="2"/>
        <v>TowerRedundantDiagonalMatlGrade3</v>
      </c>
      <c r="F65" s="4" t="str">
        <f t="shared" si="3"/>
        <v>NO</v>
      </c>
      <c r="G65" s="4" t="str">
        <f t="shared" si="4"/>
        <v>NO</v>
      </c>
      <c r="H65" s="4" t="str">
        <f t="shared" si="5"/>
        <v>NO</v>
      </c>
      <c r="I65" s="4" t="str">
        <f t="shared" si="6"/>
        <v>NO</v>
      </c>
      <c r="J65" t="s">
        <v>375</v>
      </c>
      <c r="N65" t="str">
        <f t="shared" si="7"/>
        <v>towerredundanthorizontalsize4</v>
      </c>
      <c r="O65" t="s">
        <v>449</v>
      </c>
      <c r="P65" t="s">
        <v>726</v>
      </c>
      <c r="Q65" t="s">
        <v>248</v>
      </c>
      <c r="S65" t="str">
        <f t="shared" si="8"/>
        <v>towerredundanthorizontalsize4</v>
      </c>
      <c r="T65" t="s">
        <v>449</v>
      </c>
      <c r="U65" t="s">
        <v>768</v>
      </c>
      <c r="V65" t="s">
        <v>766</v>
      </c>
    </row>
    <row r="66" spans="1:22" x14ac:dyDescent="0.25">
      <c r="A66" s="1" t="s">
        <v>63</v>
      </c>
      <c r="B66" s="2" t="s">
        <v>248</v>
      </c>
      <c r="C66" s="3" t="str">
        <f t="shared" si="0"/>
        <v>towerredundantdiagonalsize2</v>
      </c>
      <c r="D66" s="4">
        <f t="shared" si="1"/>
        <v>114</v>
      </c>
      <c r="E66" t="str">
        <f t="shared" si="2"/>
        <v>TowerRedundantDiagonalGrade4</v>
      </c>
      <c r="F66" s="4" t="str">
        <f t="shared" si="3"/>
        <v>NO</v>
      </c>
      <c r="G66" s="4" t="str">
        <f t="shared" si="4"/>
        <v>NO</v>
      </c>
      <c r="H66" s="4" t="str">
        <f t="shared" si="5"/>
        <v>NO</v>
      </c>
      <c r="I66" s="4" t="str">
        <f t="shared" si="6"/>
        <v>NO</v>
      </c>
      <c r="J66" t="s">
        <v>377</v>
      </c>
      <c r="N66" t="str">
        <f t="shared" si="7"/>
        <v>towerredundantdiagonalsize</v>
      </c>
      <c r="O66" t="s">
        <v>450</v>
      </c>
      <c r="P66" t="s">
        <v>726</v>
      </c>
      <c r="Q66" t="s">
        <v>248</v>
      </c>
      <c r="S66" t="str">
        <f t="shared" si="8"/>
        <v>towerredundantdiagonalsize</v>
      </c>
      <c r="T66" t="s">
        <v>450</v>
      </c>
      <c r="U66" t="s">
        <v>768</v>
      </c>
      <c r="V66" t="s">
        <v>766</v>
      </c>
    </row>
    <row r="67" spans="1:22" x14ac:dyDescent="0.25">
      <c r="A67" s="1" t="s">
        <v>64</v>
      </c>
      <c r="B67" s="2" t="s">
        <v>248</v>
      </c>
      <c r="C67" s="3" t="str">
        <f t="shared" si="0"/>
        <v>towerredundantdiagonalsize3</v>
      </c>
      <c r="D67" s="4">
        <f t="shared" si="1"/>
        <v>115</v>
      </c>
      <c r="E67" t="str">
        <f t="shared" si="2"/>
        <v>TowerRedundantDiagonalMatlGrade4</v>
      </c>
      <c r="F67" s="4" t="str">
        <f t="shared" si="3"/>
        <v>NO</v>
      </c>
      <c r="G67" s="4" t="str">
        <f t="shared" si="4"/>
        <v>NO</v>
      </c>
      <c r="H67" s="4" t="str">
        <f t="shared" si="5"/>
        <v>NO</v>
      </c>
      <c r="I67" s="4" t="str">
        <f t="shared" si="6"/>
        <v>NO</v>
      </c>
      <c r="J67" t="s">
        <v>379</v>
      </c>
      <c r="N67" t="str">
        <f t="shared" si="7"/>
        <v>towerredundantdiagonalsize2</v>
      </c>
      <c r="O67" t="s">
        <v>451</v>
      </c>
      <c r="P67" t="s">
        <v>726</v>
      </c>
      <c r="Q67" t="s">
        <v>248</v>
      </c>
      <c r="S67" t="str">
        <f t="shared" si="8"/>
        <v>towerredundantdiagonalsize2</v>
      </c>
      <c r="T67" t="s">
        <v>451</v>
      </c>
      <c r="U67" t="s">
        <v>768</v>
      </c>
      <c r="V67" t="s">
        <v>766</v>
      </c>
    </row>
    <row r="68" spans="1:22" x14ac:dyDescent="0.25">
      <c r="A68" s="1" t="s">
        <v>65</v>
      </c>
      <c r="B68" s="2" t="s">
        <v>248</v>
      </c>
      <c r="C68" s="3" t="str">
        <f t="shared" si="0"/>
        <v>towerredundantdiagonalsize4</v>
      </c>
      <c r="D68" s="4">
        <f t="shared" si="1"/>
        <v>116</v>
      </c>
      <c r="E68" t="str">
        <f t="shared" si="2"/>
        <v>TowerRedundantSubHorizontalGrade</v>
      </c>
      <c r="F68" s="4" t="str">
        <f t="shared" si="3"/>
        <v>NO</v>
      </c>
      <c r="G68" s="4" t="str">
        <f t="shared" si="4"/>
        <v>NO</v>
      </c>
      <c r="H68" s="4" t="str">
        <f t="shared" si="5"/>
        <v>NO</v>
      </c>
      <c r="I68" s="4" t="str">
        <f t="shared" si="6"/>
        <v>NO</v>
      </c>
      <c r="J68" t="s">
        <v>381</v>
      </c>
      <c r="N68" t="str">
        <f t="shared" si="7"/>
        <v>towerredundantdiagonalsize3</v>
      </c>
      <c r="O68" t="s">
        <v>452</v>
      </c>
      <c r="P68" t="s">
        <v>726</v>
      </c>
      <c r="Q68" t="s">
        <v>248</v>
      </c>
      <c r="S68" t="str">
        <f t="shared" si="8"/>
        <v>towerredundantdiagonalsize3</v>
      </c>
      <c r="T68" t="s">
        <v>452</v>
      </c>
      <c r="U68" t="s">
        <v>768</v>
      </c>
      <c r="V68" t="s">
        <v>766</v>
      </c>
    </row>
    <row r="69" spans="1:22" x14ac:dyDescent="0.25">
      <c r="A69" s="1" t="s">
        <v>66</v>
      </c>
      <c r="B69" s="2" t="s">
        <v>248</v>
      </c>
      <c r="C69" s="3" t="str">
        <f t="shared" ref="C69:C132" si="9">TRIM(SUBSTITUTE(A69,",",""))</f>
        <v>towerredundantsubhorizontalsize</v>
      </c>
      <c r="D69" s="4">
        <f t="shared" ref="D69:D132" si="10">MATCH(C69,E:E,0)</f>
        <v>117</v>
      </c>
      <c r="E69" t="str">
        <f t="shared" ref="E69:E132" si="11">(J69)</f>
        <v>TowerRedundantSubHorizontalMatlGrade</v>
      </c>
      <c r="F69" s="4" t="str">
        <f t="shared" ref="F69:F132" si="12">IFERROR(IF(MATCH(E69,C:C,0)&gt;0,"YES"),"NO")</f>
        <v>NO</v>
      </c>
      <c r="G69" s="4" t="str">
        <f t="shared" ref="G69:G132" si="13">IFERROR(IF(MATCH(E69,N:N,0)&gt;0,"YES"),"NO")</f>
        <v>NO</v>
      </c>
      <c r="H69" s="4" t="str">
        <f t="shared" ref="H69:H132" si="14">IFERROR(IF(MATCH(E69,S:S,0)&gt;0,"YES"),"NO")</f>
        <v>NO</v>
      </c>
      <c r="I69" s="4" t="str">
        <f t="shared" ref="I69:I132" si="15">IF(OR(F69="NO",G69="NO"),"NO","YES")</f>
        <v>NO</v>
      </c>
      <c r="J69" t="s">
        <v>383</v>
      </c>
      <c r="N69" t="str">
        <f t="shared" ref="N69:N132" si="16">TRIM(LOWER(O69))</f>
        <v>towerredundantdiagonalsize4</v>
      </c>
      <c r="O69" t="s">
        <v>453</v>
      </c>
      <c r="P69" t="s">
        <v>726</v>
      </c>
      <c r="Q69" t="s">
        <v>248</v>
      </c>
      <c r="S69" t="str">
        <f t="shared" ref="S69:S132" si="17">TRIM(LOWER(T69))</f>
        <v>towerredundantdiagonalsize4</v>
      </c>
      <c r="T69" t="s">
        <v>453</v>
      </c>
      <c r="U69" t="s">
        <v>768</v>
      </c>
      <c r="V69" t="s">
        <v>766</v>
      </c>
    </row>
    <row r="70" spans="1:22" x14ac:dyDescent="0.25">
      <c r="A70" s="1" t="s">
        <v>67</v>
      </c>
      <c r="B70" s="2" t="s">
        <v>248</v>
      </c>
      <c r="C70" s="3" t="str">
        <f t="shared" si="9"/>
        <v>towerredundantsubdiagonalsize</v>
      </c>
      <c r="D70" s="4">
        <f t="shared" si="10"/>
        <v>118</v>
      </c>
      <c r="E70" t="str">
        <f t="shared" si="11"/>
        <v>TowerRedundantSubDiagonalGrade</v>
      </c>
      <c r="F70" s="4" t="str">
        <f t="shared" si="12"/>
        <v>NO</v>
      </c>
      <c r="G70" s="4" t="str">
        <f t="shared" si="13"/>
        <v>NO</v>
      </c>
      <c r="H70" s="4" t="str">
        <f t="shared" si="14"/>
        <v>NO</v>
      </c>
      <c r="I70" s="4" t="str">
        <f t="shared" si="15"/>
        <v>NO</v>
      </c>
      <c r="J70" t="s">
        <v>385</v>
      </c>
      <c r="N70" t="str">
        <f t="shared" si="16"/>
        <v>towerredundantsubhorizontalsize</v>
      </c>
      <c r="O70" t="s">
        <v>454</v>
      </c>
      <c r="P70" t="s">
        <v>726</v>
      </c>
      <c r="Q70" t="s">
        <v>248</v>
      </c>
      <c r="S70" t="str">
        <f t="shared" si="17"/>
        <v>towerredundantsubhorizontalsize</v>
      </c>
      <c r="T70" t="s">
        <v>454</v>
      </c>
      <c r="U70" t="s">
        <v>768</v>
      </c>
      <c r="V70" t="s">
        <v>766</v>
      </c>
    </row>
    <row r="71" spans="1:22" x14ac:dyDescent="0.25">
      <c r="A71" s="1" t="s">
        <v>68</v>
      </c>
      <c r="B71" s="2" t="s">
        <v>272</v>
      </c>
      <c r="C71" s="3" t="str">
        <f t="shared" si="9"/>
        <v>towersubdiaglocation</v>
      </c>
      <c r="D71" s="4">
        <f t="shared" si="10"/>
        <v>119</v>
      </c>
      <c r="E71" t="str">
        <f t="shared" si="11"/>
        <v>TowerRedundantSubDiagonalMatlGrade</v>
      </c>
      <c r="F71" s="4" t="str">
        <f t="shared" si="12"/>
        <v>NO</v>
      </c>
      <c r="G71" s="4" t="str">
        <f t="shared" si="13"/>
        <v>NO</v>
      </c>
      <c r="H71" s="4" t="str">
        <f t="shared" si="14"/>
        <v>NO</v>
      </c>
      <c r="I71" s="4" t="str">
        <f t="shared" si="15"/>
        <v>NO</v>
      </c>
      <c r="J71" t="s">
        <v>387</v>
      </c>
      <c r="N71" t="str">
        <f t="shared" si="16"/>
        <v>towerredundantsubdiagonalsize</v>
      </c>
      <c r="O71" t="s">
        <v>455</v>
      </c>
      <c r="P71" t="s">
        <v>726</v>
      </c>
      <c r="Q71" t="s">
        <v>248</v>
      </c>
      <c r="S71" t="str">
        <f t="shared" si="17"/>
        <v>towerredundantsubdiagonalsize</v>
      </c>
      <c r="T71" t="s">
        <v>455</v>
      </c>
      <c r="U71" t="s">
        <v>768</v>
      </c>
      <c r="V71" t="s">
        <v>766</v>
      </c>
    </row>
    <row r="72" spans="1:22" x14ac:dyDescent="0.25">
      <c r="A72" s="1" t="s">
        <v>69</v>
      </c>
      <c r="B72" s="2" t="s">
        <v>248</v>
      </c>
      <c r="C72" s="3" t="str">
        <f t="shared" si="9"/>
        <v>towerredundantverticalsize</v>
      </c>
      <c r="D72" s="4">
        <f t="shared" si="10"/>
        <v>120</v>
      </c>
      <c r="E72" t="str">
        <f t="shared" si="11"/>
        <v>TowerRedundantVerticalGrade</v>
      </c>
      <c r="F72" s="4" t="str">
        <f t="shared" si="12"/>
        <v>NO</v>
      </c>
      <c r="G72" s="4" t="str">
        <f t="shared" si="13"/>
        <v>NO</v>
      </c>
      <c r="H72" s="4" t="str">
        <f t="shared" si="14"/>
        <v>NO</v>
      </c>
      <c r="I72" s="4" t="str">
        <f t="shared" si="15"/>
        <v>NO</v>
      </c>
      <c r="J72" t="s">
        <v>389</v>
      </c>
      <c r="N72" t="str">
        <f t="shared" si="16"/>
        <v>towersubdiaglocation</v>
      </c>
      <c r="O72" t="s">
        <v>456</v>
      </c>
      <c r="P72" t="s">
        <v>727</v>
      </c>
      <c r="Q72" t="s">
        <v>723</v>
      </c>
      <c r="R72" t="s">
        <v>248</v>
      </c>
      <c r="S72" t="str">
        <f t="shared" si="17"/>
        <v>towersubdiaglocation</v>
      </c>
      <c r="T72" t="s">
        <v>456</v>
      </c>
      <c r="U72" t="s">
        <v>768</v>
      </c>
      <c r="V72" t="s">
        <v>766</v>
      </c>
    </row>
    <row r="73" spans="1:22" x14ac:dyDescent="0.25">
      <c r="A73" s="1" t="s">
        <v>70</v>
      </c>
      <c r="B73" s="2" t="s">
        <v>271</v>
      </c>
      <c r="C73" s="3" t="str">
        <f t="shared" si="9"/>
        <v>towerredundanthipsize</v>
      </c>
      <c r="D73" s="4">
        <f t="shared" si="10"/>
        <v>121</v>
      </c>
      <c r="E73" t="str">
        <f t="shared" si="11"/>
        <v>TowerRedundantVerticalMatlGrade3</v>
      </c>
      <c r="F73" s="4" t="str">
        <f t="shared" si="12"/>
        <v>NO</v>
      </c>
      <c r="G73" s="4" t="str">
        <f t="shared" si="13"/>
        <v>NO</v>
      </c>
      <c r="H73" s="4" t="str">
        <f t="shared" si="14"/>
        <v>NO</v>
      </c>
      <c r="I73" s="4" t="str">
        <f t="shared" si="15"/>
        <v>NO</v>
      </c>
      <c r="J73" t="s">
        <v>391</v>
      </c>
      <c r="N73" t="str">
        <f t="shared" si="16"/>
        <v>towerredundantverticalsize</v>
      </c>
      <c r="O73" t="s">
        <v>457</v>
      </c>
      <c r="P73" t="s">
        <v>726</v>
      </c>
      <c r="Q73" t="s">
        <v>248</v>
      </c>
      <c r="S73" t="str">
        <f t="shared" si="17"/>
        <v>towerredundantverticalsize</v>
      </c>
      <c r="T73" t="s">
        <v>457</v>
      </c>
      <c r="U73" t="s">
        <v>768</v>
      </c>
      <c r="V73" t="s">
        <v>766</v>
      </c>
    </row>
    <row r="74" spans="1:22" x14ac:dyDescent="0.25">
      <c r="A74" s="1" t="s">
        <v>71</v>
      </c>
      <c r="B74" s="2" t="s">
        <v>248</v>
      </c>
      <c r="C74" s="3" t="str">
        <f t="shared" si="9"/>
        <v>towerredundanthipsize2</v>
      </c>
      <c r="D74" s="4">
        <f t="shared" si="10"/>
        <v>122</v>
      </c>
      <c r="E74" t="str">
        <f t="shared" si="11"/>
        <v>TowerRedundantHipGrade</v>
      </c>
      <c r="F74" s="4" t="str">
        <f t="shared" si="12"/>
        <v>NO</v>
      </c>
      <c r="G74" s="4" t="str">
        <f t="shared" si="13"/>
        <v>NO</v>
      </c>
      <c r="H74" s="4" t="str">
        <f t="shared" si="14"/>
        <v>NO</v>
      </c>
      <c r="I74" s="4" t="str">
        <f t="shared" si="15"/>
        <v>NO</v>
      </c>
      <c r="J74" t="s">
        <v>393</v>
      </c>
      <c r="N74" t="str">
        <f t="shared" si="16"/>
        <v>towerredundanthipsize</v>
      </c>
      <c r="O74" t="s">
        <v>458</v>
      </c>
      <c r="P74" t="s">
        <v>726</v>
      </c>
      <c r="Q74" t="s">
        <v>248</v>
      </c>
      <c r="S74" t="str">
        <f t="shared" si="17"/>
        <v>towerredundanthipsize</v>
      </c>
      <c r="T74" t="s">
        <v>458</v>
      </c>
      <c r="U74" t="s">
        <v>768</v>
      </c>
      <c r="V74" t="s">
        <v>766</v>
      </c>
    </row>
    <row r="75" spans="1:22" x14ac:dyDescent="0.25">
      <c r="A75" s="1" t="s">
        <v>72</v>
      </c>
      <c r="B75" s="2" t="s">
        <v>248</v>
      </c>
      <c r="C75" s="3" t="str">
        <f t="shared" si="9"/>
        <v>towerredundanthipsize3</v>
      </c>
      <c r="D75" s="4">
        <f t="shared" si="10"/>
        <v>123</v>
      </c>
      <c r="E75" t="str">
        <f t="shared" si="11"/>
        <v>TowerRedundantHipMatlGrade</v>
      </c>
      <c r="F75" s="4" t="str">
        <f t="shared" si="12"/>
        <v>NO</v>
      </c>
      <c r="G75" s="4" t="str">
        <f t="shared" si="13"/>
        <v>NO</v>
      </c>
      <c r="H75" s="4" t="str">
        <f t="shared" si="14"/>
        <v>NO</v>
      </c>
      <c r="I75" s="4" t="str">
        <f t="shared" si="15"/>
        <v>NO</v>
      </c>
      <c r="J75" t="s">
        <v>395</v>
      </c>
      <c r="N75" t="str">
        <f t="shared" si="16"/>
        <v>towerredundanthipsize2</v>
      </c>
      <c r="O75" t="s">
        <v>459</v>
      </c>
      <c r="P75" t="s">
        <v>726</v>
      </c>
      <c r="Q75" t="s">
        <v>248</v>
      </c>
      <c r="S75" t="str">
        <f t="shared" si="17"/>
        <v>towerredundanthipsize2</v>
      </c>
      <c r="T75" t="s">
        <v>459</v>
      </c>
      <c r="U75" t="s">
        <v>768</v>
      </c>
      <c r="V75" t="s">
        <v>766</v>
      </c>
    </row>
    <row r="76" spans="1:22" x14ac:dyDescent="0.25">
      <c r="A76" s="1" t="s">
        <v>73</v>
      </c>
      <c r="B76" s="2" t="s">
        <v>248</v>
      </c>
      <c r="C76" s="3" t="str">
        <f t="shared" si="9"/>
        <v>towerredundanthipsize4</v>
      </c>
      <c r="D76" s="4">
        <f t="shared" si="10"/>
        <v>124</v>
      </c>
      <c r="E76" t="str">
        <f t="shared" si="11"/>
        <v>TowerRedundantHipGrade2</v>
      </c>
      <c r="F76" s="4" t="str">
        <f t="shared" si="12"/>
        <v>NO</v>
      </c>
      <c r="G76" s="4" t="str">
        <f t="shared" si="13"/>
        <v>NO</v>
      </c>
      <c r="H76" s="4" t="str">
        <f t="shared" si="14"/>
        <v>NO</v>
      </c>
      <c r="I76" s="4" t="str">
        <f t="shared" si="15"/>
        <v>NO</v>
      </c>
      <c r="J76" t="s">
        <v>397</v>
      </c>
      <c r="N76" t="str">
        <f t="shared" si="16"/>
        <v>towerredundanthipsize3</v>
      </c>
      <c r="O76" t="s">
        <v>460</v>
      </c>
      <c r="P76" t="s">
        <v>726</v>
      </c>
      <c r="Q76" t="s">
        <v>248</v>
      </c>
      <c r="S76" t="str">
        <f t="shared" si="17"/>
        <v>towerredundanthipsize3</v>
      </c>
      <c r="T76" t="s">
        <v>460</v>
      </c>
      <c r="U76" t="s">
        <v>768</v>
      </c>
      <c r="V76" t="s">
        <v>766</v>
      </c>
    </row>
    <row r="77" spans="1:22" x14ac:dyDescent="0.25">
      <c r="A77" s="1" t="s">
        <v>74</v>
      </c>
      <c r="B77" s="2" t="s">
        <v>269</v>
      </c>
      <c r="C77" s="3" t="str">
        <f t="shared" si="9"/>
        <v>towerredundanthipdiagonalsize</v>
      </c>
      <c r="D77" s="4">
        <f t="shared" si="10"/>
        <v>125</v>
      </c>
      <c r="E77" t="str">
        <f t="shared" si="11"/>
        <v>TowerRedundantHipMatlGrade2</v>
      </c>
      <c r="F77" s="4" t="str">
        <f t="shared" si="12"/>
        <v>NO</v>
      </c>
      <c r="G77" s="4" t="str">
        <f t="shared" si="13"/>
        <v>NO</v>
      </c>
      <c r="H77" s="4" t="str">
        <f t="shared" si="14"/>
        <v>NO</v>
      </c>
      <c r="I77" s="4" t="str">
        <f t="shared" si="15"/>
        <v>NO</v>
      </c>
      <c r="J77" t="s">
        <v>399</v>
      </c>
      <c r="N77" t="str">
        <f t="shared" si="16"/>
        <v>towerredundanthipsize4</v>
      </c>
      <c r="O77" t="s">
        <v>461</v>
      </c>
      <c r="P77" t="s">
        <v>726</v>
      </c>
      <c r="Q77" t="s">
        <v>248</v>
      </c>
      <c r="S77" t="str">
        <f t="shared" si="17"/>
        <v>towerredundanthipsize4</v>
      </c>
      <c r="T77" t="s">
        <v>461</v>
      </c>
      <c r="U77" t="s">
        <v>768</v>
      </c>
      <c r="V77" t="s">
        <v>766</v>
      </c>
    </row>
    <row r="78" spans="1:22" x14ac:dyDescent="0.25">
      <c r="A78" s="1" t="s">
        <v>75</v>
      </c>
      <c r="B78" s="2" t="s">
        <v>248</v>
      </c>
      <c r="C78" s="3" t="str">
        <f t="shared" si="9"/>
        <v>towerredundanthipdiagonalsize2</v>
      </c>
      <c r="D78" s="4">
        <f t="shared" si="10"/>
        <v>126</v>
      </c>
      <c r="E78" t="str">
        <f t="shared" si="11"/>
        <v>TowerRedundantHipGrade3</v>
      </c>
      <c r="F78" s="4" t="str">
        <f t="shared" si="12"/>
        <v>NO</v>
      </c>
      <c r="G78" s="4" t="str">
        <f t="shared" si="13"/>
        <v>NO</v>
      </c>
      <c r="H78" s="4" t="str">
        <f t="shared" si="14"/>
        <v>NO</v>
      </c>
      <c r="I78" s="4" t="str">
        <f t="shared" si="15"/>
        <v>NO</v>
      </c>
      <c r="J78" t="s">
        <v>401</v>
      </c>
      <c r="N78" t="str">
        <f t="shared" si="16"/>
        <v>towerredundanthipdiagonalsize</v>
      </c>
      <c r="O78" t="s">
        <v>462</v>
      </c>
      <c r="P78" t="s">
        <v>726</v>
      </c>
      <c r="Q78" t="s">
        <v>248</v>
      </c>
      <c r="S78" t="str">
        <f t="shared" si="17"/>
        <v>towerredundanthipdiagonalsize</v>
      </c>
      <c r="T78" t="s">
        <v>462</v>
      </c>
      <c r="U78" t="s">
        <v>768</v>
      </c>
      <c r="V78" t="s">
        <v>766</v>
      </c>
    </row>
    <row r="79" spans="1:22" x14ac:dyDescent="0.25">
      <c r="A79" s="1" t="s">
        <v>76</v>
      </c>
      <c r="B79" s="2" t="s">
        <v>248</v>
      </c>
      <c r="C79" s="3" t="str">
        <f t="shared" si="9"/>
        <v>towerredundanthipdiagonalsize3</v>
      </c>
      <c r="D79" s="4">
        <f t="shared" si="10"/>
        <v>127</v>
      </c>
      <c r="E79" t="str">
        <f t="shared" si="11"/>
        <v>TowerRedundantHipMatlGrade3</v>
      </c>
      <c r="F79" s="4" t="str">
        <f t="shared" si="12"/>
        <v>NO</v>
      </c>
      <c r="G79" s="4" t="str">
        <f t="shared" si="13"/>
        <v>NO</v>
      </c>
      <c r="H79" s="4" t="str">
        <f t="shared" si="14"/>
        <v>NO</v>
      </c>
      <c r="I79" s="4" t="str">
        <f t="shared" si="15"/>
        <v>NO</v>
      </c>
      <c r="J79" t="s">
        <v>403</v>
      </c>
      <c r="N79" t="str">
        <f t="shared" si="16"/>
        <v>towerredundanthipdiagonalsize2</v>
      </c>
      <c r="O79" t="s">
        <v>463</v>
      </c>
      <c r="P79" t="s">
        <v>726</v>
      </c>
      <c r="Q79" t="s">
        <v>248</v>
      </c>
      <c r="S79" t="str">
        <f t="shared" si="17"/>
        <v>towerredundanthipdiagonalsize2</v>
      </c>
      <c r="T79" t="s">
        <v>463</v>
      </c>
      <c r="U79" t="s">
        <v>768</v>
      </c>
      <c r="V79" t="s">
        <v>766</v>
      </c>
    </row>
    <row r="80" spans="1:22" x14ac:dyDescent="0.25">
      <c r="A80" s="1" t="s">
        <v>77</v>
      </c>
      <c r="B80" s="2" t="s">
        <v>248</v>
      </c>
      <c r="C80" s="3" t="str">
        <f t="shared" si="9"/>
        <v>towerredundanthipdiagonalsize4</v>
      </c>
      <c r="D80" s="4">
        <f t="shared" si="10"/>
        <v>128</v>
      </c>
      <c r="E80" t="str">
        <f t="shared" si="11"/>
        <v>TowerRedundantHipGrade4</v>
      </c>
      <c r="F80" s="4" t="str">
        <f t="shared" si="12"/>
        <v>NO</v>
      </c>
      <c r="G80" s="4" t="str">
        <f t="shared" si="13"/>
        <v>NO</v>
      </c>
      <c r="H80" s="4" t="str">
        <f t="shared" si="14"/>
        <v>NO</v>
      </c>
      <c r="I80" s="4" t="str">
        <f t="shared" si="15"/>
        <v>NO</v>
      </c>
      <c r="J80" t="s">
        <v>405</v>
      </c>
      <c r="N80" t="str">
        <f t="shared" si="16"/>
        <v>towerredundanthipdiagonalsize3</v>
      </c>
      <c r="O80" t="s">
        <v>464</v>
      </c>
      <c r="P80" t="s">
        <v>726</v>
      </c>
      <c r="Q80" t="s">
        <v>248</v>
      </c>
      <c r="S80" t="str">
        <f t="shared" si="17"/>
        <v>towerredundanthipdiagonalsize3</v>
      </c>
      <c r="T80" t="s">
        <v>464</v>
      </c>
      <c r="U80" t="s">
        <v>768</v>
      </c>
      <c r="V80" t="s">
        <v>766</v>
      </c>
    </row>
    <row r="81" spans="1:22" x14ac:dyDescent="0.25">
      <c r="A81" s="1" t="s">
        <v>78</v>
      </c>
      <c r="B81" s="2" t="s">
        <v>273</v>
      </c>
      <c r="C81" s="3" t="str">
        <f t="shared" si="9"/>
        <v>towerswmult</v>
      </c>
      <c r="D81" s="4">
        <f t="shared" si="10"/>
        <v>129</v>
      </c>
      <c r="E81" t="str">
        <f t="shared" si="11"/>
        <v>TowerRedundantHipMatlGrade4</v>
      </c>
      <c r="F81" s="4" t="str">
        <f t="shared" si="12"/>
        <v>NO</v>
      </c>
      <c r="G81" s="4" t="str">
        <f t="shared" si="13"/>
        <v>NO</v>
      </c>
      <c r="H81" s="4" t="str">
        <f t="shared" si="14"/>
        <v>NO</v>
      </c>
      <c r="I81" s="4" t="str">
        <f t="shared" si="15"/>
        <v>NO</v>
      </c>
      <c r="J81" t="s">
        <v>407</v>
      </c>
      <c r="N81" t="str">
        <f t="shared" si="16"/>
        <v>towerredundanthipdiagonalsize4</v>
      </c>
      <c r="O81" t="s">
        <v>465</v>
      </c>
      <c r="P81" t="s">
        <v>726</v>
      </c>
      <c r="Q81" t="s">
        <v>248</v>
      </c>
      <c r="S81" t="str">
        <f t="shared" si="17"/>
        <v>towerredundanthipdiagonalsize4</v>
      </c>
      <c r="T81" t="s">
        <v>465</v>
      </c>
      <c r="U81" t="s">
        <v>768</v>
      </c>
      <c r="V81" t="s">
        <v>766</v>
      </c>
    </row>
    <row r="82" spans="1:22" x14ac:dyDescent="0.25">
      <c r="A82" s="1" t="s">
        <v>79</v>
      </c>
      <c r="B82" s="2" t="s">
        <v>251</v>
      </c>
      <c r="C82" s="3" t="str">
        <f t="shared" si="9"/>
        <v>towerwpmult</v>
      </c>
      <c r="D82" s="4">
        <f t="shared" si="10"/>
        <v>130</v>
      </c>
      <c r="E82" t="str">
        <f t="shared" si="11"/>
        <v>TowerRedundantHipDiagonalGrade</v>
      </c>
      <c r="F82" s="4" t="str">
        <f t="shared" si="12"/>
        <v>NO</v>
      </c>
      <c r="G82" s="4" t="str">
        <f t="shared" si="13"/>
        <v>NO</v>
      </c>
      <c r="H82" s="4" t="str">
        <f t="shared" si="14"/>
        <v>NO</v>
      </c>
      <c r="I82" s="4" t="str">
        <f t="shared" si="15"/>
        <v>NO</v>
      </c>
      <c r="J82" t="s">
        <v>409</v>
      </c>
      <c r="N82" t="str">
        <f t="shared" si="16"/>
        <v>towerswmult</v>
      </c>
      <c r="O82" t="s">
        <v>466</v>
      </c>
      <c r="P82" t="s">
        <v>727</v>
      </c>
      <c r="Q82" t="s">
        <v>723</v>
      </c>
      <c r="R82" t="s">
        <v>248</v>
      </c>
      <c r="S82" t="str">
        <f t="shared" si="17"/>
        <v>towerswmult</v>
      </c>
      <c r="T82" t="s">
        <v>466</v>
      </c>
      <c r="U82" t="s">
        <v>767</v>
      </c>
      <c r="V82" t="s">
        <v>766</v>
      </c>
    </row>
    <row r="83" spans="1:22" x14ac:dyDescent="0.25">
      <c r="A83" s="1" t="s">
        <v>80</v>
      </c>
      <c r="B83" s="2" t="s">
        <v>256</v>
      </c>
      <c r="C83" s="3" t="str">
        <f t="shared" si="9"/>
        <v>towerautocalcksingleangle</v>
      </c>
      <c r="D83" s="4">
        <f t="shared" si="10"/>
        <v>131</v>
      </c>
      <c r="E83" t="str">
        <f t="shared" si="11"/>
        <v>TowerRedundantHipDiagonalMatlGrade</v>
      </c>
      <c r="F83" s="4" t="str">
        <f t="shared" si="12"/>
        <v>NO</v>
      </c>
      <c r="G83" s="4" t="str">
        <f t="shared" si="13"/>
        <v>NO</v>
      </c>
      <c r="H83" s="4" t="str">
        <f t="shared" si="14"/>
        <v>NO</v>
      </c>
      <c r="I83" s="4" t="str">
        <f t="shared" si="15"/>
        <v>NO</v>
      </c>
      <c r="J83" t="s">
        <v>411</v>
      </c>
      <c r="N83" t="str">
        <f t="shared" si="16"/>
        <v>towerwpmult</v>
      </c>
      <c r="O83" t="s">
        <v>467</v>
      </c>
      <c r="P83" t="s">
        <v>727</v>
      </c>
      <c r="Q83" t="s">
        <v>723</v>
      </c>
      <c r="R83" t="s">
        <v>248</v>
      </c>
      <c r="S83" t="str">
        <f t="shared" si="17"/>
        <v>towerwpmult</v>
      </c>
      <c r="T83" t="s">
        <v>467</v>
      </c>
      <c r="U83" t="s">
        <v>767</v>
      </c>
      <c r="V83" t="s">
        <v>766</v>
      </c>
    </row>
    <row r="84" spans="1:22" x14ac:dyDescent="0.25">
      <c r="A84" s="1" t="s">
        <v>81</v>
      </c>
      <c r="B84" s="2" t="s">
        <v>255</v>
      </c>
      <c r="C84" s="3" t="str">
        <f t="shared" si="9"/>
        <v>towerautocalcksolidround</v>
      </c>
      <c r="D84" s="4">
        <f t="shared" si="10"/>
        <v>132</v>
      </c>
      <c r="E84" t="str">
        <f t="shared" si="11"/>
        <v>TowerRedundantHipDiagonalGrade2</v>
      </c>
      <c r="F84" s="4" t="str">
        <f t="shared" si="12"/>
        <v>NO</v>
      </c>
      <c r="G84" s="4" t="str">
        <f t="shared" si="13"/>
        <v>NO</v>
      </c>
      <c r="H84" s="4" t="str">
        <f t="shared" si="14"/>
        <v>NO</v>
      </c>
      <c r="I84" s="4" t="str">
        <f t="shared" si="15"/>
        <v>NO</v>
      </c>
      <c r="J84" t="s">
        <v>413</v>
      </c>
      <c r="N84" t="str">
        <f t="shared" si="16"/>
        <v>towerautocalcksingleangle</v>
      </c>
      <c r="O84" t="s">
        <v>468</v>
      </c>
      <c r="P84" t="s">
        <v>729</v>
      </c>
      <c r="Q84" t="s">
        <v>248</v>
      </c>
      <c r="S84" t="str">
        <f t="shared" si="17"/>
        <v>towerautocalcksingleangle</v>
      </c>
      <c r="T84" t="s">
        <v>468</v>
      </c>
      <c r="U84" t="s">
        <v>767</v>
      </c>
      <c r="V84" t="s">
        <v>766</v>
      </c>
    </row>
    <row r="85" spans="1:22" x14ac:dyDescent="0.25">
      <c r="A85" s="1" t="s">
        <v>82</v>
      </c>
      <c r="B85" s="2" t="s">
        <v>254</v>
      </c>
      <c r="C85" s="3" t="str">
        <f t="shared" si="9"/>
        <v>towerafgusset</v>
      </c>
      <c r="D85" s="4">
        <f t="shared" si="10"/>
        <v>133</v>
      </c>
      <c r="E85" t="str">
        <f t="shared" si="11"/>
        <v>TowerRedundantHipDiagonalMatlGrade2</v>
      </c>
      <c r="F85" s="4" t="str">
        <f t="shared" si="12"/>
        <v>NO</v>
      </c>
      <c r="G85" s="4" t="str">
        <f t="shared" si="13"/>
        <v>NO</v>
      </c>
      <c r="H85" s="4" t="str">
        <f t="shared" si="14"/>
        <v>NO</v>
      </c>
      <c r="I85" s="4" t="str">
        <f t="shared" si="15"/>
        <v>NO</v>
      </c>
      <c r="J85" t="s">
        <v>415</v>
      </c>
      <c r="N85" t="str">
        <f t="shared" si="16"/>
        <v>towerautocalcksolidround</v>
      </c>
      <c r="O85" t="s">
        <v>469</v>
      </c>
      <c r="P85" t="s">
        <v>729</v>
      </c>
      <c r="Q85" t="s">
        <v>248</v>
      </c>
      <c r="S85" t="str">
        <f t="shared" si="17"/>
        <v>towerautocalcksolidround</v>
      </c>
      <c r="T85" t="s">
        <v>469</v>
      </c>
      <c r="U85" t="s">
        <v>767</v>
      </c>
      <c r="V85" t="s">
        <v>766</v>
      </c>
    </row>
    <row r="86" spans="1:22" x14ac:dyDescent="0.25">
      <c r="A86" s="1" t="s">
        <v>83</v>
      </c>
      <c r="B86" s="2" t="s">
        <v>274</v>
      </c>
      <c r="C86" s="3" t="str">
        <f t="shared" si="9"/>
        <v>towertfgusset</v>
      </c>
      <c r="D86" s="4">
        <f t="shared" si="10"/>
        <v>134</v>
      </c>
      <c r="E86" t="str">
        <f t="shared" si="11"/>
        <v>TowerRedundantHipDiagonalGrade3</v>
      </c>
      <c r="F86" s="4" t="str">
        <f t="shared" si="12"/>
        <v>NO</v>
      </c>
      <c r="G86" s="4" t="str">
        <f t="shared" si="13"/>
        <v>NO</v>
      </c>
      <c r="H86" s="4" t="str">
        <f t="shared" si="14"/>
        <v>NO</v>
      </c>
      <c r="I86" s="4" t="str">
        <f t="shared" si="15"/>
        <v>NO</v>
      </c>
      <c r="J86" t="s">
        <v>417</v>
      </c>
      <c r="N86" t="str">
        <f t="shared" si="16"/>
        <v>towerafgusset</v>
      </c>
      <c r="O86" t="s">
        <v>470</v>
      </c>
      <c r="P86" t="s">
        <v>727</v>
      </c>
      <c r="Q86" t="s">
        <v>723</v>
      </c>
      <c r="R86" t="s">
        <v>248</v>
      </c>
      <c r="S86" t="str">
        <f t="shared" si="17"/>
        <v>towerafgusset</v>
      </c>
      <c r="T86" t="s">
        <v>470</v>
      </c>
      <c r="U86" t="s">
        <v>767</v>
      </c>
      <c r="V86" t="s">
        <v>766</v>
      </c>
    </row>
    <row r="87" spans="1:22" x14ac:dyDescent="0.25">
      <c r="A87" s="1" t="s">
        <v>84</v>
      </c>
      <c r="B87" s="2" t="s">
        <v>275</v>
      </c>
      <c r="C87" s="3" t="str">
        <f t="shared" si="9"/>
        <v>towergussetboltedgedistance</v>
      </c>
      <c r="D87" s="4">
        <f t="shared" si="10"/>
        <v>135</v>
      </c>
      <c r="E87" t="str">
        <f t="shared" si="11"/>
        <v>TowerRedundantHipDiagonalMatlGrade3</v>
      </c>
      <c r="F87" s="4" t="str">
        <f t="shared" si="12"/>
        <v>NO</v>
      </c>
      <c r="G87" s="4" t="str">
        <f t="shared" si="13"/>
        <v>NO</v>
      </c>
      <c r="H87" s="4" t="str">
        <f t="shared" si="14"/>
        <v>NO</v>
      </c>
      <c r="I87" s="4" t="str">
        <f t="shared" si="15"/>
        <v>NO</v>
      </c>
      <c r="J87" t="s">
        <v>419</v>
      </c>
      <c r="N87" t="str">
        <f t="shared" si="16"/>
        <v>towertfgusset</v>
      </c>
      <c r="O87" t="s">
        <v>471</v>
      </c>
      <c r="P87" t="s">
        <v>727</v>
      </c>
      <c r="Q87" t="s">
        <v>723</v>
      </c>
      <c r="R87" t="s">
        <v>248</v>
      </c>
      <c r="S87" t="str">
        <f t="shared" si="17"/>
        <v>towertfgusset</v>
      </c>
      <c r="T87" t="s">
        <v>471</v>
      </c>
      <c r="U87" t="s">
        <v>767</v>
      </c>
      <c r="V87" t="s">
        <v>766</v>
      </c>
    </row>
    <row r="88" spans="1:22" x14ac:dyDescent="0.25">
      <c r="A88" s="1" t="s">
        <v>85</v>
      </c>
      <c r="B88" s="2" t="s">
        <v>263</v>
      </c>
      <c r="C88" s="3" t="str">
        <f t="shared" si="9"/>
        <v>towergussetgrade</v>
      </c>
      <c r="D88" s="4">
        <f t="shared" si="10"/>
        <v>136</v>
      </c>
      <c r="E88" t="str">
        <f t="shared" si="11"/>
        <v>TowerRedundantHipDiagonalGrade4</v>
      </c>
      <c r="F88" s="4" t="str">
        <f t="shared" si="12"/>
        <v>NO</v>
      </c>
      <c r="G88" s="4" t="str">
        <f t="shared" si="13"/>
        <v>NO</v>
      </c>
      <c r="H88" s="4" t="str">
        <f t="shared" si="14"/>
        <v>NO</v>
      </c>
      <c r="I88" s="4" t="str">
        <f t="shared" si="15"/>
        <v>NO</v>
      </c>
      <c r="J88" t="s">
        <v>421</v>
      </c>
      <c r="N88" t="str">
        <f t="shared" si="16"/>
        <v>towergussetboltedgedistance</v>
      </c>
      <c r="O88" t="s">
        <v>472</v>
      </c>
      <c r="P88" t="s">
        <v>727</v>
      </c>
      <c r="Q88" t="s">
        <v>723</v>
      </c>
      <c r="R88" t="s">
        <v>248</v>
      </c>
      <c r="S88" t="str">
        <f t="shared" si="17"/>
        <v>towergussetboltedgedistance</v>
      </c>
      <c r="T88" t="s">
        <v>472</v>
      </c>
      <c r="U88" t="s">
        <v>767</v>
      </c>
      <c r="V88" t="s">
        <v>766</v>
      </c>
    </row>
    <row r="89" spans="1:22" x14ac:dyDescent="0.25">
      <c r="A89" s="1" t="s">
        <v>86</v>
      </c>
      <c r="B89" s="2" t="s">
        <v>264</v>
      </c>
      <c r="C89" s="3" t="str">
        <f t="shared" si="9"/>
        <v>towergussetmatlgrade</v>
      </c>
      <c r="D89" s="4">
        <f t="shared" si="10"/>
        <v>137</v>
      </c>
      <c r="E89" t="str">
        <f t="shared" si="11"/>
        <v>TowerRedundantHipDiagonalMatlGrade4</v>
      </c>
      <c r="F89" s="4" t="str">
        <f t="shared" si="12"/>
        <v>NO</v>
      </c>
      <c r="G89" s="4" t="str">
        <f t="shared" si="13"/>
        <v>NO</v>
      </c>
      <c r="H89" s="4" t="str">
        <f t="shared" si="14"/>
        <v>NO</v>
      </c>
      <c r="I89" s="4" t="str">
        <f t="shared" si="15"/>
        <v>NO</v>
      </c>
      <c r="J89" t="s">
        <v>423</v>
      </c>
      <c r="N89" t="str">
        <f t="shared" si="16"/>
        <v>towergussetgrade</v>
      </c>
      <c r="O89" t="s">
        <v>473</v>
      </c>
      <c r="P89" t="s">
        <v>727</v>
      </c>
      <c r="Q89" t="s">
        <v>723</v>
      </c>
      <c r="R89" t="s">
        <v>248</v>
      </c>
      <c r="S89" t="str">
        <f t="shared" si="17"/>
        <v>towergussetgrade</v>
      </c>
      <c r="T89" t="s">
        <v>473</v>
      </c>
      <c r="U89" t="s">
        <v>767</v>
      </c>
      <c r="V89" t="s">
        <v>766</v>
      </c>
    </row>
    <row r="90" spans="1:22" x14ac:dyDescent="0.25">
      <c r="A90" s="1" t="s">
        <v>87</v>
      </c>
      <c r="B90" s="2" t="s">
        <v>251</v>
      </c>
      <c r="C90" s="3" t="str">
        <f t="shared" si="9"/>
        <v>towerafmult</v>
      </c>
      <c r="D90" s="4">
        <f t="shared" si="10"/>
        <v>138</v>
      </c>
      <c r="E90" t="str">
        <f t="shared" si="11"/>
        <v>TowerRedundantHorizontalType</v>
      </c>
      <c r="F90" s="4" t="str">
        <f t="shared" si="12"/>
        <v>NO</v>
      </c>
      <c r="G90" s="4" t="str">
        <f t="shared" si="13"/>
        <v>NO</v>
      </c>
      <c r="H90" s="4" t="str">
        <f t="shared" si="14"/>
        <v>NO</v>
      </c>
      <c r="I90" s="4" t="str">
        <f t="shared" si="15"/>
        <v>NO</v>
      </c>
      <c r="J90" t="s">
        <v>425</v>
      </c>
      <c r="N90" t="str">
        <f t="shared" si="16"/>
        <v>towergussetmatlgrade</v>
      </c>
      <c r="O90" t="s">
        <v>474</v>
      </c>
      <c r="P90" t="s">
        <v>728</v>
      </c>
      <c r="Q90" t="s">
        <v>248</v>
      </c>
      <c r="S90" t="str">
        <f t="shared" si="17"/>
        <v>towergussetmatlgrade</v>
      </c>
      <c r="T90" t="s">
        <v>474</v>
      </c>
      <c r="U90" t="s">
        <v>767</v>
      </c>
      <c r="V90" t="s">
        <v>766</v>
      </c>
    </row>
    <row r="91" spans="1:22" x14ac:dyDescent="0.25">
      <c r="A91" s="1" t="s">
        <v>88</v>
      </c>
      <c r="B91" s="2" t="s">
        <v>276</v>
      </c>
      <c r="C91" s="3" t="str">
        <f t="shared" si="9"/>
        <v>towerarmult</v>
      </c>
      <c r="D91" s="4">
        <f t="shared" si="10"/>
        <v>139</v>
      </c>
      <c r="E91" t="str">
        <f t="shared" si="11"/>
        <v>TowerRedundantHorizontalType2</v>
      </c>
      <c r="F91" s="4" t="str">
        <f t="shared" si="12"/>
        <v>NO</v>
      </c>
      <c r="G91" s="4" t="str">
        <f t="shared" si="13"/>
        <v>NO</v>
      </c>
      <c r="H91" s="4" t="str">
        <f t="shared" si="14"/>
        <v>NO</v>
      </c>
      <c r="I91" s="4" t="str">
        <f t="shared" si="15"/>
        <v>NO</v>
      </c>
      <c r="J91" t="s">
        <v>426</v>
      </c>
      <c r="N91" t="str">
        <f t="shared" si="16"/>
        <v>towerafmult</v>
      </c>
      <c r="O91" t="s">
        <v>475</v>
      </c>
      <c r="P91" t="s">
        <v>727</v>
      </c>
      <c r="Q91" t="s">
        <v>723</v>
      </c>
      <c r="R91" t="s">
        <v>248</v>
      </c>
      <c r="S91" t="str">
        <f t="shared" si="17"/>
        <v>towerafmult</v>
      </c>
      <c r="T91" t="s">
        <v>475</v>
      </c>
      <c r="U91" t="s">
        <v>767</v>
      </c>
      <c r="V91" t="s">
        <v>766</v>
      </c>
    </row>
    <row r="92" spans="1:22" x14ac:dyDescent="0.25">
      <c r="A92" s="1" t="s">
        <v>89</v>
      </c>
      <c r="B92" s="2" t="s">
        <v>254</v>
      </c>
      <c r="C92" s="3" t="str">
        <f t="shared" si="9"/>
        <v>towerflatipapole</v>
      </c>
      <c r="D92" s="4">
        <f t="shared" si="10"/>
        <v>140</v>
      </c>
      <c r="E92" t="str">
        <f t="shared" si="11"/>
        <v>TowerRedundantHorizontalType3</v>
      </c>
      <c r="F92" s="4" t="str">
        <f t="shared" si="12"/>
        <v>NO</v>
      </c>
      <c r="G92" s="4" t="str">
        <f t="shared" si="13"/>
        <v>NO</v>
      </c>
      <c r="H92" s="4" t="str">
        <f t="shared" si="14"/>
        <v>NO</v>
      </c>
      <c r="I92" s="4" t="str">
        <f t="shared" si="15"/>
        <v>NO</v>
      </c>
      <c r="J92" t="s">
        <v>427</v>
      </c>
      <c r="N92" t="str">
        <f t="shared" si="16"/>
        <v>towerarmult</v>
      </c>
      <c r="O92" t="s">
        <v>476</v>
      </c>
      <c r="P92" t="s">
        <v>727</v>
      </c>
      <c r="Q92" t="s">
        <v>723</v>
      </c>
      <c r="R92" t="s">
        <v>248</v>
      </c>
      <c r="S92" t="str">
        <f t="shared" si="17"/>
        <v>towerarmult</v>
      </c>
      <c r="T92" t="s">
        <v>476</v>
      </c>
      <c r="U92" t="s">
        <v>767</v>
      </c>
      <c r="V92" t="s">
        <v>766</v>
      </c>
    </row>
    <row r="93" spans="1:22" x14ac:dyDescent="0.25">
      <c r="A93" s="1" t="s">
        <v>90</v>
      </c>
      <c r="B93" s="2" t="s">
        <v>254</v>
      </c>
      <c r="C93" s="3" t="str">
        <f t="shared" si="9"/>
        <v>towerroundipapole</v>
      </c>
      <c r="D93" s="4">
        <f t="shared" si="10"/>
        <v>141</v>
      </c>
      <c r="E93" t="str">
        <f t="shared" si="11"/>
        <v>TowerRedundantHorizontalType4</v>
      </c>
      <c r="F93" s="4" t="str">
        <f t="shared" si="12"/>
        <v>NO</v>
      </c>
      <c r="G93" s="4" t="str">
        <f t="shared" si="13"/>
        <v>NO</v>
      </c>
      <c r="H93" s="4" t="str">
        <f t="shared" si="14"/>
        <v>NO</v>
      </c>
      <c r="I93" s="4" t="str">
        <f t="shared" si="15"/>
        <v>NO</v>
      </c>
      <c r="J93" t="s">
        <v>428</v>
      </c>
      <c r="N93" t="str">
        <f t="shared" si="16"/>
        <v>towerflatipapole</v>
      </c>
      <c r="O93" t="s">
        <v>477</v>
      </c>
      <c r="P93" t="s">
        <v>727</v>
      </c>
      <c r="Q93" t="s">
        <v>723</v>
      </c>
      <c r="R93" t="s">
        <v>248</v>
      </c>
      <c r="S93" t="str">
        <f t="shared" si="17"/>
        <v>towerflatipapole</v>
      </c>
      <c r="T93" t="s">
        <v>477</v>
      </c>
      <c r="U93" t="s">
        <v>767</v>
      </c>
      <c r="V93" t="s">
        <v>766</v>
      </c>
    </row>
    <row r="94" spans="1:22" hidden="1" x14ac:dyDescent="0.25">
      <c r="A94" s="1" t="s">
        <v>91</v>
      </c>
      <c r="B94" s="2" t="s">
        <v>254</v>
      </c>
      <c r="C94" s="3" t="str">
        <f t="shared" si="9"/>
        <v>towerflatipaleg</v>
      </c>
      <c r="D94" s="4">
        <f t="shared" si="10"/>
        <v>142</v>
      </c>
      <c r="E94" t="str">
        <f t="shared" si="11"/>
        <v>TowerRedundantDiagType</v>
      </c>
      <c r="F94" s="4" t="str">
        <f t="shared" si="12"/>
        <v>YES</v>
      </c>
      <c r="G94" s="4" t="str">
        <f t="shared" si="13"/>
        <v>YES</v>
      </c>
      <c r="H94" s="4" t="str">
        <f t="shared" si="14"/>
        <v>YES</v>
      </c>
      <c r="I94" s="4" t="str">
        <f t="shared" si="15"/>
        <v>YES</v>
      </c>
      <c r="J94" t="s">
        <v>429</v>
      </c>
      <c r="N94" t="str">
        <f t="shared" si="16"/>
        <v>towerroundipapole</v>
      </c>
      <c r="O94" t="s">
        <v>478</v>
      </c>
      <c r="P94" t="s">
        <v>727</v>
      </c>
      <c r="Q94" t="s">
        <v>723</v>
      </c>
      <c r="R94" t="s">
        <v>248</v>
      </c>
      <c r="S94" t="str">
        <f t="shared" si="17"/>
        <v>towerroundipapole</v>
      </c>
      <c r="T94" t="s">
        <v>478</v>
      </c>
      <c r="U94" t="s">
        <v>767</v>
      </c>
      <c r="V94" t="s">
        <v>766</v>
      </c>
    </row>
    <row r="95" spans="1:22" x14ac:dyDescent="0.25">
      <c r="A95" s="1" t="s">
        <v>92</v>
      </c>
      <c r="B95" s="2" t="s">
        <v>254</v>
      </c>
      <c r="C95" s="3" t="str">
        <f t="shared" si="9"/>
        <v>towerroundipaleg</v>
      </c>
      <c r="D95" s="4">
        <f t="shared" si="10"/>
        <v>143</v>
      </c>
      <c r="E95" t="str">
        <f t="shared" si="11"/>
        <v>TowerRedundantDiagType2</v>
      </c>
      <c r="F95" s="4" t="str">
        <f t="shared" si="12"/>
        <v>NO</v>
      </c>
      <c r="G95" s="4" t="str">
        <f t="shared" si="13"/>
        <v>NO</v>
      </c>
      <c r="H95" s="4" t="str">
        <f t="shared" si="14"/>
        <v>NO</v>
      </c>
      <c r="I95" s="4" t="str">
        <f t="shared" si="15"/>
        <v>NO</v>
      </c>
      <c r="J95" t="s">
        <v>430</v>
      </c>
      <c r="N95" t="str">
        <f t="shared" si="16"/>
        <v>towerflatipaleg</v>
      </c>
      <c r="O95" t="s">
        <v>479</v>
      </c>
      <c r="P95" t="s">
        <v>727</v>
      </c>
      <c r="Q95" t="s">
        <v>723</v>
      </c>
      <c r="R95" t="s">
        <v>248</v>
      </c>
      <c r="S95" t="str">
        <f t="shared" si="17"/>
        <v>towerflatipaleg</v>
      </c>
      <c r="T95" t="s">
        <v>479</v>
      </c>
      <c r="U95" t="s">
        <v>767</v>
      </c>
      <c r="V95" t="s">
        <v>766</v>
      </c>
    </row>
    <row r="96" spans="1:22" x14ac:dyDescent="0.25">
      <c r="A96" s="1" t="s">
        <v>93</v>
      </c>
      <c r="B96" s="2" t="s">
        <v>254</v>
      </c>
      <c r="C96" s="3" t="str">
        <f t="shared" si="9"/>
        <v>towerflatipahorizontal</v>
      </c>
      <c r="D96" s="4">
        <f t="shared" si="10"/>
        <v>144</v>
      </c>
      <c r="E96" t="str">
        <f t="shared" si="11"/>
        <v>TowerRedundantDiagType3</v>
      </c>
      <c r="F96" s="4" t="str">
        <f t="shared" si="12"/>
        <v>NO</v>
      </c>
      <c r="G96" s="4" t="str">
        <f t="shared" si="13"/>
        <v>NO</v>
      </c>
      <c r="H96" s="4" t="str">
        <f t="shared" si="14"/>
        <v>NO</v>
      </c>
      <c r="I96" s="4" t="str">
        <f t="shared" si="15"/>
        <v>NO</v>
      </c>
      <c r="J96" t="s">
        <v>431</v>
      </c>
      <c r="N96" t="str">
        <f t="shared" si="16"/>
        <v>towerroundipaleg</v>
      </c>
      <c r="O96" t="s">
        <v>480</v>
      </c>
      <c r="P96" t="s">
        <v>727</v>
      </c>
      <c r="Q96" t="s">
        <v>723</v>
      </c>
      <c r="R96" t="s">
        <v>248</v>
      </c>
      <c r="S96" t="str">
        <f t="shared" si="17"/>
        <v>towerroundipaleg</v>
      </c>
      <c r="T96" t="s">
        <v>480</v>
      </c>
      <c r="U96" t="s">
        <v>767</v>
      </c>
      <c r="V96" t="s">
        <v>766</v>
      </c>
    </row>
    <row r="97" spans="1:22" x14ac:dyDescent="0.25">
      <c r="A97" s="1" t="s">
        <v>94</v>
      </c>
      <c r="B97" s="2" t="s">
        <v>254</v>
      </c>
      <c r="C97" s="3" t="str">
        <f t="shared" si="9"/>
        <v>towerroundipahorizontal</v>
      </c>
      <c r="D97" s="4">
        <f t="shared" si="10"/>
        <v>145</v>
      </c>
      <c r="E97" t="str">
        <f t="shared" si="11"/>
        <v>TowerRedundantDiagType4</v>
      </c>
      <c r="F97" s="4" t="str">
        <f t="shared" si="12"/>
        <v>NO</v>
      </c>
      <c r="G97" s="4" t="str">
        <f t="shared" si="13"/>
        <v>NO</v>
      </c>
      <c r="H97" s="4" t="str">
        <f t="shared" si="14"/>
        <v>NO</v>
      </c>
      <c r="I97" s="4" t="str">
        <f t="shared" si="15"/>
        <v>NO</v>
      </c>
      <c r="J97" t="s">
        <v>432</v>
      </c>
      <c r="N97" t="str">
        <f t="shared" si="16"/>
        <v>towerflatipahorizontal</v>
      </c>
      <c r="O97" t="s">
        <v>481</v>
      </c>
      <c r="P97" t="s">
        <v>727</v>
      </c>
      <c r="Q97" t="s">
        <v>723</v>
      </c>
      <c r="R97" t="s">
        <v>248</v>
      </c>
      <c r="S97" t="str">
        <f t="shared" si="17"/>
        <v>towerflatipahorizontal</v>
      </c>
      <c r="T97" t="s">
        <v>481</v>
      </c>
      <c r="U97" t="s">
        <v>767</v>
      </c>
      <c r="V97" t="s">
        <v>766</v>
      </c>
    </row>
    <row r="98" spans="1:22" hidden="1" x14ac:dyDescent="0.25">
      <c r="A98" s="1" t="s">
        <v>95</v>
      </c>
      <c r="B98" s="2" t="s">
        <v>254</v>
      </c>
      <c r="C98" s="3" t="str">
        <f t="shared" si="9"/>
        <v>towerflatipadiagonal</v>
      </c>
      <c r="D98" s="4">
        <f t="shared" si="10"/>
        <v>146</v>
      </c>
      <c r="E98" t="str">
        <f t="shared" si="11"/>
        <v>TowerRedundantSubDiagonalType</v>
      </c>
      <c r="F98" s="4" t="str">
        <f t="shared" si="12"/>
        <v>YES</v>
      </c>
      <c r="G98" s="4" t="str">
        <f t="shared" si="13"/>
        <v>YES</v>
      </c>
      <c r="H98" s="4" t="str">
        <f t="shared" si="14"/>
        <v>YES</v>
      </c>
      <c r="I98" s="4" t="str">
        <f t="shared" si="15"/>
        <v>YES</v>
      </c>
      <c r="J98" t="s">
        <v>433</v>
      </c>
      <c r="N98" t="str">
        <f t="shared" si="16"/>
        <v>towerroundipahorizontal</v>
      </c>
      <c r="O98" t="s">
        <v>482</v>
      </c>
      <c r="P98" t="s">
        <v>727</v>
      </c>
      <c r="Q98" t="s">
        <v>723</v>
      </c>
      <c r="R98" t="s">
        <v>248</v>
      </c>
      <c r="S98" t="str">
        <f t="shared" si="17"/>
        <v>towerroundipahorizontal</v>
      </c>
      <c r="T98" t="s">
        <v>482</v>
      </c>
      <c r="U98" t="s">
        <v>767</v>
      </c>
      <c r="V98" t="s">
        <v>766</v>
      </c>
    </row>
    <row r="99" spans="1:22" hidden="1" x14ac:dyDescent="0.25">
      <c r="A99" s="1" t="s">
        <v>96</v>
      </c>
      <c r="B99" s="2" t="s">
        <v>254</v>
      </c>
      <c r="C99" s="3" t="str">
        <f t="shared" si="9"/>
        <v>towerroundipadiagonal</v>
      </c>
      <c r="D99" s="4">
        <f t="shared" si="10"/>
        <v>147</v>
      </c>
      <c r="E99" t="str">
        <f t="shared" si="11"/>
        <v>TowerRedundantSubHorizontalType</v>
      </c>
      <c r="F99" s="4" t="str">
        <f t="shared" si="12"/>
        <v>YES</v>
      </c>
      <c r="G99" s="4" t="str">
        <f t="shared" si="13"/>
        <v>YES</v>
      </c>
      <c r="H99" s="4" t="str">
        <f t="shared" si="14"/>
        <v>YES</v>
      </c>
      <c r="I99" s="4" t="str">
        <f t="shared" si="15"/>
        <v>YES</v>
      </c>
      <c r="J99" t="s">
        <v>435</v>
      </c>
      <c r="N99" t="str">
        <f t="shared" si="16"/>
        <v>towerflatipadiagonal</v>
      </c>
      <c r="O99" t="s">
        <v>483</v>
      </c>
      <c r="P99" t="s">
        <v>727</v>
      </c>
      <c r="Q99" t="s">
        <v>723</v>
      </c>
      <c r="R99" t="s">
        <v>248</v>
      </c>
      <c r="S99" t="str">
        <f t="shared" si="17"/>
        <v>towerflatipadiagonal</v>
      </c>
      <c r="T99" t="s">
        <v>483</v>
      </c>
      <c r="U99" t="s">
        <v>767</v>
      </c>
      <c r="V99" t="s">
        <v>766</v>
      </c>
    </row>
    <row r="100" spans="1:22" hidden="1" x14ac:dyDescent="0.25">
      <c r="A100" s="1" t="s">
        <v>97</v>
      </c>
      <c r="B100" s="2" t="s">
        <v>251</v>
      </c>
      <c r="C100" s="3" t="str">
        <f t="shared" si="9"/>
        <v>towercsa_s37_speedupfactor</v>
      </c>
      <c r="D100" s="4">
        <f t="shared" si="10"/>
        <v>148</v>
      </c>
      <c r="E100" t="str">
        <f t="shared" si="11"/>
        <v>TowerRedundantVerticalType</v>
      </c>
      <c r="F100" s="4" t="str">
        <f t="shared" si="12"/>
        <v>YES</v>
      </c>
      <c r="G100" s="4" t="str">
        <f t="shared" si="13"/>
        <v>YES</v>
      </c>
      <c r="H100" s="4" t="str">
        <f t="shared" si="14"/>
        <v>YES</v>
      </c>
      <c r="I100" s="4" t="str">
        <f t="shared" si="15"/>
        <v>YES</v>
      </c>
      <c r="J100" t="s">
        <v>436</v>
      </c>
      <c r="N100" t="str">
        <f t="shared" si="16"/>
        <v>towerroundipadiagonal</v>
      </c>
      <c r="O100" t="s">
        <v>484</v>
      </c>
      <c r="P100" t="s">
        <v>727</v>
      </c>
      <c r="Q100" t="s">
        <v>723</v>
      </c>
      <c r="R100" t="s">
        <v>248</v>
      </c>
      <c r="S100" t="str">
        <f t="shared" si="17"/>
        <v>towerroundipadiagonal</v>
      </c>
      <c r="T100" t="s">
        <v>484</v>
      </c>
      <c r="U100" t="s">
        <v>767</v>
      </c>
      <c r="V100" t="s">
        <v>766</v>
      </c>
    </row>
    <row r="101" spans="1:22" hidden="1" x14ac:dyDescent="0.25">
      <c r="A101" s="1" t="s">
        <v>98</v>
      </c>
      <c r="B101" s="2" t="s">
        <v>251</v>
      </c>
      <c r="C101" s="3" t="str">
        <f t="shared" si="9"/>
        <v>towerklegs</v>
      </c>
      <c r="D101" s="4">
        <f t="shared" si="10"/>
        <v>149</v>
      </c>
      <c r="E101" t="str">
        <f t="shared" si="11"/>
        <v>TowerRedundantHipType</v>
      </c>
      <c r="F101" s="4" t="str">
        <f t="shared" si="12"/>
        <v>YES</v>
      </c>
      <c r="G101" s="4" t="str">
        <f t="shared" si="13"/>
        <v>YES</v>
      </c>
      <c r="H101" s="4" t="str">
        <f t="shared" si="14"/>
        <v>YES</v>
      </c>
      <c r="I101" s="4" t="str">
        <f t="shared" si="15"/>
        <v>YES</v>
      </c>
      <c r="J101" t="s">
        <v>437</v>
      </c>
      <c r="N101" t="str">
        <f t="shared" si="16"/>
        <v>towercsa_s37_speedupfactor</v>
      </c>
      <c r="O101" t="s">
        <v>485</v>
      </c>
      <c r="P101" t="s">
        <v>727</v>
      </c>
      <c r="Q101" t="s">
        <v>723</v>
      </c>
      <c r="R101" t="s">
        <v>248</v>
      </c>
      <c r="S101" t="str">
        <f t="shared" si="17"/>
        <v>towercsa_s37_speedupfactor</v>
      </c>
      <c r="T101" t="s">
        <v>485</v>
      </c>
      <c r="U101" t="s">
        <v>767</v>
      </c>
      <c r="V101" t="s">
        <v>766</v>
      </c>
    </row>
    <row r="102" spans="1:22" x14ac:dyDescent="0.25">
      <c r="A102" s="1" t="s">
        <v>99</v>
      </c>
      <c r="B102" s="2" t="s">
        <v>251</v>
      </c>
      <c r="C102" s="3" t="str">
        <f t="shared" si="9"/>
        <v>towerkxbraceddiags</v>
      </c>
      <c r="D102" s="4">
        <f t="shared" si="10"/>
        <v>150</v>
      </c>
      <c r="E102" t="str">
        <f t="shared" si="11"/>
        <v>TowerRedundantHipType2</v>
      </c>
      <c r="F102" s="4" t="str">
        <f t="shared" si="12"/>
        <v>NO</v>
      </c>
      <c r="G102" s="4" t="str">
        <f t="shared" si="13"/>
        <v>NO</v>
      </c>
      <c r="H102" s="4" t="str">
        <f t="shared" si="14"/>
        <v>NO</v>
      </c>
      <c r="I102" s="4" t="str">
        <f t="shared" si="15"/>
        <v>NO</v>
      </c>
      <c r="J102" t="s">
        <v>438</v>
      </c>
      <c r="N102" t="str">
        <f t="shared" si="16"/>
        <v>towerklegs</v>
      </c>
      <c r="O102" t="s">
        <v>486</v>
      </c>
      <c r="P102" t="s">
        <v>727</v>
      </c>
      <c r="Q102" t="s">
        <v>723</v>
      </c>
      <c r="R102" t="s">
        <v>248</v>
      </c>
      <c r="S102" t="str">
        <f t="shared" si="17"/>
        <v>towerklegs</v>
      </c>
      <c r="T102" t="s">
        <v>486</v>
      </c>
      <c r="U102" t="s">
        <v>767</v>
      </c>
      <c r="V102" t="s">
        <v>766</v>
      </c>
    </row>
    <row r="103" spans="1:22" x14ac:dyDescent="0.25">
      <c r="A103" s="1" t="s">
        <v>100</v>
      </c>
      <c r="B103" s="2" t="s">
        <v>251</v>
      </c>
      <c r="C103" s="3" t="str">
        <f t="shared" si="9"/>
        <v>towerkkbraceddiags</v>
      </c>
      <c r="D103" s="4">
        <f t="shared" si="10"/>
        <v>151</v>
      </c>
      <c r="E103" t="str">
        <f t="shared" si="11"/>
        <v>TowerRedundantHipType3</v>
      </c>
      <c r="F103" s="4" t="str">
        <f t="shared" si="12"/>
        <v>NO</v>
      </c>
      <c r="G103" s="4" t="str">
        <f t="shared" si="13"/>
        <v>NO</v>
      </c>
      <c r="H103" s="4" t="str">
        <f t="shared" si="14"/>
        <v>NO</v>
      </c>
      <c r="I103" s="4" t="str">
        <f t="shared" si="15"/>
        <v>NO</v>
      </c>
      <c r="J103" t="s">
        <v>439</v>
      </c>
      <c r="N103" t="str">
        <f t="shared" si="16"/>
        <v>towerkxbraceddiags</v>
      </c>
      <c r="O103" t="s">
        <v>487</v>
      </c>
      <c r="P103" t="s">
        <v>727</v>
      </c>
      <c r="Q103" t="s">
        <v>723</v>
      </c>
      <c r="R103" t="s">
        <v>248</v>
      </c>
      <c r="S103" t="str">
        <f t="shared" si="17"/>
        <v>towerkxbraceddiags</v>
      </c>
      <c r="T103" t="s">
        <v>487</v>
      </c>
      <c r="U103" t="s">
        <v>767</v>
      </c>
      <c r="V103" t="s">
        <v>766</v>
      </c>
    </row>
    <row r="104" spans="1:22" x14ac:dyDescent="0.25">
      <c r="A104" s="1" t="s">
        <v>101</v>
      </c>
      <c r="B104" s="2" t="s">
        <v>251</v>
      </c>
      <c r="C104" s="3" t="str">
        <f t="shared" si="9"/>
        <v>towerkzbraceddiags</v>
      </c>
      <c r="D104" s="4">
        <f t="shared" si="10"/>
        <v>152</v>
      </c>
      <c r="E104" t="str">
        <f t="shared" si="11"/>
        <v>TowerRedundantHipType4</v>
      </c>
      <c r="F104" s="4" t="str">
        <f t="shared" si="12"/>
        <v>NO</v>
      </c>
      <c r="G104" s="4" t="str">
        <f t="shared" si="13"/>
        <v>NO</v>
      </c>
      <c r="H104" s="4" t="str">
        <f t="shared" si="14"/>
        <v>NO</v>
      </c>
      <c r="I104" s="4" t="str">
        <f t="shared" si="15"/>
        <v>NO</v>
      </c>
      <c r="J104" t="s">
        <v>440</v>
      </c>
      <c r="N104" t="str">
        <f t="shared" si="16"/>
        <v>towerkkbraceddiags</v>
      </c>
      <c r="O104" t="s">
        <v>488</v>
      </c>
      <c r="P104" t="s">
        <v>727</v>
      </c>
      <c r="Q104" t="s">
        <v>723</v>
      </c>
      <c r="R104" t="s">
        <v>248</v>
      </c>
      <c r="S104" t="str">
        <f t="shared" si="17"/>
        <v>towerkkbraceddiags</v>
      </c>
      <c r="T104" t="s">
        <v>488</v>
      </c>
      <c r="U104" t="s">
        <v>767</v>
      </c>
      <c r="V104" t="s">
        <v>766</v>
      </c>
    </row>
    <row r="105" spans="1:22" hidden="1" x14ac:dyDescent="0.25">
      <c r="A105" s="1" t="s">
        <v>102</v>
      </c>
      <c r="B105" s="2" t="s">
        <v>251</v>
      </c>
      <c r="C105" s="3" t="str">
        <f t="shared" si="9"/>
        <v>towerkhorzs</v>
      </c>
      <c r="D105" s="4">
        <f t="shared" si="10"/>
        <v>153</v>
      </c>
      <c r="E105" t="str">
        <f t="shared" si="11"/>
        <v>TowerRedundantHipDiagonalType</v>
      </c>
      <c r="F105" s="4" t="str">
        <f t="shared" si="12"/>
        <v>YES</v>
      </c>
      <c r="G105" s="4" t="str">
        <f t="shared" si="13"/>
        <v>YES</v>
      </c>
      <c r="H105" s="4" t="str">
        <f t="shared" si="14"/>
        <v>YES</v>
      </c>
      <c r="I105" s="4" t="str">
        <f t="shared" si="15"/>
        <v>YES</v>
      </c>
      <c r="J105" t="s">
        <v>441</v>
      </c>
      <c r="N105" t="str">
        <f t="shared" si="16"/>
        <v>towerkzbraceddiags</v>
      </c>
      <c r="O105" t="s">
        <v>489</v>
      </c>
      <c r="P105" t="s">
        <v>727</v>
      </c>
      <c r="Q105" t="s">
        <v>723</v>
      </c>
      <c r="R105" t="s">
        <v>248</v>
      </c>
      <c r="S105" t="str">
        <f t="shared" si="17"/>
        <v>towerkzbraceddiags</v>
      </c>
      <c r="T105" t="s">
        <v>489</v>
      </c>
      <c r="U105" t="s">
        <v>767</v>
      </c>
      <c r="V105" t="s">
        <v>766</v>
      </c>
    </row>
    <row r="106" spans="1:22" x14ac:dyDescent="0.25">
      <c r="A106" s="1" t="s">
        <v>103</v>
      </c>
      <c r="B106" s="2" t="s">
        <v>251</v>
      </c>
      <c r="C106" s="3" t="str">
        <f t="shared" si="9"/>
        <v>towerksechorzs</v>
      </c>
      <c r="D106" s="4">
        <f t="shared" si="10"/>
        <v>154</v>
      </c>
      <c r="E106" t="str">
        <f t="shared" si="11"/>
        <v>TowerRedundantHipDiagonalType2</v>
      </c>
      <c r="F106" s="4" t="str">
        <f t="shared" si="12"/>
        <v>NO</v>
      </c>
      <c r="G106" s="4" t="str">
        <f t="shared" si="13"/>
        <v>NO</v>
      </c>
      <c r="H106" s="4" t="str">
        <f t="shared" si="14"/>
        <v>NO</v>
      </c>
      <c r="I106" s="4" t="str">
        <f t="shared" si="15"/>
        <v>NO</v>
      </c>
      <c r="J106" t="s">
        <v>442</v>
      </c>
      <c r="N106" t="str">
        <f t="shared" si="16"/>
        <v>towerkhorzs</v>
      </c>
      <c r="O106" t="s">
        <v>490</v>
      </c>
      <c r="P106" t="s">
        <v>727</v>
      </c>
      <c r="Q106" t="s">
        <v>723</v>
      </c>
      <c r="R106" t="s">
        <v>248</v>
      </c>
      <c r="S106" t="str">
        <f t="shared" si="17"/>
        <v>towerkhorzs</v>
      </c>
      <c r="T106" t="s">
        <v>490</v>
      </c>
      <c r="U106" t="s">
        <v>767</v>
      </c>
      <c r="V106" t="s">
        <v>766</v>
      </c>
    </row>
    <row r="107" spans="1:22" x14ac:dyDescent="0.25">
      <c r="A107" s="1" t="s">
        <v>104</v>
      </c>
      <c r="B107" s="2" t="s">
        <v>251</v>
      </c>
      <c r="C107" s="3" t="str">
        <f t="shared" si="9"/>
        <v>towerkgirts</v>
      </c>
      <c r="D107" s="4">
        <f t="shared" si="10"/>
        <v>155</v>
      </c>
      <c r="E107" t="str">
        <f t="shared" si="11"/>
        <v>TowerRedundantHipDiagonalType3</v>
      </c>
      <c r="F107" s="4" t="str">
        <f t="shared" si="12"/>
        <v>NO</v>
      </c>
      <c r="G107" s="4" t="str">
        <f t="shared" si="13"/>
        <v>NO</v>
      </c>
      <c r="H107" s="4" t="str">
        <f t="shared" si="14"/>
        <v>NO</v>
      </c>
      <c r="I107" s="4" t="str">
        <f t="shared" si="15"/>
        <v>NO</v>
      </c>
      <c r="J107" t="s">
        <v>443</v>
      </c>
      <c r="N107" t="str">
        <f t="shared" si="16"/>
        <v>towerksechorzs</v>
      </c>
      <c r="O107" t="s">
        <v>491</v>
      </c>
      <c r="P107" t="s">
        <v>727</v>
      </c>
      <c r="Q107" t="s">
        <v>723</v>
      </c>
      <c r="R107" t="s">
        <v>248</v>
      </c>
      <c r="S107" t="str">
        <f t="shared" si="17"/>
        <v>towerksechorzs</v>
      </c>
      <c r="T107" t="s">
        <v>491</v>
      </c>
      <c r="U107" t="s">
        <v>767</v>
      </c>
      <c r="V107" t="s">
        <v>766</v>
      </c>
    </row>
    <row r="108" spans="1:22" x14ac:dyDescent="0.25">
      <c r="A108" s="1" t="s">
        <v>105</v>
      </c>
      <c r="B108" s="2" t="s">
        <v>251</v>
      </c>
      <c r="C108" s="3" t="str">
        <f t="shared" si="9"/>
        <v>towerkinners</v>
      </c>
      <c r="D108" s="4">
        <f t="shared" si="10"/>
        <v>156</v>
      </c>
      <c r="E108" t="str">
        <f t="shared" si="11"/>
        <v>TowerRedundantHipDiagonalType4</v>
      </c>
      <c r="F108" s="4" t="str">
        <f t="shared" si="12"/>
        <v>NO</v>
      </c>
      <c r="G108" s="4" t="str">
        <f t="shared" si="13"/>
        <v>NO</v>
      </c>
      <c r="H108" s="4" t="str">
        <f t="shared" si="14"/>
        <v>NO</v>
      </c>
      <c r="I108" s="4" t="str">
        <f t="shared" si="15"/>
        <v>NO</v>
      </c>
      <c r="J108" t="s">
        <v>444</v>
      </c>
      <c r="N108" t="str">
        <f t="shared" si="16"/>
        <v>towerkgirts</v>
      </c>
      <c r="O108" t="s">
        <v>492</v>
      </c>
      <c r="P108" t="s">
        <v>727</v>
      </c>
      <c r="Q108" t="s">
        <v>723</v>
      </c>
      <c r="R108" t="s">
        <v>248</v>
      </c>
      <c r="S108" t="str">
        <f t="shared" si="17"/>
        <v>towerkgirts</v>
      </c>
      <c r="T108" t="s">
        <v>492</v>
      </c>
      <c r="U108" t="s">
        <v>767</v>
      </c>
      <c r="V108" t="s">
        <v>766</v>
      </c>
    </row>
    <row r="109" spans="1:22" hidden="1" x14ac:dyDescent="0.25">
      <c r="A109" s="1" t="s">
        <v>106</v>
      </c>
      <c r="B109" s="2" t="s">
        <v>251</v>
      </c>
      <c r="C109" s="3" t="str">
        <f t="shared" si="9"/>
        <v>towerkxbraceddiagsy</v>
      </c>
      <c r="D109" s="4">
        <f t="shared" si="10"/>
        <v>157</v>
      </c>
      <c r="E109" t="str">
        <f t="shared" si="11"/>
        <v>TowerRedundantHorizontalSize</v>
      </c>
      <c r="F109" s="4" t="str">
        <f t="shared" si="12"/>
        <v>YES</v>
      </c>
      <c r="G109" s="4" t="str">
        <f t="shared" si="13"/>
        <v>YES</v>
      </c>
      <c r="H109" s="4" t="str">
        <f t="shared" si="14"/>
        <v>YES</v>
      </c>
      <c r="I109" s="4" t="str">
        <f t="shared" si="15"/>
        <v>YES</v>
      </c>
      <c r="J109" t="s">
        <v>445</v>
      </c>
      <c r="N109" t="str">
        <f t="shared" si="16"/>
        <v>towerkinners</v>
      </c>
      <c r="O109" t="s">
        <v>493</v>
      </c>
      <c r="P109" t="s">
        <v>727</v>
      </c>
      <c r="Q109" t="s">
        <v>723</v>
      </c>
      <c r="R109" t="s">
        <v>248</v>
      </c>
      <c r="S109" t="str">
        <f t="shared" si="17"/>
        <v>towerkinners</v>
      </c>
      <c r="T109" t="s">
        <v>493</v>
      </c>
      <c r="U109" t="s">
        <v>767</v>
      </c>
      <c r="V109" t="s">
        <v>766</v>
      </c>
    </row>
    <row r="110" spans="1:22" hidden="1" x14ac:dyDescent="0.25">
      <c r="A110" s="1" t="s">
        <v>107</v>
      </c>
      <c r="B110" s="2" t="s">
        <v>251</v>
      </c>
      <c r="C110" s="3" t="str">
        <f t="shared" si="9"/>
        <v>towerkkbraceddiagsy</v>
      </c>
      <c r="D110" s="4">
        <f t="shared" si="10"/>
        <v>158</v>
      </c>
      <c r="E110" t="str">
        <f t="shared" si="11"/>
        <v>TowerRedundantHorizontalSize2</v>
      </c>
      <c r="F110" s="4" t="str">
        <f t="shared" si="12"/>
        <v>YES</v>
      </c>
      <c r="G110" s="4" t="str">
        <f t="shared" si="13"/>
        <v>YES</v>
      </c>
      <c r="H110" s="4" t="str">
        <f t="shared" si="14"/>
        <v>YES</v>
      </c>
      <c r="I110" s="4" t="str">
        <f t="shared" si="15"/>
        <v>YES</v>
      </c>
      <c r="J110" t="s">
        <v>447</v>
      </c>
      <c r="N110" t="str">
        <f t="shared" si="16"/>
        <v>towerkxbraceddiagsy</v>
      </c>
      <c r="O110" t="s">
        <v>494</v>
      </c>
      <c r="P110" t="s">
        <v>727</v>
      </c>
      <c r="Q110" t="s">
        <v>723</v>
      </c>
      <c r="R110" t="s">
        <v>248</v>
      </c>
      <c r="S110" t="str">
        <f t="shared" si="17"/>
        <v>towerkxbraceddiagsy</v>
      </c>
      <c r="T110" t="s">
        <v>494</v>
      </c>
      <c r="U110" t="s">
        <v>767</v>
      </c>
      <c r="V110" t="s">
        <v>766</v>
      </c>
    </row>
    <row r="111" spans="1:22" hidden="1" x14ac:dyDescent="0.25">
      <c r="A111" s="1" t="s">
        <v>108</v>
      </c>
      <c r="B111" s="2" t="s">
        <v>251</v>
      </c>
      <c r="C111" s="3" t="str">
        <f t="shared" si="9"/>
        <v>towerkzbraceddiagsy</v>
      </c>
      <c r="D111" s="4">
        <f t="shared" si="10"/>
        <v>159</v>
      </c>
      <c r="E111" t="str">
        <f t="shared" si="11"/>
        <v>TowerRedundantHorizontalSize3</v>
      </c>
      <c r="F111" s="4" t="str">
        <f t="shared" si="12"/>
        <v>YES</v>
      </c>
      <c r="G111" s="4" t="str">
        <f t="shared" si="13"/>
        <v>YES</v>
      </c>
      <c r="H111" s="4" t="str">
        <f t="shared" si="14"/>
        <v>YES</v>
      </c>
      <c r="I111" s="4" t="str">
        <f t="shared" si="15"/>
        <v>YES</v>
      </c>
      <c r="J111" t="s">
        <v>448</v>
      </c>
      <c r="N111" t="str">
        <f t="shared" si="16"/>
        <v>towerkkbraceddiagsy</v>
      </c>
      <c r="O111" t="s">
        <v>495</v>
      </c>
      <c r="P111" t="s">
        <v>727</v>
      </c>
      <c r="Q111" t="s">
        <v>723</v>
      </c>
      <c r="R111" t="s">
        <v>248</v>
      </c>
      <c r="S111" t="str">
        <f t="shared" si="17"/>
        <v>towerkkbraceddiagsy</v>
      </c>
      <c r="T111" t="s">
        <v>495</v>
      </c>
      <c r="U111" t="s">
        <v>767</v>
      </c>
      <c r="V111" t="s">
        <v>766</v>
      </c>
    </row>
    <row r="112" spans="1:22" hidden="1" x14ac:dyDescent="0.25">
      <c r="A112" s="1" t="s">
        <v>109</v>
      </c>
      <c r="B112" s="2" t="s">
        <v>251</v>
      </c>
      <c r="C112" s="3" t="str">
        <f t="shared" si="9"/>
        <v>towerkhorzsy</v>
      </c>
      <c r="D112" s="4">
        <f t="shared" si="10"/>
        <v>160</v>
      </c>
      <c r="E112" t="str">
        <f t="shared" si="11"/>
        <v>TowerRedundantHorizontalSize4</v>
      </c>
      <c r="F112" s="4" t="str">
        <f t="shared" si="12"/>
        <v>YES</v>
      </c>
      <c r="G112" s="4" t="str">
        <f t="shared" si="13"/>
        <v>YES</v>
      </c>
      <c r="H112" s="4" t="str">
        <f t="shared" si="14"/>
        <v>YES</v>
      </c>
      <c r="I112" s="4" t="str">
        <f t="shared" si="15"/>
        <v>YES</v>
      </c>
      <c r="J112" t="s">
        <v>449</v>
      </c>
      <c r="N112" t="str">
        <f t="shared" si="16"/>
        <v>towerkzbraceddiagsy</v>
      </c>
      <c r="O112" t="s">
        <v>496</v>
      </c>
      <c r="P112" t="s">
        <v>727</v>
      </c>
      <c r="Q112" t="s">
        <v>723</v>
      </c>
      <c r="R112" t="s">
        <v>248</v>
      </c>
      <c r="S112" t="str">
        <f t="shared" si="17"/>
        <v>towerkzbraceddiagsy</v>
      </c>
      <c r="T112" t="s">
        <v>496</v>
      </c>
      <c r="U112" t="s">
        <v>767</v>
      </c>
      <c r="V112" t="s">
        <v>766</v>
      </c>
    </row>
    <row r="113" spans="1:22" hidden="1" x14ac:dyDescent="0.25">
      <c r="A113" s="1" t="s">
        <v>110</v>
      </c>
      <c r="B113" s="2" t="s">
        <v>251</v>
      </c>
      <c r="C113" s="3" t="str">
        <f t="shared" si="9"/>
        <v>towerksechorzsy</v>
      </c>
      <c r="D113" s="4">
        <f t="shared" si="10"/>
        <v>161</v>
      </c>
      <c r="E113" t="str">
        <f t="shared" si="11"/>
        <v>TowerRedundantDiagonalSize</v>
      </c>
      <c r="F113" s="4" t="str">
        <f t="shared" si="12"/>
        <v>YES</v>
      </c>
      <c r="G113" s="4" t="str">
        <f t="shared" si="13"/>
        <v>YES</v>
      </c>
      <c r="H113" s="4" t="str">
        <f t="shared" si="14"/>
        <v>YES</v>
      </c>
      <c r="I113" s="4" t="str">
        <f t="shared" si="15"/>
        <v>YES</v>
      </c>
      <c r="J113" t="s">
        <v>450</v>
      </c>
      <c r="N113" t="str">
        <f t="shared" si="16"/>
        <v>towerkhorzsy</v>
      </c>
      <c r="O113" t="s">
        <v>497</v>
      </c>
      <c r="P113" t="s">
        <v>727</v>
      </c>
      <c r="Q113" t="s">
        <v>723</v>
      </c>
      <c r="R113" t="s">
        <v>248</v>
      </c>
      <c r="S113" t="str">
        <f t="shared" si="17"/>
        <v>towerkhorzsy</v>
      </c>
      <c r="T113" t="s">
        <v>497</v>
      </c>
      <c r="U113" t="s">
        <v>767</v>
      </c>
      <c r="V113" t="s">
        <v>766</v>
      </c>
    </row>
    <row r="114" spans="1:22" hidden="1" x14ac:dyDescent="0.25">
      <c r="A114" s="1" t="s">
        <v>111</v>
      </c>
      <c r="B114" s="2" t="s">
        <v>251</v>
      </c>
      <c r="C114" s="3" t="str">
        <f t="shared" si="9"/>
        <v>towerkgirtsy</v>
      </c>
      <c r="D114" s="4">
        <f t="shared" si="10"/>
        <v>162</v>
      </c>
      <c r="E114" t="str">
        <f t="shared" si="11"/>
        <v>TowerRedundantDiagonalSize2</v>
      </c>
      <c r="F114" s="4" t="str">
        <f t="shared" si="12"/>
        <v>YES</v>
      </c>
      <c r="G114" s="4" t="str">
        <f t="shared" si="13"/>
        <v>YES</v>
      </c>
      <c r="H114" s="4" t="str">
        <f t="shared" si="14"/>
        <v>YES</v>
      </c>
      <c r="I114" s="4" t="str">
        <f t="shared" si="15"/>
        <v>YES</v>
      </c>
      <c r="J114" t="s">
        <v>451</v>
      </c>
      <c r="N114" t="str">
        <f t="shared" si="16"/>
        <v>towerksechorzsy</v>
      </c>
      <c r="O114" t="s">
        <v>498</v>
      </c>
      <c r="P114" t="s">
        <v>727</v>
      </c>
      <c r="Q114" t="s">
        <v>723</v>
      </c>
      <c r="R114" t="s">
        <v>248</v>
      </c>
      <c r="S114" t="str">
        <f t="shared" si="17"/>
        <v>towerksechorzsy</v>
      </c>
      <c r="T114" t="s">
        <v>498</v>
      </c>
      <c r="U114" t="s">
        <v>767</v>
      </c>
      <c r="V114" t="s">
        <v>766</v>
      </c>
    </row>
    <row r="115" spans="1:22" hidden="1" x14ac:dyDescent="0.25">
      <c r="A115" s="1" t="s">
        <v>112</v>
      </c>
      <c r="B115" s="2" t="s">
        <v>251</v>
      </c>
      <c r="C115" s="3" t="str">
        <f t="shared" si="9"/>
        <v>towerkinnersy</v>
      </c>
      <c r="D115" s="4">
        <f t="shared" si="10"/>
        <v>163</v>
      </c>
      <c r="E115" t="str">
        <f t="shared" si="11"/>
        <v>TowerRedundantDiagonalSize3</v>
      </c>
      <c r="F115" s="4" t="str">
        <f t="shared" si="12"/>
        <v>YES</v>
      </c>
      <c r="G115" s="4" t="str">
        <f t="shared" si="13"/>
        <v>YES</v>
      </c>
      <c r="H115" s="4" t="str">
        <f t="shared" si="14"/>
        <v>YES</v>
      </c>
      <c r="I115" s="4" t="str">
        <f t="shared" si="15"/>
        <v>YES</v>
      </c>
      <c r="J115" t="s">
        <v>452</v>
      </c>
      <c r="N115" t="str">
        <f t="shared" si="16"/>
        <v>towerkgirtsy</v>
      </c>
      <c r="O115" t="s">
        <v>499</v>
      </c>
      <c r="P115" t="s">
        <v>727</v>
      </c>
      <c r="Q115" t="s">
        <v>723</v>
      </c>
      <c r="R115" t="s">
        <v>248</v>
      </c>
      <c r="S115" t="str">
        <f t="shared" si="17"/>
        <v>towerkgirtsy</v>
      </c>
      <c r="T115" t="s">
        <v>499</v>
      </c>
      <c r="U115" t="s">
        <v>767</v>
      </c>
      <c r="V115" t="s">
        <v>766</v>
      </c>
    </row>
    <row r="116" spans="1:22" hidden="1" x14ac:dyDescent="0.25">
      <c r="A116" s="1" t="s">
        <v>113</v>
      </c>
      <c r="B116" s="2" t="s">
        <v>251</v>
      </c>
      <c r="C116" s="3" t="str">
        <f t="shared" si="9"/>
        <v>towerkredhorz</v>
      </c>
      <c r="D116" s="4">
        <f t="shared" si="10"/>
        <v>164</v>
      </c>
      <c r="E116" t="str">
        <f t="shared" si="11"/>
        <v>TowerRedundantDiagonalSize4</v>
      </c>
      <c r="F116" s="4" t="str">
        <f t="shared" si="12"/>
        <v>YES</v>
      </c>
      <c r="G116" s="4" t="str">
        <f t="shared" si="13"/>
        <v>YES</v>
      </c>
      <c r="H116" s="4" t="str">
        <f t="shared" si="14"/>
        <v>YES</v>
      </c>
      <c r="I116" s="4" t="str">
        <f t="shared" si="15"/>
        <v>YES</v>
      </c>
      <c r="J116" t="s">
        <v>453</v>
      </c>
      <c r="N116" t="str">
        <f t="shared" si="16"/>
        <v>towerkinnersy</v>
      </c>
      <c r="O116" t="s">
        <v>500</v>
      </c>
      <c r="P116" t="s">
        <v>727</v>
      </c>
      <c r="Q116" t="s">
        <v>723</v>
      </c>
      <c r="R116" t="s">
        <v>248</v>
      </c>
      <c r="S116" t="str">
        <f t="shared" si="17"/>
        <v>towerkinnersy</v>
      </c>
      <c r="T116" t="s">
        <v>500</v>
      </c>
      <c r="U116" t="s">
        <v>767</v>
      </c>
      <c r="V116" t="s">
        <v>766</v>
      </c>
    </row>
    <row r="117" spans="1:22" hidden="1" x14ac:dyDescent="0.25">
      <c r="A117" s="1" t="s">
        <v>114</v>
      </c>
      <c r="B117" s="2" t="s">
        <v>251</v>
      </c>
      <c r="C117" s="3" t="str">
        <f t="shared" si="9"/>
        <v>towerkreddiag</v>
      </c>
      <c r="D117" s="4">
        <f t="shared" si="10"/>
        <v>165</v>
      </c>
      <c r="E117" t="str">
        <f t="shared" si="11"/>
        <v>TowerRedundantSubHorizontalSize</v>
      </c>
      <c r="F117" s="4" t="str">
        <f t="shared" si="12"/>
        <v>YES</v>
      </c>
      <c r="G117" s="4" t="str">
        <f t="shared" si="13"/>
        <v>YES</v>
      </c>
      <c r="H117" s="4" t="str">
        <f t="shared" si="14"/>
        <v>YES</v>
      </c>
      <c r="I117" s="4" t="str">
        <f t="shared" si="15"/>
        <v>YES</v>
      </c>
      <c r="J117" t="s">
        <v>454</v>
      </c>
      <c r="N117" t="str">
        <f t="shared" si="16"/>
        <v>towerkredhorz</v>
      </c>
      <c r="O117" t="s">
        <v>501</v>
      </c>
      <c r="P117" t="s">
        <v>727</v>
      </c>
      <c r="Q117" t="s">
        <v>723</v>
      </c>
      <c r="R117" t="s">
        <v>248</v>
      </c>
      <c r="S117" t="str">
        <f t="shared" si="17"/>
        <v>towerkredhorz</v>
      </c>
      <c r="T117" t="s">
        <v>501</v>
      </c>
      <c r="U117" t="s">
        <v>767</v>
      </c>
      <c r="V117" t="s">
        <v>766</v>
      </c>
    </row>
    <row r="118" spans="1:22" hidden="1" x14ac:dyDescent="0.25">
      <c r="A118" s="1" t="s">
        <v>115</v>
      </c>
      <c r="B118" s="2" t="s">
        <v>251</v>
      </c>
      <c r="C118" s="3" t="str">
        <f t="shared" si="9"/>
        <v>towerkredsubdiag</v>
      </c>
      <c r="D118" s="4">
        <f t="shared" si="10"/>
        <v>166</v>
      </c>
      <c r="E118" t="str">
        <f t="shared" si="11"/>
        <v>TowerRedundantSubDiagonalSize</v>
      </c>
      <c r="F118" s="4" t="str">
        <f t="shared" si="12"/>
        <v>YES</v>
      </c>
      <c r="G118" s="4" t="str">
        <f t="shared" si="13"/>
        <v>YES</v>
      </c>
      <c r="H118" s="4" t="str">
        <f t="shared" si="14"/>
        <v>YES</v>
      </c>
      <c r="I118" s="4" t="str">
        <f t="shared" si="15"/>
        <v>YES</v>
      </c>
      <c r="J118" t="s">
        <v>455</v>
      </c>
      <c r="N118" t="str">
        <f t="shared" si="16"/>
        <v>towerkreddiag</v>
      </c>
      <c r="O118" t="s">
        <v>502</v>
      </c>
      <c r="P118" t="s">
        <v>727</v>
      </c>
      <c r="Q118" t="s">
        <v>723</v>
      </c>
      <c r="R118" t="s">
        <v>248</v>
      </c>
      <c r="S118" t="str">
        <f t="shared" si="17"/>
        <v>towerkreddiag</v>
      </c>
      <c r="T118" t="s">
        <v>502</v>
      </c>
      <c r="U118" t="s">
        <v>767</v>
      </c>
      <c r="V118" t="s">
        <v>766</v>
      </c>
    </row>
    <row r="119" spans="1:22" hidden="1" x14ac:dyDescent="0.25">
      <c r="A119" s="1" t="s">
        <v>116</v>
      </c>
      <c r="B119" s="2" t="s">
        <v>251</v>
      </c>
      <c r="C119" s="3" t="str">
        <f t="shared" si="9"/>
        <v>towerkredsubhorz</v>
      </c>
      <c r="D119" s="4">
        <f t="shared" si="10"/>
        <v>167</v>
      </c>
      <c r="E119" t="str">
        <f t="shared" si="11"/>
        <v>TowerSubDiagLocation</v>
      </c>
      <c r="F119" s="4" t="str">
        <f t="shared" si="12"/>
        <v>YES</v>
      </c>
      <c r="G119" s="4" t="str">
        <f t="shared" si="13"/>
        <v>YES</v>
      </c>
      <c r="H119" s="4" t="str">
        <f t="shared" si="14"/>
        <v>YES</v>
      </c>
      <c r="I119" s="4" t="str">
        <f t="shared" si="15"/>
        <v>YES</v>
      </c>
      <c r="J119" t="s">
        <v>456</v>
      </c>
      <c r="N119" t="str">
        <f t="shared" si="16"/>
        <v>towerkredsubdiag</v>
      </c>
      <c r="O119" t="s">
        <v>503</v>
      </c>
      <c r="P119" t="s">
        <v>727</v>
      </c>
      <c r="Q119" t="s">
        <v>723</v>
      </c>
      <c r="R119" t="s">
        <v>248</v>
      </c>
      <c r="S119" t="str">
        <f t="shared" si="17"/>
        <v>towerkredsubdiag</v>
      </c>
      <c r="T119" t="s">
        <v>503</v>
      </c>
      <c r="U119" t="s">
        <v>767</v>
      </c>
      <c r="V119" t="s">
        <v>766</v>
      </c>
    </row>
    <row r="120" spans="1:22" hidden="1" x14ac:dyDescent="0.25">
      <c r="A120" s="1" t="s">
        <v>117</v>
      </c>
      <c r="B120" s="2" t="s">
        <v>251</v>
      </c>
      <c r="C120" s="3" t="str">
        <f t="shared" si="9"/>
        <v>towerkredvert</v>
      </c>
      <c r="D120" s="4">
        <f t="shared" si="10"/>
        <v>168</v>
      </c>
      <c r="E120" t="str">
        <f t="shared" si="11"/>
        <v>TowerRedundantVerticalSize</v>
      </c>
      <c r="F120" s="4" t="str">
        <f t="shared" si="12"/>
        <v>YES</v>
      </c>
      <c r="G120" s="4" t="str">
        <f t="shared" si="13"/>
        <v>YES</v>
      </c>
      <c r="H120" s="4" t="str">
        <f t="shared" si="14"/>
        <v>YES</v>
      </c>
      <c r="I120" s="4" t="str">
        <f t="shared" si="15"/>
        <v>YES</v>
      </c>
      <c r="J120" t="s">
        <v>457</v>
      </c>
      <c r="N120" t="str">
        <f t="shared" si="16"/>
        <v>towerkredsubhorz</v>
      </c>
      <c r="O120" t="s">
        <v>504</v>
      </c>
      <c r="P120" t="s">
        <v>727</v>
      </c>
      <c r="Q120" t="s">
        <v>723</v>
      </c>
      <c r="R120" t="s">
        <v>248</v>
      </c>
      <c r="S120" t="str">
        <f t="shared" si="17"/>
        <v>towerkredsubhorz</v>
      </c>
      <c r="T120" t="s">
        <v>504</v>
      </c>
      <c r="U120" t="s">
        <v>767</v>
      </c>
      <c r="V120" t="s">
        <v>766</v>
      </c>
    </row>
    <row r="121" spans="1:22" hidden="1" x14ac:dyDescent="0.25">
      <c r="A121" s="1" t="s">
        <v>118</v>
      </c>
      <c r="B121" s="2" t="s">
        <v>251</v>
      </c>
      <c r="C121" s="3" t="str">
        <f t="shared" si="9"/>
        <v>towerkredhip</v>
      </c>
      <c r="D121" s="4">
        <f t="shared" si="10"/>
        <v>169</v>
      </c>
      <c r="E121" t="str">
        <f t="shared" si="11"/>
        <v>TowerRedundantHipSize</v>
      </c>
      <c r="F121" s="4" t="str">
        <f t="shared" si="12"/>
        <v>YES</v>
      </c>
      <c r="G121" s="4" t="str">
        <f t="shared" si="13"/>
        <v>YES</v>
      </c>
      <c r="H121" s="4" t="str">
        <f t="shared" si="14"/>
        <v>YES</v>
      </c>
      <c r="I121" s="4" t="str">
        <f t="shared" si="15"/>
        <v>YES</v>
      </c>
      <c r="J121" t="s">
        <v>458</v>
      </c>
      <c r="N121" t="str">
        <f t="shared" si="16"/>
        <v>towerkredvert</v>
      </c>
      <c r="O121" t="s">
        <v>505</v>
      </c>
      <c r="P121" t="s">
        <v>727</v>
      </c>
      <c r="Q121" t="s">
        <v>723</v>
      </c>
      <c r="R121" t="s">
        <v>248</v>
      </c>
      <c r="S121" t="str">
        <f t="shared" si="17"/>
        <v>towerkredvert</v>
      </c>
      <c r="T121" t="s">
        <v>505</v>
      </c>
      <c r="U121" t="s">
        <v>767</v>
      </c>
      <c r="V121" t="s">
        <v>766</v>
      </c>
    </row>
    <row r="122" spans="1:22" hidden="1" x14ac:dyDescent="0.25">
      <c r="A122" s="1" t="s">
        <v>119</v>
      </c>
      <c r="B122" s="2" t="s">
        <v>251</v>
      </c>
      <c r="C122" s="3" t="str">
        <f t="shared" si="9"/>
        <v>towerkredhipdiag</v>
      </c>
      <c r="D122" s="4">
        <f t="shared" si="10"/>
        <v>170</v>
      </c>
      <c r="E122" t="str">
        <f t="shared" si="11"/>
        <v>TowerRedundantHipSize2</v>
      </c>
      <c r="F122" s="4" t="str">
        <f t="shared" si="12"/>
        <v>YES</v>
      </c>
      <c r="G122" s="4" t="str">
        <f t="shared" si="13"/>
        <v>YES</v>
      </c>
      <c r="H122" s="4" t="str">
        <f t="shared" si="14"/>
        <v>YES</v>
      </c>
      <c r="I122" s="4" t="str">
        <f t="shared" si="15"/>
        <v>YES</v>
      </c>
      <c r="J122" t="s">
        <v>459</v>
      </c>
      <c r="N122" t="str">
        <f t="shared" si="16"/>
        <v>towerkredhip</v>
      </c>
      <c r="O122" t="s">
        <v>506</v>
      </c>
      <c r="P122" t="s">
        <v>727</v>
      </c>
      <c r="Q122" t="s">
        <v>723</v>
      </c>
      <c r="R122" t="s">
        <v>248</v>
      </c>
      <c r="S122" t="str">
        <f t="shared" si="17"/>
        <v>towerkredhip</v>
      </c>
      <c r="T122" t="s">
        <v>506</v>
      </c>
      <c r="U122" t="s">
        <v>767</v>
      </c>
      <c r="V122" t="s">
        <v>766</v>
      </c>
    </row>
    <row r="123" spans="1:22" hidden="1" x14ac:dyDescent="0.25">
      <c r="A123" s="1" t="s">
        <v>120</v>
      </c>
      <c r="B123" s="2" t="s">
        <v>251</v>
      </c>
      <c r="C123" s="3" t="str">
        <f t="shared" si="9"/>
        <v>towerktlx</v>
      </c>
      <c r="D123" s="4">
        <f t="shared" si="10"/>
        <v>171</v>
      </c>
      <c r="E123" t="str">
        <f t="shared" si="11"/>
        <v>TowerRedundantHipSize3</v>
      </c>
      <c r="F123" s="4" t="str">
        <f t="shared" si="12"/>
        <v>YES</v>
      </c>
      <c r="G123" s="4" t="str">
        <f t="shared" si="13"/>
        <v>YES</v>
      </c>
      <c r="H123" s="4" t="str">
        <f t="shared" si="14"/>
        <v>YES</v>
      </c>
      <c r="I123" s="4" t="str">
        <f t="shared" si="15"/>
        <v>YES</v>
      </c>
      <c r="J123" t="s">
        <v>460</v>
      </c>
      <c r="N123" t="str">
        <f t="shared" si="16"/>
        <v>towerkredhipdiag</v>
      </c>
      <c r="O123" t="s">
        <v>507</v>
      </c>
      <c r="P123" t="s">
        <v>727</v>
      </c>
      <c r="Q123" t="s">
        <v>723</v>
      </c>
      <c r="R123" t="s">
        <v>248</v>
      </c>
      <c r="S123" t="str">
        <f t="shared" si="17"/>
        <v>towerkredhipdiag</v>
      </c>
      <c r="T123" t="s">
        <v>507</v>
      </c>
      <c r="U123" t="s">
        <v>767</v>
      </c>
      <c r="V123" t="s">
        <v>766</v>
      </c>
    </row>
    <row r="124" spans="1:22" hidden="1" x14ac:dyDescent="0.25">
      <c r="A124" s="1" t="s">
        <v>121</v>
      </c>
      <c r="B124" s="2" t="s">
        <v>251</v>
      </c>
      <c r="C124" s="3" t="str">
        <f t="shared" si="9"/>
        <v>towerktlz</v>
      </c>
      <c r="D124" s="4">
        <f t="shared" si="10"/>
        <v>172</v>
      </c>
      <c r="E124" t="str">
        <f t="shared" si="11"/>
        <v>TowerRedundantHipSize4</v>
      </c>
      <c r="F124" s="4" t="str">
        <f t="shared" si="12"/>
        <v>YES</v>
      </c>
      <c r="G124" s="4" t="str">
        <f t="shared" si="13"/>
        <v>YES</v>
      </c>
      <c r="H124" s="4" t="str">
        <f t="shared" si="14"/>
        <v>YES</v>
      </c>
      <c r="I124" s="4" t="str">
        <f t="shared" si="15"/>
        <v>YES</v>
      </c>
      <c r="J124" t="s">
        <v>461</v>
      </c>
      <c r="N124" t="str">
        <f t="shared" si="16"/>
        <v>towerktlx</v>
      </c>
      <c r="O124" t="s">
        <v>508</v>
      </c>
      <c r="P124" t="s">
        <v>727</v>
      </c>
      <c r="Q124" t="s">
        <v>723</v>
      </c>
      <c r="R124" t="s">
        <v>248</v>
      </c>
      <c r="S124" t="str">
        <f t="shared" si="17"/>
        <v>towerktlx</v>
      </c>
      <c r="T124" t="s">
        <v>508</v>
      </c>
      <c r="U124" t="s">
        <v>767</v>
      </c>
      <c r="V124" t="s">
        <v>766</v>
      </c>
    </row>
    <row r="125" spans="1:22" hidden="1" x14ac:dyDescent="0.25">
      <c r="A125" s="1" t="s">
        <v>122</v>
      </c>
      <c r="B125" s="2" t="s">
        <v>251</v>
      </c>
      <c r="C125" s="3" t="str">
        <f t="shared" si="9"/>
        <v>towerktlleg</v>
      </c>
      <c r="D125" s="4">
        <f t="shared" si="10"/>
        <v>173</v>
      </c>
      <c r="E125" t="str">
        <f t="shared" si="11"/>
        <v>TowerRedundantHipDiagonalSize</v>
      </c>
      <c r="F125" s="4" t="str">
        <f t="shared" si="12"/>
        <v>YES</v>
      </c>
      <c r="G125" s="4" t="str">
        <f t="shared" si="13"/>
        <v>YES</v>
      </c>
      <c r="H125" s="4" t="str">
        <f t="shared" si="14"/>
        <v>YES</v>
      </c>
      <c r="I125" s="4" t="str">
        <f t="shared" si="15"/>
        <v>YES</v>
      </c>
      <c r="J125" t="s">
        <v>462</v>
      </c>
      <c r="N125" t="str">
        <f t="shared" si="16"/>
        <v>towerktlz</v>
      </c>
      <c r="O125" t="s">
        <v>509</v>
      </c>
      <c r="P125" t="s">
        <v>727</v>
      </c>
      <c r="Q125" t="s">
        <v>723</v>
      </c>
      <c r="R125" t="s">
        <v>248</v>
      </c>
      <c r="S125" t="str">
        <f t="shared" si="17"/>
        <v>towerktlz</v>
      </c>
      <c r="T125" t="s">
        <v>509</v>
      </c>
      <c r="U125" t="s">
        <v>767</v>
      </c>
      <c r="V125" t="s">
        <v>766</v>
      </c>
    </row>
    <row r="126" spans="1:22" hidden="1" x14ac:dyDescent="0.25">
      <c r="A126" s="1" t="s">
        <v>123</v>
      </c>
      <c r="B126" s="2" t="s">
        <v>251</v>
      </c>
      <c r="C126" s="3" t="str">
        <f t="shared" si="9"/>
        <v>towerinnerktlx</v>
      </c>
      <c r="D126" s="4">
        <f t="shared" si="10"/>
        <v>174</v>
      </c>
      <c r="E126" t="str">
        <f t="shared" si="11"/>
        <v>TowerRedundantHipDiagonalSize2</v>
      </c>
      <c r="F126" s="4" t="str">
        <f t="shared" si="12"/>
        <v>YES</v>
      </c>
      <c r="G126" s="4" t="str">
        <f t="shared" si="13"/>
        <v>YES</v>
      </c>
      <c r="H126" s="4" t="str">
        <f t="shared" si="14"/>
        <v>YES</v>
      </c>
      <c r="I126" s="4" t="str">
        <f t="shared" si="15"/>
        <v>YES</v>
      </c>
      <c r="J126" t="s">
        <v>463</v>
      </c>
      <c r="N126" t="str">
        <f t="shared" si="16"/>
        <v>towerktlleg</v>
      </c>
      <c r="O126" t="s">
        <v>510</v>
      </c>
      <c r="P126" t="s">
        <v>727</v>
      </c>
      <c r="Q126" t="s">
        <v>723</v>
      </c>
      <c r="R126" t="s">
        <v>248</v>
      </c>
      <c r="S126" t="str">
        <f t="shared" si="17"/>
        <v>towerktlleg</v>
      </c>
      <c r="T126" t="s">
        <v>510</v>
      </c>
      <c r="U126" t="s">
        <v>767</v>
      </c>
      <c r="V126" t="s">
        <v>766</v>
      </c>
    </row>
    <row r="127" spans="1:22" hidden="1" x14ac:dyDescent="0.25">
      <c r="A127" s="1" t="s">
        <v>124</v>
      </c>
      <c r="B127" s="2" t="s">
        <v>251</v>
      </c>
      <c r="C127" s="3" t="str">
        <f t="shared" si="9"/>
        <v>towerinnerktlz</v>
      </c>
      <c r="D127" s="4">
        <f t="shared" si="10"/>
        <v>175</v>
      </c>
      <c r="E127" t="str">
        <f t="shared" si="11"/>
        <v>TowerRedundantHipDiagonalSize3</v>
      </c>
      <c r="F127" s="4" t="str">
        <f t="shared" si="12"/>
        <v>YES</v>
      </c>
      <c r="G127" s="4" t="str">
        <f t="shared" si="13"/>
        <v>YES</v>
      </c>
      <c r="H127" s="4" t="str">
        <f t="shared" si="14"/>
        <v>YES</v>
      </c>
      <c r="I127" s="4" t="str">
        <f t="shared" si="15"/>
        <v>YES</v>
      </c>
      <c r="J127" t="s">
        <v>464</v>
      </c>
      <c r="N127" t="str">
        <f t="shared" si="16"/>
        <v>towerinnerktlx</v>
      </c>
      <c r="O127" t="s">
        <v>511</v>
      </c>
      <c r="P127" t="s">
        <v>727</v>
      </c>
      <c r="Q127" t="s">
        <v>723</v>
      </c>
      <c r="R127" t="s">
        <v>248</v>
      </c>
      <c r="S127" t="str">
        <f t="shared" si="17"/>
        <v>towerinnerktlx</v>
      </c>
      <c r="T127" t="s">
        <v>511</v>
      </c>
      <c r="U127" t="s">
        <v>767</v>
      </c>
      <c r="V127" t="s">
        <v>766</v>
      </c>
    </row>
    <row r="128" spans="1:22" hidden="1" x14ac:dyDescent="0.25">
      <c r="A128" s="1" t="s">
        <v>125</v>
      </c>
      <c r="B128" s="2" t="s">
        <v>251</v>
      </c>
      <c r="C128" s="3" t="str">
        <f t="shared" si="9"/>
        <v>towerinnerktlleg</v>
      </c>
      <c r="D128" s="4">
        <f t="shared" si="10"/>
        <v>176</v>
      </c>
      <c r="E128" t="str">
        <f t="shared" si="11"/>
        <v>TowerRedundantHipDiagonalSize4</v>
      </c>
      <c r="F128" s="4" t="str">
        <f t="shared" si="12"/>
        <v>YES</v>
      </c>
      <c r="G128" s="4" t="str">
        <f t="shared" si="13"/>
        <v>YES</v>
      </c>
      <c r="H128" s="4" t="str">
        <f t="shared" si="14"/>
        <v>YES</v>
      </c>
      <c r="I128" s="4" t="str">
        <f t="shared" si="15"/>
        <v>YES</v>
      </c>
      <c r="J128" t="s">
        <v>465</v>
      </c>
      <c r="N128" t="str">
        <f t="shared" si="16"/>
        <v>towerinnerktlz</v>
      </c>
      <c r="O128" t="s">
        <v>512</v>
      </c>
      <c r="P128" t="s">
        <v>727</v>
      </c>
      <c r="Q128" t="s">
        <v>723</v>
      </c>
      <c r="R128" t="s">
        <v>248</v>
      </c>
      <c r="S128" t="str">
        <f t="shared" si="17"/>
        <v>towerinnerktlz</v>
      </c>
      <c r="T128" t="s">
        <v>512</v>
      </c>
      <c r="U128" t="s">
        <v>767</v>
      </c>
      <c r="V128" t="s">
        <v>766</v>
      </c>
    </row>
    <row r="129" spans="1:22" hidden="1" x14ac:dyDescent="0.25">
      <c r="A129" s="1" t="s">
        <v>126</v>
      </c>
      <c r="B129" s="2" t="s">
        <v>277</v>
      </c>
      <c r="C129" s="3" t="str">
        <f t="shared" si="9"/>
        <v>towerstitchboltlocationhoriz</v>
      </c>
      <c r="D129" s="4">
        <f t="shared" si="10"/>
        <v>177</v>
      </c>
      <c r="E129" t="str">
        <f t="shared" si="11"/>
        <v>TowerSWMult</v>
      </c>
      <c r="F129" s="4" t="str">
        <f t="shared" si="12"/>
        <v>YES</v>
      </c>
      <c r="G129" s="4" t="str">
        <f t="shared" si="13"/>
        <v>YES</v>
      </c>
      <c r="H129" s="4" t="str">
        <f t="shared" si="14"/>
        <v>YES</v>
      </c>
      <c r="I129" s="4" t="str">
        <f t="shared" si="15"/>
        <v>YES</v>
      </c>
      <c r="J129" t="s">
        <v>466</v>
      </c>
      <c r="N129" t="str">
        <f t="shared" si="16"/>
        <v>towerinnerktlleg</v>
      </c>
      <c r="O129" t="s">
        <v>513</v>
      </c>
      <c r="P129" t="s">
        <v>727</v>
      </c>
      <c r="Q129" t="s">
        <v>723</v>
      </c>
      <c r="R129" t="s">
        <v>248</v>
      </c>
      <c r="S129" t="str">
        <f t="shared" si="17"/>
        <v>towerinnerktlleg</v>
      </c>
      <c r="T129" t="s">
        <v>513</v>
      </c>
      <c r="U129" t="s">
        <v>767</v>
      </c>
      <c r="V129" t="s">
        <v>766</v>
      </c>
    </row>
    <row r="130" spans="1:22" hidden="1" x14ac:dyDescent="0.25">
      <c r="A130" s="1" t="s">
        <v>127</v>
      </c>
      <c r="B130" s="2" t="s">
        <v>277</v>
      </c>
      <c r="C130" s="3" t="str">
        <f t="shared" si="9"/>
        <v>towerstitchboltlocationdiag</v>
      </c>
      <c r="D130" s="4">
        <f t="shared" si="10"/>
        <v>178</v>
      </c>
      <c r="E130" t="str">
        <f t="shared" si="11"/>
        <v>TowerWPMult</v>
      </c>
      <c r="F130" s="4" t="str">
        <f t="shared" si="12"/>
        <v>YES</v>
      </c>
      <c r="G130" s="4" t="str">
        <f t="shared" si="13"/>
        <v>YES</v>
      </c>
      <c r="H130" s="4" t="str">
        <f t="shared" si="14"/>
        <v>YES</v>
      </c>
      <c r="I130" s="4" t="str">
        <f t="shared" si="15"/>
        <v>YES</v>
      </c>
      <c r="J130" t="s">
        <v>467</v>
      </c>
      <c r="N130" t="str">
        <f t="shared" si="16"/>
        <v>towerstitchboltlocationhoriz</v>
      </c>
      <c r="O130" t="s">
        <v>514</v>
      </c>
      <c r="P130" t="s">
        <v>728</v>
      </c>
      <c r="Q130" t="s">
        <v>248</v>
      </c>
      <c r="S130" t="str">
        <f t="shared" si="17"/>
        <v>towerstitchboltlocationhoriz</v>
      </c>
      <c r="T130" t="s">
        <v>514</v>
      </c>
      <c r="U130" t="s">
        <v>769</v>
      </c>
      <c r="V130" t="s">
        <v>766</v>
      </c>
    </row>
    <row r="131" spans="1:22" hidden="1" x14ac:dyDescent="0.25">
      <c r="A131" s="1" t="s">
        <v>128</v>
      </c>
      <c r="B131" s="2" t="s">
        <v>277</v>
      </c>
      <c r="C131" s="3" t="str">
        <f t="shared" si="9"/>
        <v>towerstitchboltlocationred</v>
      </c>
      <c r="D131" s="4">
        <f t="shared" si="10"/>
        <v>179</v>
      </c>
      <c r="E131" t="str">
        <f t="shared" si="11"/>
        <v>TowerAutoCalcKSingleAngle</v>
      </c>
      <c r="F131" s="4" t="str">
        <f t="shared" si="12"/>
        <v>YES</v>
      </c>
      <c r="G131" s="4" t="str">
        <f t="shared" si="13"/>
        <v>YES</v>
      </c>
      <c r="H131" s="4" t="str">
        <f t="shared" si="14"/>
        <v>YES</v>
      </c>
      <c r="I131" s="4" t="str">
        <f t="shared" si="15"/>
        <v>YES</v>
      </c>
      <c r="J131" t="s">
        <v>468</v>
      </c>
      <c r="N131" t="str">
        <f t="shared" si="16"/>
        <v>towerstitchboltlocationdiag</v>
      </c>
      <c r="O131" t="s">
        <v>516</v>
      </c>
      <c r="P131" t="s">
        <v>728</v>
      </c>
      <c r="Q131" t="s">
        <v>248</v>
      </c>
      <c r="S131" t="str">
        <f t="shared" si="17"/>
        <v>towerstitchboltlocationdiag</v>
      </c>
      <c r="T131" t="s">
        <v>516</v>
      </c>
      <c r="U131" t="s">
        <v>769</v>
      </c>
      <c r="V131" t="s">
        <v>766</v>
      </c>
    </row>
    <row r="132" spans="1:22" hidden="1" x14ac:dyDescent="0.25">
      <c r="A132" s="1" t="s">
        <v>129</v>
      </c>
      <c r="B132" s="2" t="s">
        <v>254</v>
      </c>
      <c r="C132" s="3" t="str">
        <f t="shared" si="9"/>
        <v>towerstitchspacing</v>
      </c>
      <c r="D132" s="4">
        <f t="shared" si="10"/>
        <v>180</v>
      </c>
      <c r="E132" t="str">
        <f t="shared" si="11"/>
        <v>TowerAutoCalcKSolidRound</v>
      </c>
      <c r="F132" s="4" t="str">
        <f t="shared" si="12"/>
        <v>YES</v>
      </c>
      <c r="G132" s="4" t="str">
        <f t="shared" si="13"/>
        <v>YES</v>
      </c>
      <c r="H132" s="4" t="str">
        <f t="shared" si="14"/>
        <v>YES</v>
      </c>
      <c r="I132" s="4" t="str">
        <f t="shared" si="15"/>
        <v>YES</v>
      </c>
      <c r="J132" t="s">
        <v>469</v>
      </c>
      <c r="N132" t="str">
        <f t="shared" si="16"/>
        <v>towerstitchboltlocationred</v>
      </c>
      <c r="O132" t="s">
        <v>517</v>
      </c>
      <c r="P132" t="s">
        <v>728</v>
      </c>
      <c r="Q132" t="s">
        <v>248</v>
      </c>
      <c r="S132" t="str">
        <f t="shared" si="17"/>
        <v>towerstitchboltlocationred</v>
      </c>
      <c r="T132" t="s">
        <v>517</v>
      </c>
      <c r="U132" t="s">
        <v>769</v>
      </c>
      <c r="V132" t="s">
        <v>766</v>
      </c>
    </row>
    <row r="133" spans="1:22" hidden="1" x14ac:dyDescent="0.25">
      <c r="A133" s="1" t="s">
        <v>130</v>
      </c>
      <c r="B133" s="2" t="s">
        <v>254</v>
      </c>
      <c r="C133" s="3" t="str">
        <f t="shared" ref="C133:C196" si="18">TRIM(SUBSTITUTE(A133,",",""))</f>
        <v>towerstitchspacingdiag</v>
      </c>
      <c r="D133" s="4">
        <f t="shared" ref="D133:D196" si="19">MATCH(C133,E:E,0)</f>
        <v>181</v>
      </c>
      <c r="E133" t="str">
        <f t="shared" ref="E133:E196" si="20">(J133)</f>
        <v>TowerAfGusset</v>
      </c>
      <c r="F133" s="4" t="str">
        <f t="shared" ref="F133:F196" si="21">IFERROR(IF(MATCH(E133,C:C,0)&gt;0,"YES"),"NO")</f>
        <v>YES</v>
      </c>
      <c r="G133" s="4" t="str">
        <f t="shared" ref="G133:G196" si="22">IFERROR(IF(MATCH(E133,N:N,0)&gt;0,"YES"),"NO")</f>
        <v>YES</v>
      </c>
      <c r="H133" s="4" t="str">
        <f t="shared" ref="H133:H196" si="23">IFERROR(IF(MATCH(E133,S:S,0)&gt;0,"YES"),"NO")</f>
        <v>YES</v>
      </c>
      <c r="I133" s="4" t="str">
        <f t="shared" ref="I133:I196" si="24">IF(OR(F133="NO",G133="NO"),"NO","YES")</f>
        <v>YES</v>
      </c>
      <c r="J133" t="s">
        <v>470</v>
      </c>
      <c r="N133" t="str">
        <f t="shared" ref="N133:N196" si="25">TRIM(LOWER(O133))</f>
        <v>towerstitchspacing</v>
      </c>
      <c r="O133" t="s">
        <v>518</v>
      </c>
      <c r="P133" t="s">
        <v>727</v>
      </c>
      <c r="Q133" t="s">
        <v>723</v>
      </c>
      <c r="R133" t="s">
        <v>248</v>
      </c>
      <c r="S133" t="str">
        <f t="shared" ref="S133:S196" si="26">TRIM(LOWER(T133))</f>
        <v>towerstitchspacing</v>
      </c>
      <c r="T133" t="s">
        <v>518</v>
      </c>
      <c r="U133" t="s">
        <v>767</v>
      </c>
      <c r="V133" t="s">
        <v>766</v>
      </c>
    </row>
    <row r="134" spans="1:22" hidden="1" x14ac:dyDescent="0.25">
      <c r="A134" s="1" t="s">
        <v>131</v>
      </c>
      <c r="B134" s="2" t="s">
        <v>254</v>
      </c>
      <c r="C134" s="3" t="str">
        <f t="shared" si="18"/>
        <v>towerstitchspacinghorz</v>
      </c>
      <c r="D134" s="4">
        <f t="shared" si="19"/>
        <v>182</v>
      </c>
      <c r="E134" t="str">
        <f t="shared" si="20"/>
        <v>TowerTfGusset</v>
      </c>
      <c r="F134" s="4" t="str">
        <f t="shared" si="21"/>
        <v>YES</v>
      </c>
      <c r="G134" s="4" t="str">
        <f t="shared" si="22"/>
        <v>YES</v>
      </c>
      <c r="H134" s="4" t="str">
        <f t="shared" si="23"/>
        <v>YES</v>
      </c>
      <c r="I134" s="4" t="str">
        <f t="shared" si="24"/>
        <v>YES</v>
      </c>
      <c r="J134" t="s">
        <v>471</v>
      </c>
      <c r="N134" t="str">
        <f t="shared" si="25"/>
        <v>towerstitchspacingdiag</v>
      </c>
      <c r="O134" t="s">
        <v>519</v>
      </c>
      <c r="P134" t="s">
        <v>727</v>
      </c>
      <c r="Q134" t="s">
        <v>723</v>
      </c>
      <c r="R134" t="s">
        <v>248</v>
      </c>
      <c r="S134" t="str">
        <f t="shared" si="26"/>
        <v>towerstitchspacingdiag</v>
      </c>
      <c r="T134" t="s">
        <v>519</v>
      </c>
      <c r="U134" t="s">
        <v>767</v>
      </c>
      <c r="V134" t="s">
        <v>766</v>
      </c>
    </row>
    <row r="135" spans="1:22" hidden="1" x14ac:dyDescent="0.25">
      <c r="A135" s="1" t="s">
        <v>132</v>
      </c>
      <c r="B135" s="2" t="s">
        <v>254</v>
      </c>
      <c r="C135" s="3" t="str">
        <f t="shared" si="18"/>
        <v>towerstitchspacingred</v>
      </c>
      <c r="D135" s="4">
        <f t="shared" si="19"/>
        <v>183</v>
      </c>
      <c r="E135" t="str">
        <f t="shared" si="20"/>
        <v>TowerGussetBoltEdgeDistance</v>
      </c>
      <c r="F135" s="4" t="str">
        <f t="shared" si="21"/>
        <v>YES</v>
      </c>
      <c r="G135" s="4" t="str">
        <f t="shared" si="22"/>
        <v>YES</v>
      </c>
      <c r="H135" s="4" t="str">
        <f t="shared" si="23"/>
        <v>YES</v>
      </c>
      <c r="I135" s="4" t="str">
        <f t="shared" si="24"/>
        <v>YES</v>
      </c>
      <c r="J135" t="s">
        <v>472</v>
      </c>
      <c r="N135" t="str">
        <f t="shared" si="25"/>
        <v>towerstitchspacinghorz</v>
      </c>
      <c r="O135" t="s">
        <v>520</v>
      </c>
      <c r="P135" t="s">
        <v>727</v>
      </c>
      <c r="Q135" t="s">
        <v>723</v>
      </c>
      <c r="R135" t="s">
        <v>248</v>
      </c>
      <c r="S135" t="str">
        <f t="shared" si="26"/>
        <v>towerstitchspacinghorz</v>
      </c>
      <c r="T135" t="s">
        <v>520</v>
      </c>
      <c r="U135" t="s">
        <v>767</v>
      </c>
      <c r="V135" t="s">
        <v>766</v>
      </c>
    </row>
    <row r="136" spans="1:22" hidden="1" x14ac:dyDescent="0.25">
      <c r="A136" s="1" t="s">
        <v>133</v>
      </c>
      <c r="B136" s="2" t="s">
        <v>254</v>
      </c>
      <c r="C136" s="3" t="str">
        <f t="shared" si="18"/>
        <v>towerlegnetwidthdeduct</v>
      </c>
      <c r="D136" s="4">
        <f t="shared" si="19"/>
        <v>184</v>
      </c>
      <c r="E136" t="str">
        <f t="shared" si="20"/>
        <v>TowerGussetGrade</v>
      </c>
      <c r="F136" s="4" t="str">
        <f t="shared" si="21"/>
        <v>YES</v>
      </c>
      <c r="G136" s="4" t="str">
        <f t="shared" si="22"/>
        <v>YES</v>
      </c>
      <c r="H136" s="4" t="str">
        <f t="shared" si="23"/>
        <v>YES</v>
      </c>
      <c r="I136" s="4" t="str">
        <f t="shared" si="24"/>
        <v>YES</v>
      </c>
      <c r="J136" t="s">
        <v>473</v>
      </c>
      <c r="N136" t="str">
        <f t="shared" si="25"/>
        <v>towerstitchspacingred</v>
      </c>
      <c r="O136" t="s">
        <v>521</v>
      </c>
      <c r="P136" t="s">
        <v>727</v>
      </c>
      <c r="Q136" t="s">
        <v>723</v>
      </c>
      <c r="R136" t="s">
        <v>248</v>
      </c>
      <c r="S136" t="str">
        <f t="shared" si="26"/>
        <v>towerstitchspacingred</v>
      </c>
      <c r="T136" t="s">
        <v>521</v>
      </c>
      <c r="U136" t="s">
        <v>767</v>
      </c>
      <c r="V136" t="s">
        <v>766</v>
      </c>
    </row>
    <row r="137" spans="1:22" hidden="1" x14ac:dyDescent="0.25">
      <c r="A137" s="1" t="s">
        <v>134</v>
      </c>
      <c r="B137" s="2" t="s">
        <v>251</v>
      </c>
      <c r="C137" s="3" t="str">
        <f t="shared" si="18"/>
        <v>towerlegufactor</v>
      </c>
      <c r="D137" s="4">
        <f t="shared" si="19"/>
        <v>185</v>
      </c>
      <c r="E137" t="str">
        <f t="shared" si="20"/>
        <v>TowerGussetMatlGrade</v>
      </c>
      <c r="F137" s="4" t="str">
        <f t="shared" si="21"/>
        <v>YES</v>
      </c>
      <c r="G137" s="4" t="str">
        <f t="shared" si="22"/>
        <v>YES</v>
      </c>
      <c r="H137" s="4" t="str">
        <f t="shared" si="23"/>
        <v>YES</v>
      </c>
      <c r="I137" s="4" t="str">
        <f t="shared" si="24"/>
        <v>YES</v>
      </c>
      <c r="J137" t="s">
        <v>474</v>
      </c>
      <c r="N137" t="str">
        <f t="shared" si="25"/>
        <v>towerlegnetwidthdeduct</v>
      </c>
      <c r="O137" t="s">
        <v>522</v>
      </c>
      <c r="P137" t="s">
        <v>727</v>
      </c>
      <c r="Q137" t="s">
        <v>723</v>
      </c>
      <c r="R137" t="s">
        <v>248</v>
      </c>
      <c r="S137" t="str">
        <f t="shared" si="26"/>
        <v>towerlegnetwidthdeduct</v>
      </c>
      <c r="T137" t="s">
        <v>522</v>
      </c>
      <c r="U137" t="s">
        <v>767</v>
      </c>
      <c r="V137" t="s">
        <v>766</v>
      </c>
    </row>
    <row r="138" spans="1:22" hidden="1" x14ac:dyDescent="0.25">
      <c r="A138" s="1" t="s">
        <v>135</v>
      </c>
      <c r="B138" s="2" t="s">
        <v>254</v>
      </c>
      <c r="C138" s="3" t="str">
        <f t="shared" si="18"/>
        <v>towerdiagonalnetwidthdeduct</v>
      </c>
      <c r="D138" s="4">
        <f t="shared" si="19"/>
        <v>186</v>
      </c>
      <c r="E138" t="str">
        <f t="shared" si="20"/>
        <v>TowerAfMult</v>
      </c>
      <c r="F138" s="4" t="str">
        <f t="shared" si="21"/>
        <v>YES</v>
      </c>
      <c r="G138" s="4" t="str">
        <f t="shared" si="22"/>
        <v>YES</v>
      </c>
      <c r="H138" s="4" t="str">
        <f t="shared" si="23"/>
        <v>YES</v>
      </c>
      <c r="I138" s="4" t="str">
        <f t="shared" si="24"/>
        <v>YES</v>
      </c>
      <c r="J138" t="s">
        <v>475</v>
      </c>
      <c r="N138" t="str">
        <f t="shared" si="25"/>
        <v>towerlegufactor</v>
      </c>
      <c r="O138" t="s">
        <v>523</v>
      </c>
      <c r="P138" t="s">
        <v>727</v>
      </c>
      <c r="Q138" t="s">
        <v>723</v>
      </c>
      <c r="R138" t="s">
        <v>248</v>
      </c>
      <c r="S138" t="str">
        <f t="shared" si="26"/>
        <v>towerlegufactor</v>
      </c>
      <c r="T138" t="s">
        <v>523</v>
      </c>
      <c r="U138" t="s">
        <v>767</v>
      </c>
      <c r="V138" t="s">
        <v>766</v>
      </c>
    </row>
    <row r="139" spans="1:22" hidden="1" x14ac:dyDescent="0.25">
      <c r="A139" s="1" t="s">
        <v>136</v>
      </c>
      <c r="B139" s="2" t="s">
        <v>254</v>
      </c>
      <c r="C139" s="3" t="str">
        <f t="shared" si="18"/>
        <v>towertopgirtnetwidthdeduct</v>
      </c>
      <c r="D139" s="4">
        <f t="shared" si="19"/>
        <v>187</v>
      </c>
      <c r="E139" t="str">
        <f t="shared" si="20"/>
        <v>TowerArMult</v>
      </c>
      <c r="F139" s="4" t="str">
        <f t="shared" si="21"/>
        <v>YES</v>
      </c>
      <c r="G139" s="4" t="str">
        <f t="shared" si="22"/>
        <v>YES</v>
      </c>
      <c r="H139" s="4" t="str">
        <f t="shared" si="23"/>
        <v>YES</v>
      </c>
      <c r="I139" s="4" t="str">
        <f t="shared" si="24"/>
        <v>YES</v>
      </c>
      <c r="J139" t="s">
        <v>476</v>
      </c>
      <c r="N139" t="str">
        <f t="shared" si="25"/>
        <v>towerdiagonalnetwidthdeduct</v>
      </c>
      <c r="O139" t="s">
        <v>524</v>
      </c>
      <c r="P139" t="s">
        <v>727</v>
      </c>
      <c r="Q139" t="s">
        <v>723</v>
      </c>
      <c r="R139" t="s">
        <v>248</v>
      </c>
      <c r="S139" t="str">
        <f t="shared" si="26"/>
        <v>towerdiagonalnetwidthdeduct</v>
      </c>
      <c r="T139" t="s">
        <v>524</v>
      </c>
      <c r="U139" t="s">
        <v>767</v>
      </c>
      <c r="V139" t="s">
        <v>766</v>
      </c>
    </row>
    <row r="140" spans="1:22" hidden="1" x14ac:dyDescent="0.25">
      <c r="A140" s="1" t="s">
        <v>137</v>
      </c>
      <c r="B140" s="2" t="s">
        <v>254</v>
      </c>
      <c r="C140" s="3" t="str">
        <f t="shared" si="18"/>
        <v>towerbotgirtnetwidthdeduct</v>
      </c>
      <c r="D140" s="4">
        <f t="shared" si="19"/>
        <v>188</v>
      </c>
      <c r="E140" t="str">
        <f t="shared" si="20"/>
        <v>TowerFlatIPAPole</v>
      </c>
      <c r="F140" s="4" t="str">
        <f t="shared" si="21"/>
        <v>YES</v>
      </c>
      <c r="G140" s="4" t="str">
        <f t="shared" si="22"/>
        <v>YES</v>
      </c>
      <c r="H140" s="4" t="str">
        <f t="shared" si="23"/>
        <v>YES</v>
      </c>
      <c r="I140" s="4" t="str">
        <f t="shared" si="24"/>
        <v>YES</v>
      </c>
      <c r="J140" t="s">
        <v>477</v>
      </c>
      <c r="N140" t="str">
        <f t="shared" si="25"/>
        <v>towertopgirtnetwidthdeduct</v>
      </c>
      <c r="O140" t="s">
        <v>525</v>
      </c>
      <c r="P140" t="s">
        <v>727</v>
      </c>
      <c r="Q140" t="s">
        <v>723</v>
      </c>
      <c r="R140" t="s">
        <v>248</v>
      </c>
      <c r="S140" t="str">
        <f t="shared" si="26"/>
        <v>towertopgirtnetwidthdeduct</v>
      </c>
      <c r="T140" t="s">
        <v>525</v>
      </c>
      <c r="U140" t="s">
        <v>767</v>
      </c>
      <c r="V140" t="s">
        <v>766</v>
      </c>
    </row>
    <row r="141" spans="1:22" hidden="1" x14ac:dyDescent="0.25">
      <c r="A141" s="1" t="s">
        <v>138</v>
      </c>
      <c r="B141" s="2" t="s">
        <v>254</v>
      </c>
      <c r="C141" s="3" t="str">
        <f t="shared" si="18"/>
        <v>towerinnergirtnetwidthdeduct</v>
      </c>
      <c r="D141" s="4">
        <f t="shared" si="19"/>
        <v>189</v>
      </c>
      <c r="E141" t="str">
        <f t="shared" si="20"/>
        <v>TowerRoundIPAPole</v>
      </c>
      <c r="F141" s="4" t="str">
        <f t="shared" si="21"/>
        <v>YES</v>
      </c>
      <c r="G141" s="4" t="str">
        <f t="shared" si="22"/>
        <v>YES</v>
      </c>
      <c r="H141" s="4" t="str">
        <f t="shared" si="23"/>
        <v>YES</v>
      </c>
      <c r="I141" s="4" t="str">
        <f t="shared" si="24"/>
        <v>YES</v>
      </c>
      <c r="J141" t="s">
        <v>478</v>
      </c>
      <c r="N141" t="str">
        <f t="shared" si="25"/>
        <v>towerbotgirtnetwidthdeduct</v>
      </c>
      <c r="O141" t="s">
        <v>526</v>
      </c>
      <c r="P141" t="s">
        <v>727</v>
      </c>
      <c r="Q141" t="s">
        <v>723</v>
      </c>
      <c r="R141" t="s">
        <v>248</v>
      </c>
      <c r="S141" t="str">
        <f t="shared" si="26"/>
        <v>towerbotgirtnetwidthdeduct</v>
      </c>
      <c r="T141" t="s">
        <v>526</v>
      </c>
      <c r="U141" t="s">
        <v>767</v>
      </c>
      <c r="V141" t="s">
        <v>766</v>
      </c>
    </row>
    <row r="142" spans="1:22" hidden="1" x14ac:dyDescent="0.25">
      <c r="A142" s="1" t="s">
        <v>139</v>
      </c>
      <c r="B142" s="2" t="s">
        <v>254</v>
      </c>
      <c r="C142" s="3" t="str">
        <f t="shared" si="18"/>
        <v>towerhorizontalnetwidthdeduct</v>
      </c>
      <c r="D142" s="4">
        <f t="shared" si="19"/>
        <v>190</v>
      </c>
      <c r="E142" t="str">
        <f t="shared" si="20"/>
        <v>TowerFlatIPALeg</v>
      </c>
      <c r="F142" s="4" t="str">
        <f t="shared" si="21"/>
        <v>YES</v>
      </c>
      <c r="G142" s="4" t="str">
        <f t="shared" si="22"/>
        <v>YES</v>
      </c>
      <c r="H142" s="4" t="str">
        <f t="shared" si="23"/>
        <v>YES</v>
      </c>
      <c r="I142" s="4" t="str">
        <f t="shared" si="24"/>
        <v>YES</v>
      </c>
      <c r="J142" t="s">
        <v>479</v>
      </c>
      <c r="N142" t="str">
        <f t="shared" si="25"/>
        <v>towerinnergirtnetwidthdeduct</v>
      </c>
      <c r="O142" t="s">
        <v>527</v>
      </c>
      <c r="P142" t="s">
        <v>727</v>
      </c>
      <c r="Q142" t="s">
        <v>723</v>
      </c>
      <c r="R142" t="s">
        <v>248</v>
      </c>
      <c r="S142" t="str">
        <f t="shared" si="26"/>
        <v>towerinnergirtnetwidthdeduct</v>
      </c>
      <c r="T142" t="s">
        <v>527</v>
      </c>
      <c r="U142" t="s">
        <v>767</v>
      </c>
      <c r="V142" t="s">
        <v>766</v>
      </c>
    </row>
    <row r="143" spans="1:22" hidden="1" x14ac:dyDescent="0.25">
      <c r="A143" s="1" t="s">
        <v>140</v>
      </c>
      <c r="B143" s="2" t="s">
        <v>254</v>
      </c>
      <c r="C143" s="3" t="str">
        <f t="shared" si="18"/>
        <v>towershorthorizontalnetwidthdeduct</v>
      </c>
      <c r="D143" s="4">
        <f t="shared" si="19"/>
        <v>191</v>
      </c>
      <c r="E143" t="str">
        <f t="shared" si="20"/>
        <v>TowerRoundIPALeg</v>
      </c>
      <c r="F143" s="4" t="str">
        <f t="shared" si="21"/>
        <v>YES</v>
      </c>
      <c r="G143" s="4" t="str">
        <f t="shared" si="22"/>
        <v>YES</v>
      </c>
      <c r="H143" s="4" t="str">
        <f t="shared" si="23"/>
        <v>YES</v>
      </c>
      <c r="I143" s="4" t="str">
        <f t="shared" si="24"/>
        <v>YES</v>
      </c>
      <c r="J143" t="s">
        <v>480</v>
      </c>
      <c r="N143" t="str">
        <f t="shared" si="25"/>
        <v>towerhorizontalnetwidthdeduct</v>
      </c>
      <c r="O143" t="s">
        <v>528</v>
      </c>
      <c r="P143" t="s">
        <v>727</v>
      </c>
      <c r="Q143" t="s">
        <v>723</v>
      </c>
      <c r="R143" t="s">
        <v>248</v>
      </c>
      <c r="S143" t="str">
        <f t="shared" si="26"/>
        <v>towerhorizontalnetwidthdeduct</v>
      </c>
      <c r="T143" t="s">
        <v>528</v>
      </c>
      <c r="U143" t="s">
        <v>767</v>
      </c>
      <c r="V143" t="s">
        <v>766</v>
      </c>
    </row>
    <row r="144" spans="1:22" hidden="1" x14ac:dyDescent="0.25">
      <c r="A144" s="1" t="s">
        <v>141</v>
      </c>
      <c r="B144" s="2" t="s">
        <v>251</v>
      </c>
      <c r="C144" s="3" t="str">
        <f t="shared" si="18"/>
        <v>towerdiagonalufactor</v>
      </c>
      <c r="D144" s="4">
        <f t="shared" si="19"/>
        <v>192</v>
      </c>
      <c r="E144" t="str">
        <f t="shared" si="20"/>
        <v>TowerFlatIPAHorizontal</v>
      </c>
      <c r="F144" s="4" t="str">
        <f t="shared" si="21"/>
        <v>YES</v>
      </c>
      <c r="G144" s="4" t="str">
        <f t="shared" si="22"/>
        <v>YES</v>
      </c>
      <c r="H144" s="4" t="str">
        <f t="shared" si="23"/>
        <v>YES</v>
      </c>
      <c r="I144" s="4" t="str">
        <f t="shared" si="24"/>
        <v>YES</v>
      </c>
      <c r="J144" t="s">
        <v>481</v>
      </c>
      <c r="N144" t="str">
        <f t="shared" si="25"/>
        <v>towershorthorizontalnetwidthdeduct</v>
      </c>
      <c r="O144" t="s">
        <v>529</v>
      </c>
      <c r="P144" t="s">
        <v>727</v>
      </c>
      <c r="Q144" t="s">
        <v>723</v>
      </c>
      <c r="R144" t="s">
        <v>248</v>
      </c>
      <c r="S144" t="str">
        <f t="shared" si="26"/>
        <v>towershorthorizontalnetwidthdeduct</v>
      </c>
      <c r="T144" t="s">
        <v>529</v>
      </c>
      <c r="U144" t="s">
        <v>767</v>
      </c>
      <c r="V144" t="s">
        <v>766</v>
      </c>
    </row>
    <row r="145" spans="1:22" hidden="1" x14ac:dyDescent="0.25">
      <c r="A145" s="1" t="s">
        <v>142</v>
      </c>
      <c r="B145" s="2" t="s">
        <v>278</v>
      </c>
      <c r="C145" s="3" t="str">
        <f t="shared" si="18"/>
        <v>towertopgirtufactor</v>
      </c>
      <c r="D145" s="4">
        <f t="shared" si="19"/>
        <v>193</v>
      </c>
      <c r="E145" t="str">
        <f t="shared" si="20"/>
        <v>TowerRoundIPAHorizontal</v>
      </c>
      <c r="F145" s="4" t="str">
        <f t="shared" si="21"/>
        <v>YES</v>
      </c>
      <c r="G145" s="4" t="str">
        <f t="shared" si="22"/>
        <v>YES</v>
      </c>
      <c r="H145" s="4" t="str">
        <f t="shared" si="23"/>
        <v>YES</v>
      </c>
      <c r="I145" s="4" t="str">
        <f t="shared" si="24"/>
        <v>YES</v>
      </c>
      <c r="J145" t="s">
        <v>482</v>
      </c>
      <c r="N145" t="str">
        <f t="shared" si="25"/>
        <v>towerdiagonalufactor</v>
      </c>
      <c r="O145" t="s">
        <v>530</v>
      </c>
      <c r="P145" t="s">
        <v>727</v>
      </c>
      <c r="Q145" t="s">
        <v>723</v>
      </c>
      <c r="R145" t="s">
        <v>248</v>
      </c>
      <c r="S145" t="str">
        <f t="shared" si="26"/>
        <v>towerdiagonalufactor</v>
      </c>
      <c r="T145" t="s">
        <v>530</v>
      </c>
      <c r="U145" t="s">
        <v>767</v>
      </c>
      <c r="V145" t="s">
        <v>766</v>
      </c>
    </row>
    <row r="146" spans="1:22" hidden="1" x14ac:dyDescent="0.25">
      <c r="A146" s="1" t="s">
        <v>143</v>
      </c>
      <c r="B146" s="2" t="s">
        <v>251</v>
      </c>
      <c r="C146" s="3" t="str">
        <f t="shared" si="18"/>
        <v>towerbotgirtufactor</v>
      </c>
      <c r="D146" s="4">
        <f t="shared" si="19"/>
        <v>194</v>
      </c>
      <c r="E146" t="str">
        <f t="shared" si="20"/>
        <v>TowerFlatIPADiagonal</v>
      </c>
      <c r="F146" s="4" t="str">
        <f t="shared" si="21"/>
        <v>YES</v>
      </c>
      <c r="G146" s="4" t="str">
        <f t="shared" si="22"/>
        <v>YES</v>
      </c>
      <c r="H146" s="4" t="str">
        <f t="shared" si="23"/>
        <v>YES</v>
      </c>
      <c r="I146" s="4" t="str">
        <f t="shared" si="24"/>
        <v>YES</v>
      </c>
      <c r="J146" t="s">
        <v>483</v>
      </c>
      <c r="N146" t="str">
        <f t="shared" si="25"/>
        <v>towertopgirtufactor</v>
      </c>
      <c r="O146" t="s">
        <v>531</v>
      </c>
      <c r="P146" t="s">
        <v>727</v>
      </c>
      <c r="Q146" t="s">
        <v>723</v>
      </c>
      <c r="R146" t="s">
        <v>248</v>
      </c>
      <c r="S146" t="str">
        <f t="shared" si="26"/>
        <v>towertopgirtufactor</v>
      </c>
      <c r="T146" t="s">
        <v>531</v>
      </c>
      <c r="U146" t="s">
        <v>767</v>
      </c>
      <c r="V146" t="s">
        <v>766</v>
      </c>
    </row>
    <row r="147" spans="1:22" hidden="1" x14ac:dyDescent="0.25">
      <c r="A147" s="1" t="s">
        <v>144</v>
      </c>
      <c r="B147" s="2" t="s">
        <v>251</v>
      </c>
      <c r="C147" s="3" t="str">
        <f t="shared" si="18"/>
        <v>towerinnergirtufactor</v>
      </c>
      <c r="D147" s="4">
        <f t="shared" si="19"/>
        <v>195</v>
      </c>
      <c r="E147" t="str">
        <f t="shared" si="20"/>
        <v>TowerRoundIPADiagonal</v>
      </c>
      <c r="F147" s="4" t="str">
        <f t="shared" si="21"/>
        <v>YES</v>
      </c>
      <c r="G147" s="4" t="str">
        <f t="shared" si="22"/>
        <v>YES</v>
      </c>
      <c r="H147" s="4" t="str">
        <f t="shared" si="23"/>
        <v>YES</v>
      </c>
      <c r="I147" s="4" t="str">
        <f t="shared" si="24"/>
        <v>YES</v>
      </c>
      <c r="J147" t="s">
        <v>484</v>
      </c>
      <c r="N147" t="str">
        <f t="shared" si="25"/>
        <v>towerbotgirtufactor</v>
      </c>
      <c r="O147" t="s">
        <v>532</v>
      </c>
      <c r="P147" t="s">
        <v>727</v>
      </c>
      <c r="Q147" t="s">
        <v>723</v>
      </c>
      <c r="R147" t="s">
        <v>248</v>
      </c>
      <c r="S147" t="str">
        <f t="shared" si="26"/>
        <v>towerbotgirtufactor</v>
      </c>
      <c r="T147" t="s">
        <v>532</v>
      </c>
      <c r="U147" t="s">
        <v>767</v>
      </c>
      <c r="V147" t="s">
        <v>766</v>
      </c>
    </row>
    <row r="148" spans="1:22" hidden="1" x14ac:dyDescent="0.25">
      <c r="A148" s="1" t="s">
        <v>145</v>
      </c>
      <c r="B148" s="2" t="s">
        <v>251</v>
      </c>
      <c r="C148" s="3" t="str">
        <f t="shared" si="18"/>
        <v>towerhorizontalufactor</v>
      </c>
      <c r="D148" s="4">
        <f t="shared" si="19"/>
        <v>196</v>
      </c>
      <c r="E148" t="str">
        <f t="shared" si="20"/>
        <v>TowerCSA_S37_SpeedUpFactor</v>
      </c>
      <c r="F148" s="4" t="str">
        <f t="shared" si="21"/>
        <v>YES</v>
      </c>
      <c r="G148" s="4" t="str">
        <f t="shared" si="22"/>
        <v>YES</v>
      </c>
      <c r="H148" s="4" t="str">
        <f t="shared" si="23"/>
        <v>YES</v>
      </c>
      <c r="I148" s="4" t="str">
        <f t="shared" si="24"/>
        <v>YES</v>
      </c>
      <c r="J148" t="s">
        <v>485</v>
      </c>
      <c r="N148" t="str">
        <f t="shared" si="25"/>
        <v>towerinnergirtufactor</v>
      </c>
      <c r="O148" t="s">
        <v>533</v>
      </c>
      <c r="P148" t="s">
        <v>727</v>
      </c>
      <c r="Q148" t="s">
        <v>723</v>
      </c>
      <c r="R148" t="s">
        <v>248</v>
      </c>
      <c r="S148" t="str">
        <f t="shared" si="26"/>
        <v>towerinnergirtufactor</v>
      </c>
      <c r="T148" t="s">
        <v>533</v>
      </c>
      <c r="U148" t="s">
        <v>767</v>
      </c>
      <c r="V148" t="s">
        <v>766</v>
      </c>
    </row>
    <row r="149" spans="1:22" hidden="1" x14ac:dyDescent="0.25">
      <c r="A149" s="1" t="s">
        <v>146</v>
      </c>
      <c r="B149" s="2" t="s">
        <v>278</v>
      </c>
      <c r="C149" s="3" t="str">
        <f t="shared" si="18"/>
        <v>towershorthorizontalufactor</v>
      </c>
      <c r="D149" s="4">
        <f t="shared" si="19"/>
        <v>197</v>
      </c>
      <c r="E149" t="str">
        <f t="shared" si="20"/>
        <v>TowerKLegs</v>
      </c>
      <c r="F149" s="4" t="str">
        <f t="shared" si="21"/>
        <v>YES</v>
      </c>
      <c r="G149" s="4" t="str">
        <f t="shared" si="22"/>
        <v>YES</v>
      </c>
      <c r="H149" s="4" t="str">
        <f t="shared" si="23"/>
        <v>YES</v>
      </c>
      <c r="I149" s="4" t="str">
        <f t="shared" si="24"/>
        <v>YES</v>
      </c>
      <c r="J149" t="s">
        <v>486</v>
      </c>
      <c r="N149" t="str">
        <f t="shared" si="25"/>
        <v>towerhorizontalufactor</v>
      </c>
      <c r="O149" t="s">
        <v>534</v>
      </c>
      <c r="P149" t="s">
        <v>727</v>
      </c>
      <c r="Q149" t="s">
        <v>723</v>
      </c>
      <c r="R149" t="s">
        <v>248</v>
      </c>
      <c r="S149" t="str">
        <f t="shared" si="26"/>
        <v>towerhorizontalufactor</v>
      </c>
      <c r="T149" t="s">
        <v>534</v>
      </c>
      <c r="U149" t="s">
        <v>767</v>
      </c>
      <c r="V149" t="s">
        <v>766</v>
      </c>
    </row>
    <row r="150" spans="1:22" hidden="1" x14ac:dyDescent="0.25">
      <c r="A150" s="1" t="s">
        <v>147</v>
      </c>
      <c r="B150" s="2" t="s">
        <v>279</v>
      </c>
      <c r="C150" s="3" t="str">
        <f t="shared" si="18"/>
        <v>towerlegconntype</v>
      </c>
      <c r="D150" s="4">
        <f t="shared" si="19"/>
        <v>198</v>
      </c>
      <c r="E150" t="str">
        <f t="shared" si="20"/>
        <v>TowerKXBracedDiags</v>
      </c>
      <c r="F150" s="4" t="str">
        <f t="shared" si="21"/>
        <v>YES</v>
      </c>
      <c r="G150" s="4" t="str">
        <f t="shared" si="22"/>
        <v>YES</v>
      </c>
      <c r="H150" s="4" t="str">
        <f t="shared" si="23"/>
        <v>YES</v>
      </c>
      <c r="I150" s="4" t="str">
        <f t="shared" si="24"/>
        <v>YES</v>
      </c>
      <c r="J150" t="s">
        <v>487</v>
      </c>
      <c r="N150" t="str">
        <f t="shared" si="25"/>
        <v>towershorthorizontalufactor</v>
      </c>
      <c r="O150" t="s">
        <v>535</v>
      </c>
      <c r="P150" t="s">
        <v>727</v>
      </c>
      <c r="Q150" t="s">
        <v>723</v>
      </c>
      <c r="R150" t="s">
        <v>248</v>
      </c>
      <c r="S150" t="str">
        <f t="shared" si="26"/>
        <v>towershorthorizontalufactor</v>
      </c>
      <c r="T150" t="s">
        <v>535</v>
      </c>
      <c r="U150" t="s">
        <v>767</v>
      </c>
      <c r="V150" t="s">
        <v>766</v>
      </c>
    </row>
    <row r="151" spans="1:22" hidden="1" x14ac:dyDescent="0.25">
      <c r="A151" s="1" t="s">
        <v>148</v>
      </c>
      <c r="B151" s="2" t="s">
        <v>254</v>
      </c>
      <c r="C151" s="3" t="str">
        <f t="shared" si="18"/>
        <v>towerlegnumbolts</v>
      </c>
      <c r="D151" s="4">
        <f t="shared" si="19"/>
        <v>199</v>
      </c>
      <c r="E151" t="str">
        <f t="shared" si="20"/>
        <v>TowerKKBracedDiags</v>
      </c>
      <c r="F151" s="4" t="str">
        <f t="shared" si="21"/>
        <v>YES</v>
      </c>
      <c r="G151" s="4" t="str">
        <f t="shared" si="22"/>
        <v>YES</v>
      </c>
      <c r="H151" s="4" t="str">
        <f t="shared" si="23"/>
        <v>YES</v>
      </c>
      <c r="I151" s="4" t="str">
        <f t="shared" si="24"/>
        <v>YES</v>
      </c>
      <c r="J151" t="s">
        <v>488</v>
      </c>
      <c r="N151" t="str">
        <f t="shared" si="25"/>
        <v>towerlegconntype</v>
      </c>
      <c r="O151" t="s">
        <v>536</v>
      </c>
      <c r="P151" t="s">
        <v>728</v>
      </c>
      <c r="Q151" t="s">
        <v>248</v>
      </c>
      <c r="S151" t="str">
        <f t="shared" si="26"/>
        <v>towerlegconntype</v>
      </c>
      <c r="T151" t="s">
        <v>536</v>
      </c>
      <c r="U151" t="s">
        <v>769</v>
      </c>
      <c r="V151" t="s">
        <v>766</v>
      </c>
    </row>
    <row r="152" spans="1:22" hidden="1" x14ac:dyDescent="0.25">
      <c r="A152" s="1" t="s">
        <v>149</v>
      </c>
      <c r="B152" s="2" t="s">
        <v>280</v>
      </c>
      <c r="C152" s="3" t="str">
        <f t="shared" si="18"/>
        <v>towerdiagonalnumbolts</v>
      </c>
      <c r="D152" s="4">
        <f t="shared" si="19"/>
        <v>200</v>
      </c>
      <c r="E152" t="str">
        <f t="shared" si="20"/>
        <v>TowerKZBracedDiags</v>
      </c>
      <c r="F152" s="4" t="str">
        <f t="shared" si="21"/>
        <v>YES</v>
      </c>
      <c r="G152" s="4" t="str">
        <f t="shared" si="22"/>
        <v>YES</v>
      </c>
      <c r="H152" s="4" t="str">
        <f t="shared" si="23"/>
        <v>YES</v>
      </c>
      <c r="I152" s="4" t="str">
        <f t="shared" si="24"/>
        <v>YES</v>
      </c>
      <c r="J152" t="s">
        <v>489</v>
      </c>
      <c r="N152" t="str">
        <f t="shared" si="25"/>
        <v>towerlegnumbolts</v>
      </c>
      <c r="O152" t="s">
        <v>538</v>
      </c>
      <c r="P152" t="s">
        <v>724</v>
      </c>
      <c r="Q152" t="s">
        <v>248</v>
      </c>
      <c r="S152" t="str">
        <f t="shared" si="26"/>
        <v>towerlegnumbolts</v>
      </c>
      <c r="T152" t="s">
        <v>538</v>
      </c>
      <c r="U152" t="s">
        <v>767</v>
      </c>
      <c r="V152" t="s">
        <v>766</v>
      </c>
    </row>
    <row r="153" spans="1:22" hidden="1" x14ac:dyDescent="0.25">
      <c r="A153" s="1" t="s">
        <v>150</v>
      </c>
      <c r="B153" s="2" t="s">
        <v>254</v>
      </c>
      <c r="C153" s="3" t="str">
        <f t="shared" si="18"/>
        <v>towertopgirtnumbolts</v>
      </c>
      <c r="D153" s="4">
        <f t="shared" si="19"/>
        <v>201</v>
      </c>
      <c r="E153" t="str">
        <f t="shared" si="20"/>
        <v>TowerKHorzs</v>
      </c>
      <c r="F153" s="4" t="str">
        <f t="shared" si="21"/>
        <v>YES</v>
      </c>
      <c r="G153" s="4" t="str">
        <f t="shared" si="22"/>
        <v>YES</v>
      </c>
      <c r="H153" s="4" t="str">
        <f t="shared" si="23"/>
        <v>YES</v>
      </c>
      <c r="I153" s="4" t="str">
        <f t="shared" si="24"/>
        <v>YES</v>
      </c>
      <c r="J153" t="s">
        <v>490</v>
      </c>
      <c r="N153" t="str">
        <f t="shared" si="25"/>
        <v>towerdiagonalnumbolts</v>
      </c>
      <c r="O153" t="s">
        <v>539</v>
      </c>
      <c r="P153" t="s">
        <v>724</v>
      </c>
      <c r="Q153" t="s">
        <v>248</v>
      </c>
      <c r="S153" t="str">
        <f t="shared" si="26"/>
        <v>towerdiagonalnumbolts</v>
      </c>
      <c r="T153" t="s">
        <v>539</v>
      </c>
      <c r="U153" t="s">
        <v>767</v>
      </c>
      <c r="V153" t="s">
        <v>766</v>
      </c>
    </row>
    <row r="154" spans="1:22" hidden="1" x14ac:dyDescent="0.25">
      <c r="A154" s="1" t="s">
        <v>151</v>
      </c>
      <c r="B154" s="2" t="s">
        <v>254</v>
      </c>
      <c r="C154" s="3" t="str">
        <f t="shared" si="18"/>
        <v>towerbotgirtnumbolts</v>
      </c>
      <c r="D154" s="4">
        <f t="shared" si="19"/>
        <v>202</v>
      </c>
      <c r="E154" t="str">
        <f t="shared" si="20"/>
        <v>TowerKSecHorzs</v>
      </c>
      <c r="F154" s="4" t="str">
        <f t="shared" si="21"/>
        <v>YES</v>
      </c>
      <c r="G154" s="4" t="str">
        <f t="shared" si="22"/>
        <v>YES</v>
      </c>
      <c r="H154" s="4" t="str">
        <f t="shared" si="23"/>
        <v>YES</v>
      </c>
      <c r="I154" s="4" t="str">
        <f t="shared" si="24"/>
        <v>YES</v>
      </c>
      <c r="J154" t="s">
        <v>491</v>
      </c>
      <c r="N154" t="str">
        <f t="shared" si="25"/>
        <v>towertopgirtnumbolts</v>
      </c>
      <c r="O154" t="s">
        <v>540</v>
      </c>
      <c r="P154" t="s">
        <v>724</v>
      </c>
      <c r="Q154" t="s">
        <v>248</v>
      </c>
      <c r="S154" t="str">
        <f t="shared" si="26"/>
        <v>towertopgirtnumbolts</v>
      </c>
      <c r="T154" t="s">
        <v>540</v>
      </c>
      <c r="U154" t="s">
        <v>767</v>
      </c>
      <c r="V154" t="s">
        <v>766</v>
      </c>
    </row>
    <row r="155" spans="1:22" hidden="1" x14ac:dyDescent="0.25">
      <c r="A155" s="1" t="s">
        <v>152</v>
      </c>
      <c r="B155" s="2" t="s">
        <v>254</v>
      </c>
      <c r="C155" s="3" t="str">
        <f t="shared" si="18"/>
        <v>towerinnergirtnumbolts</v>
      </c>
      <c r="D155" s="4">
        <f t="shared" si="19"/>
        <v>203</v>
      </c>
      <c r="E155" t="str">
        <f t="shared" si="20"/>
        <v>TowerKGirts</v>
      </c>
      <c r="F155" s="4" t="str">
        <f t="shared" si="21"/>
        <v>YES</v>
      </c>
      <c r="G155" s="4" t="str">
        <f t="shared" si="22"/>
        <v>YES</v>
      </c>
      <c r="H155" s="4" t="str">
        <f t="shared" si="23"/>
        <v>YES</v>
      </c>
      <c r="I155" s="4" t="str">
        <f t="shared" si="24"/>
        <v>YES</v>
      </c>
      <c r="J155" t="s">
        <v>492</v>
      </c>
      <c r="N155" t="str">
        <f t="shared" si="25"/>
        <v>towerbotgirtnumbolts</v>
      </c>
      <c r="O155" t="s">
        <v>541</v>
      </c>
      <c r="P155" t="s">
        <v>724</v>
      </c>
      <c r="Q155" t="s">
        <v>248</v>
      </c>
      <c r="S155" t="str">
        <f t="shared" si="26"/>
        <v>towerbotgirtnumbolts</v>
      </c>
      <c r="T155" t="s">
        <v>541</v>
      </c>
      <c r="U155" t="s">
        <v>767</v>
      </c>
      <c r="V155" t="s">
        <v>766</v>
      </c>
    </row>
    <row r="156" spans="1:22" hidden="1" x14ac:dyDescent="0.25">
      <c r="A156" s="1" t="s">
        <v>153</v>
      </c>
      <c r="B156" s="2" t="s">
        <v>281</v>
      </c>
      <c r="C156" s="3" t="str">
        <f t="shared" si="18"/>
        <v>towerhorizontalnumbolts</v>
      </c>
      <c r="D156" s="4">
        <f t="shared" si="19"/>
        <v>204</v>
      </c>
      <c r="E156" t="str">
        <f t="shared" si="20"/>
        <v>TowerKInners</v>
      </c>
      <c r="F156" s="4" t="str">
        <f t="shared" si="21"/>
        <v>YES</v>
      </c>
      <c r="G156" s="4" t="str">
        <f t="shared" si="22"/>
        <v>YES</v>
      </c>
      <c r="H156" s="4" t="str">
        <f t="shared" si="23"/>
        <v>YES</v>
      </c>
      <c r="I156" s="4" t="str">
        <f t="shared" si="24"/>
        <v>YES</v>
      </c>
      <c r="J156" t="s">
        <v>493</v>
      </c>
      <c r="N156" t="str">
        <f t="shared" si="25"/>
        <v>towerinnergirtnumbolts</v>
      </c>
      <c r="O156" t="s">
        <v>542</v>
      </c>
      <c r="P156" t="s">
        <v>724</v>
      </c>
      <c r="Q156" t="s">
        <v>248</v>
      </c>
      <c r="S156" t="str">
        <f t="shared" si="26"/>
        <v>towerinnergirtnumbolts</v>
      </c>
      <c r="T156" t="s">
        <v>542</v>
      </c>
      <c r="U156" t="s">
        <v>767</v>
      </c>
      <c r="V156" t="s">
        <v>766</v>
      </c>
    </row>
    <row r="157" spans="1:22" hidden="1" x14ac:dyDescent="0.25">
      <c r="A157" s="1" t="s">
        <v>154</v>
      </c>
      <c r="B157" s="2" t="s">
        <v>254</v>
      </c>
      <c r="C157" s="3" t="str">
        <f t="shared" si="18"/>
        <v>towershorthorizontalnumbolts</v>
      </c>
      <c r="D157" s="4">
        <f t="shared" si="19"/>
        <v>205</v>
      </c>
      <c r="E157" t="str">
        <f t="shared" si="20"/>
        <v>TowerKXBracedDiagsY</v>
      </c>
      <c r="F157" s="4" t="str">
        <f t="shared" si="21"/>
        <v>YES</v>
      </c>
      <c r="G157" s="4" t="str">
        <f t="shared" si="22"/>
        <v>YES</v>
      </c>
      <c r="H157" s="4" t="str">
        <f t="shared" si="23"/>
        <v>YES</v>
      </c>
      <c r="I157" s="4" t="str">
        <f t="shared" si="24"/>
        <v>YES</v>
      </c>
      <c r="J157" t="s">
        <v>494</v>
      </c>
      <c r="N157" t="str">
        <f t="shared" si="25"/>
        <v>towerhorizontalnumbolts</v>
      </c>
      <c r="O157" t="s">
        <v>543</v>
      </c>
      <c r="P157" t="s">
        <v>724</v>
      </c>
      <c r="Q157" t="s">
        <v>248</v>
      </c>
      <c r="S157" t="str">
        <f t="shared" si="26"/>
        <v>towerhorizontalnumbolts</v>
      </c>
      <c r="T157" t="s">
        <v>543</v>
      </c>
      <c r="U157" t="s">
        <v>767</v>
      </c>
      <c r="V157" t="s">
        <v>766</v>
      </c>
    </row>
    <row r="158" spans="1:22" hidden="1" x14ac:dyDescent="0.25">
      <c r="A158" s="1" t="s">
        <v>155</v>
      </c>
      <c r="B158" s="2" t="s">
        <v>282</v>
      </c>
      <c r="C158" s="3" t="str">
        <f t="shared" si="18"/>
        <v>towerlegboltgrade</v>
      </c>
      <c r="D158" s="4">
        <f t="shared" si="19"/>
        <v>206</v>
      </c>
      <c r="E158" t="str">
        <f t="shared" si="20"/>
        <v>TowerKKBracedDiagsY</v>
      </c>
      <c r="F158" s="4" t="str">
        <f t="shared" si="21"/>
        <v>YES</v>
      </c>
      <c r="G158" s="4" t="str">
        <f t="shared" si="22"/>
        <v>YES</v>
      </c>
      <c r="H158" s="4" t="str">
        <f t="shared" si="23"/>
        <v>YES</v>
      </c>
      <c r="I158" s="4" t="str">
        <f t="shared" si="24"/>
        <v>YES</v>
      </c>
      <c r="J158" t="s">
        <v>495</v>
      </c>
      <c r="N158" t="str">
        <f t="shared" si="25"/>
        <v>towershorthorizontalnumbolts</v>
      </c>
      <c r="O158" t="s">
        <v>544</v>
      </c>
      <c r="P158" t="s">
        <v>724</v>
      </c>
      <c r="Q158" t="s">
        <v>248</v>
      </c>
      <c r="S158" t="str">
        <f t="shared" si="26"/>
        <v>towershorthorizontalnumbolts</v>
      </c>
      <c r="T158" t="s">
        <v>544</v>
      </c>
      <c r="U158" t="s">
        <v>767</v>
      </c>
      <c r="V158" t="s">
        <v>766</v>
      </c>
    </row>
    <row r="159" spans="1:22" hidden="1" x14ac:dyDescent="0.25">
      <c r="A159" s="1" t="s">
        <v>156</v>
      </c>
      <c r="B159" s="2" t="s">
        <v>251</v>
      </c>
      <c r="C159" s="3" t="str">
        <f t="shared" si="18"/>
        <v>towerlegboltsize</v>
      </c>
      <c r="D159" s="4">
        <f t="shared" si="19"/>
        <v>207</v>
      </c>
      <c r="E159" t="str">
        <f t="shared" si="20"/>
        <v>TowerKZBracedDiagsY</v>
      </c>
      <c r="F159" s="4" t="str">
        <f t="shared" si="21"/>
        <v>YES</v>
      </c>
      <c r="G159" s="4" t="str">
        <f t="shared" si="22"/>
        <v>YES</v>
      </c>
      <c r="H159" s="4" t="str">
        <f t="shared" si="23"/>
        <v>YES</v>
      </c>
      <c r="I159" s="4" t="str">
        <f t="shared" si="24"/>
        <v>YES</v>
      </c>
      <c r="J159" t="s">
        <v>496</v>
      </c>
      <c r="N159" t="str">
        <f t="shared" si="25"/>
        <v>towerlegboltgrade</v>
      </c>
      <c r="O159" t="s">
        <v>545</v>
      </c>
      <c r="P159" t="s">
        <v>728</v>
      </c>
      <c r="Q159" t="s">
        <v>248</v>
      </c>
      <c r="S159" t="str">
        <f t="shared" si="26"/>
        <v>towerlegboltgrade</v>
      </c>
      <c r="T159" t="s">
        <v>545</v>
      </c>
      <c r="U159" t="s">
        <v>769</v>
      </c>
      <c r="V159" t="s">
        <v>766</v>
      </c>
    </row>
    <row r="160" spans="1:22" hidden="1" x14ac:dyDescent="0.25">
      <c r="A160" s="1" t="s">
        <v>157</v>
      </c>
      <c r="B160" s="2" t="s">
        <v>282</v>
      </c>
      <c r="C160" s="3" t="str">
        <f t="shared" si="18"/>
        <v>towerdiagonalboltgrade</v>
      </c>
      <c r="D160" s="4">
        <f t="shared" si="19"/>
        <v>208</v>
      </c>
      <c r="E160" t="str">
        <f t="shared" si="20"/>
        <v>TowerKHorzsY</v>
      </c>
      <c r="F160" s="4" t="str">
        <f t="shared" si="21"/>
        <v>YES</v>
      </c>
      <c r="G160" s="4" t="str">
        <f t="shared" si="22"/>
        <v>YES</v>
      </c>
      <c r="H160" s="4" t="str">
        <f t="shared" si="23"/>
        <v>YES</v>
      </c>
      <c r="I160" s="4" t="str">
        <f t="shared" si="24"/>
        <v>YES</v>
      </c>
      <c r="J160" t="s">
        <v>497</v>
      </c>
      <c r="N160" t="str">
        <f t="shared" si="25"/>
        <v>towerlegboltsize</v>
      </c>
      <c r="O160" t="s">
        <v>547</v>
      </c>
      <c r="P160" t="s">
        <v>727</v>
      </c>
      <c r="Q160" t="s">
        <v>723</v>
      </c>
      <c r="R160" t="s">
        <v>248</v>
      </c>
      <c r="S160" t="str">
        <f t="shared" si="26"/>
        <v>towerlegboltsize</v>
      </c>
      <c r="T160" t="s">
        <v>547</v>
      </c>
      <c r="U160" t="s">
        <v>767</v>
      </c>
      <c r="V160" t="s">
        <v>766</v>
      </c>
    </row>
    <row r="161" spans="1:22" hidden="1" x14ac:dyDescent="0.25">
      <c r="A161" s="1" t="s">
        <v>158</v>
      </c>
      <c r="B161" s="2" t="s">
        <v>283</v>
      </c>
      <c r="C161" s="3" t="str">
        <f t="shared" si="18"/>
        <v>towerdiagonalboltsize</v>
      </c>
      <c r="D161" s="4">
        <f t="shared" si="19"/>
        <v>209</v>
      </c>
      <c r="E161" t="str">
        <f t="shared" si="20"/>
        <v>TowerKSecHorzsY</v>
      </c>
      <c r="F161" s="4" t="str">
        <f t="shared" si="21"/>
        <v>YES</v>
      </c>
      <c r="G161" s="4" t="str">
        <f t="shared" si="22"/>
        <v>YES</v>
      </c>
      <c r="H161" s="4" t="str">
        <f t="shared" si="23"/>
        <v>YES</v>
      </c>
      <c r="I161" s="4" t="str">
        <f t="shared" si="24"/>
        <v>YES</v>
      </c>
      <c r="J161" t="s">
        <v>498</v>
      </c>
      <c r="N161" t="str">
        <f t="shared" si="25"/>
        <v>towerdiagonalboltgrade</v>
      </c>
      <c r="O161" t="s">
        <v>548</v>
      </c>
      <c r="P161" t="s">
        <v>728</v>
      </c>
      <c r="Q161" t="s">
        <v>248</v>
      </c>
      <c r="S161" t="str">
        <f t="shared" si="26"/>
        <v>towerdiagonalboltgrade</v>
      </c>
      <c r="T161" t="s">
        <v>548</v>
      </c>
      <c r="U161" t="s">
        <v>769</v>
      </c>
      <c r="V161" t="s">
        <v>766</v>
      </c>
    </row>
    <row r="162" spans="1:22" hidden="1" x14ac:dyDescent="0.25">
      <c r="A162" s="1" t="s">
        <v>159</v>
      </c>
      <c r="B162" s="2" t="s">
        <v>284</v>
      </c>
      <c r="C162" s="3" t="str">
        <f t="shared" si="18"/>
        <v>towertopgirtboltgrade</v>
      </c>
      <c r="D162" s="4">
        <f t="shared" si="19"/>
        <v>210</v>
      </c>
      <c r="E162" t="str">
        <f t="shared" si="20"/>
        <v>TowerKGirtsY</v>
      </c>
      <c r="F162" s="4" t="str">
        <f t="shared" si="21"/>
        <v>YES</v>
      </c>
      <c r="G162" s="4" t="str">
        <f t="shared" si="22"/>
        <v>YES</v>
      </c>
      <c r="H162" s="4" t="str">
        <f t="shared" si="23"/>
        <v>YES</v>
      </c>
      <c r="I162" s="4" t="str">
        <f t="shared" si="24"/>
        <v>YES</v>
      </c>
      <c r="J162" t="s">
        <v>499</v>
      </c>
      <c r="N162" t="str">
        <f t="shared" si="25"/>
        <v>towerdiagonalboltsize</v>
      </c>
      <c r="O162" t="s">
        <v>549</v>
      </c>
      <c r="P162" t="s">
        <v>727</v>
      </c>
      <c r="Q162" t="s">
        <v>723</v>
      </c>
      <c r="R162" t="s">
        <v>248</v>
      </c>
      <c r="S162" t="str">
        <f t="shared" si="26"/>
        <v>towerdiagonalboltsize</v>
      </c>
      <c r="T162" t="s">
        <v>549</v>
      </c>
      <c r="U162" t="s">
        <v>767</v>
      </c>
      <c r="V162" t="s">
        <v>766</v>
      </c>
    </row>
    <row r="163" spans="1:22" hidden="1" x14ac:dyDescent="0.25">
      <c r="A163" s="1" t="s">
        <v>160</v>
      </c>
      <c r="B163" s="2" t="s">
        <v>254</v>
      </c>
      <c r="C163" s="3" t="str">
        <f t="shared" si="18"/>
        <v>towertopgirtboltsize</v>
      </c>
      <c r="D163" s="4">
        <f t="shared" si="19"/>
        <v>211</v>
      </c>
      <c r="E163" t="str">
        <f t="shared" si="20"/>
        <v>TowerKInnersY</v>
      </c>
      <c r="F163" s="4" t="str">
        <f t="shared" si="21"/>
        <v>YES</v>
      </c>
      <c r="G163" s="4" t="str">
        <f t="shared" si="22"/>
        <v>YES</v>
      </c>
      <c r="H163" s="4" t="str">
        <f t="shared" si="23"/>
        <v>YES</v>
      </c>
      <c r="I163" s="4" t="str">
        <f t="shared" si="24"/>
        <v>YES</v>
      </c>
      <c r="J163" t="s">
        <v>500</v>
      </c>
      <c r="N163" t="str">
        <f t="shared" si="25"/>
        <v>towertopgirtboltgrade</v>
      </c>
      <c r="O163" t="s">
        <v>550</v>
      </c>
      <c r="P163" t="s">
        <v>728</v>
      </c>
      <c r="Q163" t="s">
        <v>248</v>
      </c>
      <c r="S163" t="str">
        <f t="shared" si="26"/>
        <v>towertopgirtboltgrade</v>
      </c>
      <c r="T163" t="s">
        <v>550</v>
      </c>
      <c r="U163" t="s">
        <v>769</v>
      </c>
      <c r="V163" t="s">
        <v>766</v>
      </c>
    </row>
    <row r="164" spans="1:22" hidden="1" x14ac:dyDescent="0.25">
      <c r="A164" s="1" t="s">
        <v>161</v>
      </c>
      <c r="B164" s="2" t="s">
        <v>284</v>
      </c>
      <c r="C164" s="3" t="str">
        <f t="shared" si="18"/>
        <v>towerbotgirtboltgrade</v>
      </c>
      <c r="D164" s="4">
        <f t="shared" si="19"/>
        <v>212</v>
      </c>
      <c r="E164" t="str">
        <f t="shared" si="20"/>
        <v>TowerKRedHorz</v>
      </c>
      <c r="F164" s="4" t="str">
        <f t="shared" si="21"/>
        <v>YES</v>
      </c>
      <c r="G164" s="4" t="str">
        <f t="shared" si="22"/>
        <v>YES</v>
      </c>
      <c r="H164" s="4" t="str">
        <f t="shared" si="23"/>
        <v>YES</v>
      </c>
      <c r="I164" s="4" t="str">
        <f t="shared" si="24"/>
        <v>YES</v>
      </c>
      <c r="J164" t="s">
        <v>501</v>
      </c>
      <c r="N164" t="str">
        <f t="shared" si="25"/>
        <v>towertopgirtboltsize</v>
      </c>
      <c r="O164" t="s">
        <v>552</v>
      </c>
      <c r="P164" t="s">
        <v>727</v>
      </c>
      <c r="Q164" t="s">
        <v>723</v>
      </c>
      <c r="R164" t="s">
        <v>248</v>
      </c>
      <c r="S164" t="str">
        <f t="shared" si="26"/>
        <v>towertopgirtboltsize</v>
      </c>
      <c r="T164" t="s">
        <v>552</v>
      </c>
      <c r="U164" t="s">
        <v>767</v>
      </c>
      <c r="V164" t="s">
        <v>766</v>
      </c>
    </row>
    <row r="165" spans="1:22" hidden="1" x14ac:dyDescent="0.25">
      <c r="A165" s="1" t="s">
        <v>162</v>
      </c>
      <c r="B165" s="2" t="s">
        <v>254</v>
      </c>
      <c r="C165" s="3" t="str">
        <f t="shared" si="18"/>
        <v>towerbotgirtboltsize</v>
      </c>
      <c r="D165" s="4">
        <f t="shared" si="19"/>
        <v>213</v>
      </c>
      <c r="E165" t="str">
        <f t="shared" si="20"/>
        <v>TowerKRedDiag</v>
      </c>
      <c r="F165" s="4" t="str">
        <f t="shared" si="21"/>
        <v>YES</v>
      </c>
      <c r="G165" s="4" t="str">
        <f t="shared" si="22"/>
        <v>YES</v>
      </c>
      <c r="H165" s="4" t="str">
        <f t="shared" si="23"/>
        <v>YES</v>
      </c>
      <c r="I165" s="4" t="str">
        <f t="shared" si="24"/>
        <v>YES</v>
      </c>
      <c r="J165" t="s">
        <v>502</v>
      </c>
      <c r="N165" t="str">
        <f t="shared" si="25"/>
        <v>towerbotgirtboltgrade</v>
      </c>
      <c r="O165" t="s">
        <v>553</v>
      </c>
      <c r="P165" t="s">
        <v>728</v>
      </c>
      <c r="Q165" t="s">
        <v>248</v>
      </c>
      <c r="S165" t="str">
        <f t="shared" si="26"/>
        <v>towerbotgirtboltgrade</v>
      </c>
      <c r="T165" t="s">
        <v>553</v>
      </c>
      <c r="U165" t="s">
        <v>769</v>
      </c>
      <c r="V165" t="s">
        <v>766</v>
      </c>
    </row>
    <row r="166" spans="1:22" hidden="1" x14ac:dyDescent="0.25">
      <c r="A166" s="1" t="s">
        <v>163</v>
      </c>
      <c r="B166" s="2" t="s">
        <v>284</v>
      </c>
      <c r="C166" s="3" t="str">
        <f t="shared" si="18"/>
        <v>towerinnergirtboltgrade</v>
      </c>
      <c r="D166" s="4">
        <f t="shared" si="19"/>
        <v>214</v>
      </c>
      <c r="E166" t="str">
        <f t="shared" si="20"/>
        <v>TowerKRedSubDiag</v>
      </c>
      <c r="F166" s="4" t="str">
        <f t="shared" si="21"/>
        <v>YES</v>
      </c>
      <c r="G166" s="4" t="str">
        <f t="shared" si="22"/>
        <v>YES</v>
      </c>
      <c r="H166" s="4" t="str">
        <f t="shared" si="23"/>
        <v>YES</v>
      </c>
      <c r="I166" s="4" t="str">
        <f t="shared" si="24"/>
        <v>YES</v>
      </c>
      <c r="J166" t="s">
        <v>503</v>
      </c>
      <c r="N166" t="str">
        <f t="shared" si="25"/>
        <v>towerbotgirtboltsize</v>
      </c>
      <c r="O166" t="s">
        <v>554</v>
      </c>
      <c r="P166" t="s">
        <v>727</v>
      </c>
      <c r="Q166" t="s">
        <v>723</v>
      </c>
      <c r="R166" t="s">
        <v>248</v>
      </c>
      <c r="S166" t="str">
        <f t="shared" si="26"/>
        <v>towerbotgirtboltsize</v>
      </c>
      <c r="T166" t="s">
        <v>554</v>
      </c>
      <c r="U166" t="s">
        <v>767</v>
      </c>
      <c r="V166" t="s">
        <v>766</v>
      </c>
    </row>
    <row r="167" spans="1:22" hidden="1" x14ac:dyDescent="0.25">
      <c r="A167" s="1" t="s">
        <v>164</v>
      </c>
      <c r="B167" s="2" t="s">
        <v>254</v>
      </c>
      <c r="C167" s="3" t="str">
        <f t="shared" si="18"/>
        <v>towerinnergirtboltsize</v>
      </c>
      <c r="D167" s="4">
        <f t="shared" si="19"/>
        <v>215</v>
      </c>
      <c r="E167" t="str">
        <f t="shared" si="20"/>
        <v>TowerKRedSubHorz</v>
      </c>
      <c r="F167" s="4" t="str">
        <f t="shared" si="21"/>
        <v>YES</v>
      </c>
      <c r="G167" s="4" t="str">
        <f t="shared" si="22"/>
        <v>YES</v>
      </c>
      <c r="H167" s="4" t="str">
        <f t="shared" si="23"/>
        <v>YES</v>
      </c>
      <c r="I167" s="4" t="str">
        <f t="shared" si="24"/>
        <v>YES</v>
      </c>
      <c r="J167" t="s">
        <v>504</v>
      </c>
      <c r="N167" t="str">
        <f t="shared" si="25"/>
        <v>towerinnergirtboltgrade</v>
      </c>
      <c r="O167" t="s">
        <v>555</v>
      </c>
      <c r="P167" t="s">
        <v>728</v>
      </c>
      <c r="Q167" t="s">
        <v>248</v>
      </c>
      <c r="S167" t="str">
        <f t="shared" si="26"/>
        <v>towerinnergirtboltgrade</v>
      </c>
      <c r="T167" t="s">
        <v>555</v>
      </c>
      <c r="U167" t="s">
        <v>769</v>
      </c>
      <c r="V167" t="s">
        <v>766</v>
      </c>
    </row>
    <row r="168" spans="1:22" hidden="1" x14ac:dyDescent="0.25">
      <c r="A168" s="1" t="s">
        <v>165</v>
      </c>
      <c r="B168" s="2" t="s">
        <v>282</v>
      </c>
      <c r="C168" s="3" t="str">
        <f t="shared" si="18"/>
        <v>towerhorizontalboltgrade</v>
      </c>
      <c r="D168" s="4">
        <f t="shared" si="19"/>
        <v>216</v>
      </c>
      <c r="E168" t="str">
        <f t="shared" si="20"/>
        <v>TowerKRedVert</v>
      </c>
      <c r="F168" s="4" t="str">
        <f t="shared" si="21"/>
        <v>YES</v>
      </c>
      <c r="G168" s="4" t="str">
        <f t="shared" si="22"/>
        <v>YES</v>
      </c>
      <c r="H168" s="4" t="str">
        <f t="shared" si="23"/>
        <v>YES</v>
      </c>
      <c r="I168" s="4" t="str">
        <f t="shared" si="24"/>
        <v>YES</v>
      </c>
      <c r="J168" t="s">
        <v>505</v>
      </c>
      <c r="N168" t="str">
        <f t="shared" si="25"/>
        <v>towerinnergirtboltsize</v>
      </c>
      <c r="O168" t="s">
        <v>556</v>
      </c>
      <c r="P168" t="s">
        <v>727</v>
      </c>
      <c r="Q168" t="s">
        <v>723</v>
      </c>
      <c r="R168" t="s">
        <v>248</v>
      </c>
      <c r="S168" t="str">
        <f t="shared" si="26"/>
        <v>towerinnergirtboltsize</v>
      </c>
      <c r="T168" t="s">
        <v>556</v>
      </c>
      <c r="U168" t="s">
        <v>767</v>
      </c>
      <c r="V168" t="s">
        <v>766</v>
      </c>
    </row>
    <row r="169" spans="1:22" hidden="1" x14ac:dyDescent="0.25">
      <c r="A169" s="1" t="s">
        <v>166</v>
      </c>
      <c r="B169" s="2" t="s">
        <v>278</v>
      </c>
      <c r="C169" s="3" t="str">
        <f t="shared" si="18"/>
        <v>towerhorizontalboltsize</v>
      </c>
      <c r="D169" s="4">
        <f t="shared" si="19"/>
        <v>217</v>
      </c>
      <c r="E169" t="str">
        <f t="shared" si="20"/>
        <v>TowerKRedHip</v>
      </c>
      <c r="F169" s="4" t="str">
        <f t="shared" si="21"/>
        <v>YES</v>
      </c>
      <c r="G169" s="4" t="str">
        <f t="shared" si="22"/>
        <v>YES</v>
      </c>
      <c r="H169" s="4" t="str">
        <f t="shared" si="23"/>
        <v>YES</v>
      </c>
      <c r="I169" s="4" t="str">
        <f t="shared" si="24"/>
        <v>YES</v>
      </c>
      <c r="J169" t="s">
        <v>506</v>
      </c>
      <c r="N169" t="str">
        <f t="shared" si="25"/>
        <v>towerhorizontalboltgrade</v>
      </c>
      <c r="O169" t="s">
        <v>557</v>
      </c>
      <c r="P169" t="s">
        <v>728</v>
      </c>
      <c r="Q169" t="s">
        <v>248</v>
      </c>
      <c r="S169" t="str">
        <f t="shared" si="26"/>
        <v>towerhorizontalboltgrade</v>
      </c>
      <c r="T169" t="s">
        <v>557</v>
      </c>
      <c r="U169" t="s">
        <v>769</v>
      </c>
      <c r="V169" t="s">
        <v>766</v>
      </c>
    </row>
    <row r="170" spans="1:22" hidden="1" x14ac:dyDescent="0.25">
      <c r="A170" s="1" t="s">
        <v>167</v>
      </c>
      <c r="B170" s="2" t="s">
        <v>282</v>
      </c>
      <c r="C170" s="3" t="str">
        <f t="shared" si="18"/>
        <v>towershorthorizontalboltgrade</v>
      </c>
      <c r="D170" s="4">
        <f t="shared" si="19"/>
        <v>218</v>
      </c>
      <c r="E170" t="str">
        <f t="shared" si="20"/>
        <v>TowerKRedHipDiag</v>
      </c>
      <c r="F170" s="4" t="str">
        <f t="shared" si="21"/>
        <v>YES</v>
      </c>
      <c r="G170" s="4" t="str">
        <f t="shared" si="22"/>
        <v>YES</v>
      </c>
      <c r="H170" s="4" t="str">
        <f t="shared" si="23"/>
        <v>YES</v>
      </c>
      <c r="I170" s="4" t="str">
        <f t="shared" si="24"/>
        <v>YES</v>
      </c>
      <c r="J170" t="s">
        <v>507</v>
      </c>
      <c r="N170" t="str">
        <f t="shared" si="25"/>
        <v>towerhorizontalboltsize</v>
      </c>
      <c r="O170" t="s">
        <v>558</v>
      </c>
      <c r="P170" t="s">
        <v>727</v>
      </c>
      <c r="Q170" t="s">
        <v>723</v>
      </c>
      <c r="R170" t="s">
        <v>248</v>
      </c>
      <c r="S170" t="str">
        <f t="shared" si="26"/>
        <v>towerhorizontalboltsize</v>
      </c>
      <c r="T170" t="s">
        <v>558</v>
      </c>
      <c r="U170" t="s">
        <v>767</v>
      </c>
      <c r="V170" t="s">
        <v>766</v>
      </c>
    </row>
    <row r="171" spans="1:22" hidden="1" x14ac:dyDescent="0.25">
      <c r="A171" s="1" t="s">
        <v>168</v>
      </c>
      <c r="B171" s="2" t="s">
        <v>283</v>
      </c>
      <c r="C171" s="3" t="str">
        <f t="shared" si="18"/>
        <v>towershorthorizontalboltsize</v>
      </c>
      <c r="D171" s="4">
        <f t="shared" si="19"/>
        <v>219</v>
      </c>
      <c r="E171" t="str">
        <f t="shared" si="20"/>
        <v>TowerKTLX</v>
      </c>
      <c r="F171" s="4" t="str">
        <f t="shared" si="21"/>
        <v>YES</v>
      </c>
      <c r="G171" s="4" t="str">
        <f t="shared" si="22"/>
        <v>YES</v>
      </c>
      <c r="H171" s="4" t="str">
        <f t="shared" si="23"/>
        <v>YES</v>
      </c>
      <c r="I171" s="4" t="str">
        <f t="shared" si="24"/>
        <v>YES</v>
      </c>
      <c r="J171" t="s">
        <v>508</v>
      </c>
      <c r="N171" t="str">
        <f t="shared" si="25"/>
        <v>towershorthorizontalboltgrade</v>
      </c>
      <c r="O171" t="s">
        <v>559</v>
      </c>
      <c r="P171" t="s">
        <v>728</v>
      </c>
      <c r="Q171" t="s">
        <v>248</v>
      </c>
      <c r="S171" t="str">
        <f t="shared" si="26"/>
        <v>towershorthorizontalboltgrade</v>
      </c>
      <c r="T171" t="s">
        <v>559</v>
      </c>
      <c r="U171" t="s">
        <v>769</v>
      </c>
      <c r="V171" t="s">
        <v>766</v>
      </c>
    </row>
    <row r="172" spans="1:22" hidden="1" x14ac:dyDescent="0.25">
      <c r="A172" s="1" t="s">
        <v>169</v>
      </c>
      <c r="B172" s="2" t="s">
        <v>254</v>
      </c>
      <c r="C172" s="3" t="str">
        <f t="shared" si="18"/>
        <v>towerlegboltedgedistance</v>
      </c>
      <c r="D172" s="4">
        <f t="shared" si="19"/>
        <v>220</v>
      </c>
      <c r="E172" t="str">
        <f t="shared" si="20"/>
        <v>TowerKTLZ</v>
      </c>
      <c r="F172" s="4" t="str">
        <f t="shared" si="21"/>
        <v>YES</v>
      </c>
      <c r="G172" s="4" t="str">
        <f t="shared" si="22"/>
        <v>YES</v>
      </c>
      <c r="H172" s="4" t="str">
        <f t="shared" si="23"/>
        <v>YES</v>
      </c>
      <c r="I172" s="4" t="str">
        <f t="shared" si="24"/>
        <v>YES</v>
      </c>
      <c r="J172" t="s">
        <v>509</v>
      </c>
      <c r="N172" t="str">
        <f t="shared" si="25"/>
        <v>towershorthorizontalboltsize</v>
      </c>
      <c r="O172" t="s">
        <v>560</v>
      </c>
      <c r="P172" t="s">
        <v>727</v>
      </c>
      <c r="Q172" t="s">
        <v>723</v>
      </c>
      <c r="R172" t="s">
        <v>248</v>
      </c>
      <c r="S172" t="str">
        <f t="shared" si="26"/>
        <v>towershorthorizontalboltsize</v>
      </c>
      <c r="T172" t="s">
        <v>560</v>
      </c>
      <c r="U172" t="s">
        <v>767</v>
      </c>
      <c r="V172" t="s">
        <v>766</v>
      </c>
    </row>
    <row r="173" spans="1:22" hidden="1" x14ac:dyDescent="0.25">
      <c r="A173" s="1" t="s">
        <v>170</v>
      </c>
      <c r="B173" s="2" t="s">
        <v>254</v>
      </c>
      <c r="C173" s="3" t="str">
        <f t="shared" si="18"/>
        <v>towerdiagonalboltedgedistance</v>
      </c>
      <c r="D173" s="4">
        <f t="shared" si="19"/>
        <v>221</v>
      </c>
      <c r="E173" t="str">
        <f t="shared" si="20"/>
        <v>TowerKTLLeg</v>
      </c>
      <c r="F173" s="4" t="str">
        <f t="shared" si="21"/>
        <v>YES</v>
      </c>
      <c r="G173" s="4" t="str">
        <f t="shared" si="22"/>
        <v>YES</v>
      </c>
      <c r="H173" s="4" t="str">
        <f t="shared" si="23"/>
        <v>YES</v>
      </c>
      <c r="I173" s="4" t="str">
        <f t="shared" si="24"/>
        <v>YES</v>
      </c>
      <c r="J173" t="s">
        <v>510</v>
      </c>
      <c r="N173" t="str">
        <f t="shared" si="25"/>
        <v>towerlegboltedgedistance</v>
      </c>
      <c r="O173" t="s">
        <v>561</v>
      </c>
      <c r="P173" t="s">
        <v>727</v>
      </c>
      <c r="Q173" t="s">
        <v>723</v>
      </c>
      <c r="R173" t="s">
        <v>248</v>
      </c>
      <c r="S173" t="str">
        <f t="shared" si="26"/>
        <v>towerlegboltedgedistance</v>
      </c>
      <c r="T173" t="s">
        <v>561</v>
      </c>
      <c r="U173" t="s">
        <v>767</v>
      </c>
      <c r="V173" t="s">
        <v>766</v>
      </c>
    </row>
    <row r="174" spans="1:22" hidden="1" x14ac:dyDescent="0.25">
      <c r="A174" s="1" t="s">
        <v>171</v>
      </c>
      <c r="B174" s="2" t="s">
        <v>254</v>
      </c>
      <c r="C174" s="3" t="str">
        <f t="shared" si="18"/>
        <v>towertopgirtboltedgedistance</v>
      </c>
      <c r="D174" s="4">
        <f t="shared" si="19"/>
        <v>222</v>
      </c>
      <c r="E174" t="str">
        <f t="shared" si="20"/>
        <v>TowerInnerKTLX</v>
      </c>
      <c r="F174" s="4" t="str">
        <f t="shared" si="21"/>
        <v>YES</v>
      </c>
      <c r="G174" s="4" t="str">
        <f t="shared" si="22"/>
        <v>YES</v>
      </c>
      <c r="H174" s="4" t="str">
        <f t="shared" si="23"/>
        <v>YES</v>
      </c>
      <c r="I174" s="4" t="str">
        <f t="shared" si="24"/>
        <v>YES</v>
      </c>
      <c r="J174" t="s">
        <v>511</v>
      </c>
      <c r="N174" t="str">
        <f t="shared" si="25"/>
        <v>towerdiagonalboltedgedistance</v>
      </c>
      <c r="O174" t="s">
        <v>562</v>
      </c>
      <c r="P174" t="s">
        <v>727</v>
      </c>
      <c r="Q174" t="s">
        <v>723</v>
      </c>
      <c r="R174" t="s">
        <v>248</v>
      </c>
      <c r="S174" t="str">
        <f t="shared" si="26"/>
        <v>towerdiagonalboltedgedistance</v>
      </c>
      <c r="T174" t="s">
        <v>562</v>
      </c>
      <c r="U174" t="s">
        <v>767</v>
      </c>
      <c r="V174" t="s">
        <v>766</v>
      </c>
    </row>
    <row r="175" spans="1:22" hidden="1" x14ac:dyDescent="0.25">
      <c r="A175" s="1" t="s">
        <v>172</v>
      </c>
      <c r="B175" s="2" t="s">
        <v>254</v>
      </c>
      <c r="C175" s="3" t="str">
        <f t="shared" si="18"/>
        <v>towerbotgirtboltedgedistance</v>
      </c>
      <c r="D175" s="4">
        <f t="shared" si="19"/>
        <v>223</v>
      </c>
      <c r="E175" t="str">
        <f t="shared" si="20"/>
        <v>TowerInnerKTLZ</v>
      </c>
      <c r="F175" s="4" t="str">
        <f t="shared" si="21"/>
        <v>YES</v>
      </c>
      <c r="G175" s="4" t="str">
        <f t="shared" si="22"/>
        <v>YES</v>
      </c>
      <c r="H175" s="4" t="str">
        <f t="shared" si="23"/>
        <v>YES</v>
      </c>
      <c r="I175" s="4" t="str">
        <f t="shared" si="24"/>
        <v>YES</v>
      </c>
      <c r="J175" t="s">
        <v>512</v>
      </c>
      <c r="N175" t="str">
        <f t="shared" si="25"/>
        <v>towertopgirtboltedgedistance</v>
      </c>
      <c r="O175" t="s">
        <v>563</v>
      </c>
      <c r="P175" t="s">
        <v>727</v>
      </c>
      <c r="Q175" t="s">
        <v>723</v>
      </c>
      <c r="R175" t="s">
        <v>248</v>
      </c>
      <c r="S175" t="str">
        <f t="shared" si="26"/>
        <v>towertopgirtboltedgedistance</v>
      </c>
      <c r="T175" t="s">
        <v>563</v>
      </c>
      <c r="U175" t="s">
        <v>767</v>
      </c>
      <c r="V175" t="s">
        <v>766</v>
      </c>
    </row>
    <row r="176" spans="1:22" hidden="1" x14ac:dyDescent="0.25">
      <c r="A176" s="1" t="s">
        <v>173</v>
      </c>
      <c r="B176" s="2" t="s">
        <v>254</v>
      </c>
      <c r="C176" s="3" t="str">
        <f t="shared" si="18"/>
        <v>towerinnergirtboltedgedistance</v>
      </c>
      <c r="D176" s="4">
        <f t="shared" si="19"/>
        <v>224</v>
      </c>
      <c r="E176" t="str">
        <f t="shared" si="20"/>
        <v>TowerInnerKTLLeg</v>
      </c>
      <c r="F176" s="4" t="str">
        <f t="shared" si="21"/>
        <v>YES</v>
      </c>
      <c r="G176" s="4" t="str">
        <f t="shared" si="22"/>
        <v>YES</v>
      </c>
      <c r="H176" s="4" t="str">
        <f t="shared" si="23"/>
        <v>YES</v>
      </c>
      <c r="I176" s="4" t="str">
        <f t="shared" si="24"/>
        <v>YES</v>
      </c>
      <c r="J176" t="s">
        <v>513</v>
      </c>
      <c r="N176" t="str">
        <f t="shared" si="25"/>
        <v>towerbotgirtboltedgedistance</v>
      </c>
      <c r="O176" t="s">
        <v>564</v>
      </c>
      <c r="P176" t="s">
        <v>727</v>
      </c>
      <c r="Q176" t="s">
        <v>723</v>
      </c>
      <c r="R176" t="s">
        <v>248</v>
      </c>
      <c r="S176" t="str">
        <f t="shared" si="26"/>
        <v>towerbotgirtboltedgedistance</v>
      </c>
      <c r="T176" t="s">
        <v>564</v>
      </c>
      <c r="U176" t="s">
        <v>767</v>
      </c>
      <c r="V176" t="s">
        <v>766</v>
      </c>
    </row>
    <row r="177" spans="1:22" hidden="1" x14ac:dyDescent="0.25">
      <c r="A177" s="1" t="s">
        <v>174</v>
      </c>
      <c r="B177" s="2" t="s">
        <v>254</v>
      </c>
      <c r="C177" s="3" t="str">
        <f t="shared" si="18"/>
        <v>towerhorizontalboltedgedistance</v>
      </c>
      <c r="D177" s="4">
        <f t="shared" si="19"/>
        <v>225</v>
      </c>
      <c r="E177" t="str">
        <f t="shared" si="20"/>
        <v>TowerStitchBoltLocationHoriz</v>
      </c>
      <c r="F177" s="4" t="str">
        <f t="shared" si="21"/>
        <v>YES</v>
      </c>
      <c r="G177" s="4" t="str">
        <f t="shared" si="22"/>
        <v>YES</v>
      </c>
      <c r="H177" s="4" t="str">
        <f t="shared" si="23"/>
        <v>YES</v>
      </c>
      <c r="I177" s="4" t="str">
        <f t="shared" si="24"/>
        <v>YES</v>
      </c>
      <c r="J177" t="s">
        <v>514</v>
      </c>
      <c r="N177" t="str">
        <f t="shared" si="25"/>
        <v>towerinnergirtboltedgedistance</v>
      </c>
      <c r="O177" t="s">
        <v>565</v>
      </c>
      <c r="P177" t="s">
        <v>727</v>
      </c>
      <c r="Q177" t="s">
        <v>723</v>
      </c>
      <c r="R177" t="s">
        <v>248</v>
      </c>
      <c r="S177" t="str">
        <f t="shared" si="26"/>
        <v>towerinnergirtboltedgedistance</v>
      </c>
      <c r="T177" t="s">
        <v>565</v>
      </c>
      <c r="U177" t="s">
        <v>767</v>
      </c>
      <c r="V177" t="s">
        <v>766</v>
      </c>
    </row>
    <row r="178" spans="1:22" hidden="1" x14ac:dyDescent="0.25">
      <c r="A178" s="1" t="s">
        <v>175</v>
      </c>
      <c r="B178" s="2" t="s">
        <v>254</v>
      </c>
      <c r="C178" s="3" t="str">
        <f t="shared" si="18"/>
        <v>towershorthorizontalboltedgedistance</v>
      </c>
      <c r="D178" s="4">
        <f t="shared" si="19"/>
        <v>226</v>
      </c>
      <c r="E178" t="str">
        <f t="shared" si="20"/>
        <v>TowerStitchBoltLocationDiag</v>
      </c>
      <c r="F178" s="4" t="str">
        <f t="shared" si="21"/>
        <v>YES</v>
      </c>
      <c r="G178" s="4" t="str">
        <f t="shared" si="22"/>
        <v>YES</v>
      </c>
      <c r="H178" s="4" t="str">
        <f t="shared" si="23"/>
        <v>YES</v>
      </c>
      <c r="I178" s="4" t="str">
        <f t="shared" si="24"/>
        <v>YES</v>
      </c>
      <c r="J178" t="s">
        <v>516</v>
      </c>
      <c r="N178" t="str">
        <f t="shared" si="25"/>
        <v>towerhorizontalboltedgedistance</v>
      </c>
      <c r="O178" t="s">
        <v>566</v>
      </c>
      <c r="P178" t="s">
        <v>727</v>
      </c>
      <c r="Q178" t="s">
        <v>723</v>
      </c>
      <c r="R178" t="s">
        <v>248</v>
      </c>
      <c r="S178" t="str">
        <f t="shared" si="26"/>
        <v>towerhorizontalboltedgedistance</v>
      </c>
      <c r="T178" t="s">
        <v>566</v>
      </c>
      <c r="U178" t="s">
        <v>767</v>
      </c>
      <c r="V178" t="s">
        <v>766</v>
      </c>
    </row>
    <row r="179" spans="1:22" hidden="1" x14ac:dyDescent="0.25">
      <c r="A179" s="1" t="s">
        <v>176</v>
      </c>
      <c r="B179" s="2" t="s">
        <v>254</v>
      </c>
      <c r="C179" s="3" t="str">
        <f t="shared" si="18"/>
        <v>towerdiagonalgageg1distance</v>
      </c>
      <c r="D179" s="4">
        <f t="shared" si="19"/>
        <v>227</v>
      </c>
      <c r="E179" t="str">
        <f t="shared" si="20"/>
        <v>TowerStitchBoltLocationRed</v>
      </c>
      <c r="F179" s="4" t="str">
        <f t="shared" si="21"/>
        <v>YES</v>
      </c>
      <c r="G179" s="4" t="str">
        <f t="shared" si="22"/>
        <v>YES</v>
      </c>
      <c r="H179" s="4" t="str">
        <f t="shared" si="23"/>
        <v>YES</v>
      </c>
      <c r="I179" s="4" t="str">
        <f t="shared" si="24"/>
        <v>YES</v>
      </c>
      <c r="J179" t="s">
        <v>517</v>
      </c>
      <c r="N179" t="str">
        <f t="shared" si="25"/>
        <v>towershorthorizontalboltedgedistance</v>
      </c>
      <c r="O179" t="s">
        <v>567</v>
      </c>
      <c r="P179" t="s">
        <v>727</v>
      </c>
      <c r="Q179" t="s">
        <v>723</v>
      </c>
      <c r="R179" t="s">
        <v>248</v>
      </c>
      <c r="S179" t="str">
        <f t="shared" si="26"/>
        <v>towershorthorizontalboltedgedistance</v>
      </c>
      <c r="T179" t="s">
        <v>567</v>
      </c>
      <c r="U179" t="s">
        <v>767</v>
      </c>
      <c r="V179" t="s">
        <v>766</v>
      </c>
    </row>
    <row r="180" spans="1:22" hidden="1" x14ac:dyDescent="0.25">
      <c r="A180" s="1" t="s">
        <v>177</v>
      </c>
      <c r="B180" s="2" t="s">
        <v>254</v>
      </c>
      <c r="C180" s="3" t="str">
        <f t="shared" si="18"/>
        <v>towertopgirtgageg1distance</v>
      </c>
      <c r="D180" s="4">
        <f t="shared" si="19"/>
        <v>228</v>
      </c>
      <c r="E180" t="str">
        <f t="shared" si="20"/>
        <v>TowerStitchSpacing</v>
      </c>
      <c r="F180" s="4" t="str">
        <f t="shared" si="21"/>
        <v>YES</v>
      </c>
      <c r="G180" s="4" t="str">
        <f t="shared" si="22"/>
        <v>YES</v>
      </c>
      <c r="H180" s="4" t="str">
        <f t="shared" si="23"/>
        <v>YES</v>
      </c>
      <c r="I180" s="4" t="str">
        <f t="shared" si="24"/>
        <v>YES</v>
      </c>
      <c r="J180" t="s">
        <v>518</v>
      </c>
      <c r="N180" t="str">
        <f t="shared" si="25"/>
        <v>towerdiagonalgageg1distance</v>
      </c>
      <c r="O180" t="s">
        <v>568</v>
      </c>
      <c r="P180" t="s">
        <v>727</v>
      </c>
      <c r="Q180" t="s">
        <v>723</v>
      </c>
      <c r="R180" t="s">
        <v>248</v>
      </c>
      <c r="S180" t="str">
        <f t="shared" si="26"/>
        <v>towerdiagonalgageg1distance</v>
      </c>
      <c r="T180" t="s">
        <v>568</v>
      </c>
      <c r="U180" t="s">
        <v>767</v>
      </c>
      <c r="V180" t="s">
        <v>766</v>
      </c>
    </row>
    <row r="181" spans="1:22" hidden="1" x14ac:dyDescent="0.25">
      <c r="A181" s="1" t="s">
        <v>178</v>
      </c>
      <c r="B181" s="2" t="s">
        <v>254</v>
      </c>
      <c r="C181" s="3" t="str">
        <f t="shared" si="18"/>
        <v>towerbotgirtgageg1distance</v>
      </c>
      <c r="D181" s="4">
        <f t="shared" si="19"/>
        <v>229</v>
      </c>
      <c r="E181" t="str">
        <f t="shared" si="20"/>
        <v>TowerStitchSpacingDiag</v>
      </c>
      <c r="F181" s="4" t="str">
        <f t="shared" si="21"/>
        <v>YES</v>
      </c>
      <c r="G181" s="4" t="str">
        <f t="shared" si="22"/>
        <v>YES</v>
      </c>
      <c r="H181" s="4" t="str">
        <f t="shared" si="23"/>
        <v>YES</v>
      </c>
      <c r="I181" s="4" t="str">
        <f t="shared" si="24"/>
        <v>YES</v>
      </c>
      <c r="J181" t="s">
        <v>519</v>
      </c>
      <c r="N181" t="str">
        <f t="shared" si="25"/>
        <v>towertopgirtgageg1distance</v>
      </c>
      <c r="O181" t="s">
        <v>569</v>
      </c>
      <c r="P181" t="s">
        <v>727</v>
      </c>
      <c r="Q181" t="s">
        <v>723</v>
      </c>
      <c r="R181" t="s">
        <v>248</v>
      </c>
      <c r="S181" t="str">
        <f t="shared" si="26"/>
        <v>towertopgirtgageg1distance</v>
      </c>
      <c r="T181" t="s">
        <v>569</v>
      </c>
      <c r="U181" t="s">
        <v>767</v>
      </c>
      <c r="V181" t="s">
        <v>766</v>
      </c>
    </row>
    <row r="182" spans="1:22" hidden="1" x14ac:dyDescent="0.25">
      <c r="A182" s="1" t="s">
        <v>179</v>
      </c>
      <c r="B182" s="2" t="s">
        <v>254</v>
      </c>
      <c r="C182" s="3" t="str">
        <f t="shared" si="18"/>
        <v>towerinnergirtgageg1distance</v>
      </c>
      <c r="D182" s="4">
        <f t="shared" si="19"/>
        <v>230</v>
      </c>
      <c r="E182" t="str">
        <f t="shared" si="20"/>
        <v>TowerStitchSpacingHorz</v>
      </c>
      <c r="F182" s="4" t="str">
        <f t="shared" si="21"/>
        <v>YES</v>
      </c>
      <c r="G182" s="4" t="str">
        <f t="shared" si="22"/>
        <v>YES</v>
      </c>
      <c r="H182" s="4" t="str">
        <f t="shared" si="23"/>
        <v>YES</v>
      </c>
      <c r="I182" s="4" t="str">
        <f t="shared" si="24"/>
        <v>YES</v>
      </c>
      <c r="J182" t="s">
        <v>520</v>
      </c>
      <c r="N182" t="str">
        <f t="shared" si="25"/>
        <v>towerbotgirtgageg1distance</v>
      </c>
      <c r="O182" t="s">
        <v>570</v>
      </c>
      <c r="P182" t="s">
        <v>727</v>
      </c>
      <c r="Q182" t="s">
        <v>723</v>
      </c>
      <c r="R182" t="s">
        <v>248</v>
      </c>
      <c r="S182" t="str">
        <f t="shared" si="26"/>
        <v>towerbotgirtgageg1distance</v>
      </c>
      <c r="T182" t="s">
        <v>570</v>
      </c>
      <c r="U182" t="s">
        <v>767</v>
      </c>
      <c r="V182" t="s">
        <v>766</v>
      </c>
    </row>
    <row r="183" spans="1:22" hidden="1" x14ac:dyDescent="0.25">
      <c r="A183" s="1" t="s">
        <v>180</v>
      </c>
      <c r="B183" s="2" t="s">
        <v>254</v>
      </c>
      <c r="C183" s="3" t="str">
        <f t="shared" si="18"/>
        <v>towerhorizontalgageg1distance</v>
      </c>
      <c r="D183" s="4">
        <f t="shared" si="19"/>
        <v>231</v>
      </c>
      <c r="E183" t="str">
        <f t="shared" si="20"/>
        <v>TowerStitchSpacingRed</v>
      </c>
      <c r="F183" s="4" t="str">
        <f t="shared" si="21"/>
        <v>YES</v>
      </c>
      <c r="G183" s="4" t="str">
        <f t="shared" si="22"/>
        <v>YES</v>
      </c>
      <c r="H183" s="4" t="str">
        <f t="shared" si="23"/>
        <v>YES</v>
      </c>
      <c r="I183" s="4" t="str">
        <f t="shared" si="24"/>
        <v>YES</v>
      </c>
      <c r="J183" t="s">
        <v>521</v>
      </c>
      <c r="N183" t="str">
        <f t="shared" si="25"/>
        <v>towerinnergirtgageg1distance</v>
      </c>
      <c r="O183" t="s">
        <v>571</v>
      </c>
      <c r="P183" t="s">
        <v>727</v>
      </c>
      <c r="Q183" t="s">
        <v>723</v>
      </c>
      <c r="R183" t="s">
        <v>248</v>
      </c>
      <c r="S183" t="str">
        <f t="shared" si="26"/>
        <v>towerinnergirtgageg1distance</v>
      </c>
      <c r="T183" t="s">
        <v>571</v>
      </c>
      <c r="U183" t="s">
        <v>767</v>
      </c>
      <c r="V183" t="s">
        <v>766</v>
      </c>
    </row>
    <row r="184" spans="1:22" hidden="1" x14ac:dyDescent="0.25">
      <c r="A184" s="1" t="s">
        <v>181</v>
      </c>
      <c r="B184" s="2" t="s">
        <v>254</v>
      </c>
      <c r="C184" s="3" t="str">
        <f t="shared" si="18"/>
        <v>towershorthorizontalgageg1distance</v>
      </c>
      <c r="D184" s="4">
        <f t="shared" si="19"/>
        <v>232</v>
      </c>
      <c r="E184" t="str">
        <f t="shared" si="20"/>
        <v>TowerLegNetWidthDeduct</v>
      </c>
      <c r="F184" s="4" t="str">
        <f t="shared" si="21"/>
        <v>YES</v>
      </c>
      <c r="G184" s="4" t="str">
        <f t="shared" si="22"/>
        <v>YES</v>
      </c>
      <c r="H184" s="4" t="str">
        <f t="shared" si="23"/>
        <v>YES</v>
      </c>
      <c r="I184" s="4" t="str">
        <f t="shared" si="24"/>
        <v>YES</v>
      </c>
      <c r="J184" t="s">
        <v>522</v>
      </c>
      <c r="N184" t="str">
        <f t="shared" si="25"/>
        <v>towerhorizontalgageg1distance</v>
      </c>
      <c r="O184" t="s">
        <v>572</v>
      </c>
      <c r="P184" t="s">
        <v>727</v>
      </c>
      <c r="Q184" t="s">
        <v>723</v>
      </c>
      <c r="R184" t="s">
        <v>248</v>
      </c>
      <c r="S184" t="str">
        <f t="shared" si="26"/>
        <v>towerhorizontalgageg1distance</v>
      </c>
      <c r="T184" t="s">
        <v>572</v>
      </c>
      <c r="U184" t="s">
        <v>767</v>
      </c>
      <c r="V184" t="s">
        <v>766</v>
      </c>
    </row>
    <row r="185" spans="1:22" hidden="1" x14ac:dyDescent="0.25">
      <c r="A185" s="1" t="s">
        <v>182</v>
      </c>
      <c r="B185" s="2" t="s">
        <v>248</v>
      </c>
      <c r="C185" s="3" t="str">
        <f t="shared" si="18"/>
        <v>towerredundanthorizontalboltgrade</v>
      </c>
      <c r="D185" s="4" t="e">
        <f t="shared" si="19"/>
        <v>#N/A</v>
      </c>
      <c r="E185" t="str">
        <f t="shared" si="20"/>
        <v>TowerLegUFactor</v>
      </c>
      <c r="F185" s="4" t="str">
        <f t="shared" si="21"/>
        <v>YES</v>
      </c>
      <c r="G185" s="4" t="str">
        <f t="shared" si="22"/>
        <v>YES</v>
      </c>
      <c r="H185" s="4" t="str">
        <f t="shared" si="23"/>
        <v>YES</v>
      </c>
      <c r="I185" s="4" t="str">
        <f t="shared" si="24"/>
        <v>YES</v>
      </c>
      <c r="J185" t="s">
        <v>523</v>
      </c>
      <c r="N185" t="str">
        <f t="shared" si="25"/>
        <v>towershorthorizontalgageg1distance</v>
      </c>
      <c r="O185" t="s">
        <v>573</v>
      </c>
      <c r="P185" t="s">
        <v>727</v>
      </c>
      <c r="Q185" t="s">
        <v>723</v>
      </c>
      <c r="R185" t="s">
        <v>248</v>
      </c>
      <c r="S185" t="str">
        <f t="shared" si="26"/>
        <v>towershorthorizontalgageg1distance</v>
      </c>
      <c r="T185" t="s">
        <v>573</v>
      </c>
      <c r="U185" t="s">
        <v>767</v>
      </c>
      <c r="V185" t="s">
        <v>766</v>
      </c>
    </row>
    <row r="186" spans="1:22" hidden="1" x14ac:dyDescent="0.25">
      <c r="A186" s="1" t="s">
        <v>183</v>
      </c>
      <c r="B186" s="2" t="s">
        <v>248</v>
      </c>
      <c r="C186" s="3" t="str">
        <f t="shared" si="18"/>
        <v>towerredundanthorizontalboltsize</v>
      </c>
      <c r="D186" s="4" t="e">
        <f t="shared" si="19"/>
        <v>#N/A</v>
      </c>
      <c r="E186" t="str">
        <f t="shared" si="20"/>
        <v>TowerDiagonalNetWidthDeduct</v>
      </c>
      <c r="F186" s="4" t="str">
        <f t="shared" si="21"/>
        <v>YES</v>
      </c>
      <c r="G186" s="4" t="str">
        <f t="shared" si="22"/>
        <v>YES</v>
      </c>
      <c r="H186" s="4" t="str">
        <f t="shared" si="23"/>
        <v>YES</v>
      </c>
      <c r="I186" s="4" t="str">
        <f t="shared" si="24"/>
        <v>YES</v>
      </c>
      <c r="J186" t="s">
        <v>524</v>
      </c>
      <c r="N186" t="str">
        <f t="shared" si="25"/>
        <v>towerredundanthorizontalboltgrade</v>
      </c>
      <c r="O186" t="s">
        <v>733</v>
      </c>
      <c r="P186" t="s">
        <v>728</v>
      </c>
      <c r="Q186" t="s">
        <v>248</v>
      </c>
      <c r="S186" t="str">
        <f t="shared" si="26"/>
        <v>toweruniqueflag</v>
      </c>
      <c r="T186" t="s">
        <v>713</v>
      </c>
      <c r="U186" t="s">
        <v>767</v>
      </c>
      <c r="V186" t="s">
        <v>766</v>
      </c>
    </row>
    <row r="187" spans="1:22" hidden="1" x14ac:dyDescent="0.25">
      <c r="A187" s="1" t="s">
        <v>184</v>
      </c>
      <c r="B187" s="2" t="s">
        <v>248</v>
      </c>
      <c r="C187" s="3" t="str">
        <f t="shared" si="18"/>
        <v>towerredundanthorizontalnumbolts</v>
      </c>
      <c r="D187" s="4" t="e">
        <f t="shared" si="19"/>
        <v>#N/A</v>
      </c>
      <c r="E187" t="str">
        <f t="shared" si="20"/>
        <v>TowerTopGirtNetWidthDeduct</v>
      </c>
      <c r="F187" s="4" t="str">
        <f t="shared" si="21"/>
        <v>YES</v>
      </c>
      <c r="G187" s="4" t="str">
        <f t="shared" si="22"/>
        <v>YES</v>
      </c>
      <c r="H187" s="4" t="str">
        <f t="shared" si="23"/>
        <v>YES</v>
      </c>
      <c r="I187" s="4" t="str">
        <f t="shared" si="24"/>
        <v>YES</v>
      </c>
      <c r="J187" t="s">
        <v>525</v>
      </c>
      <c r="N187" t="str">
        <f t="shared" si="25"/>
        <v>towerredundanthorizontalboltsize</v>
      </c>
      <c r="O187" t="s">
        <v>734</v>
      </c>
      <c r="P187" t="s">
        <v>727</v>
      </c>
      <c r="Q187" t="s">
        <v>723</v>
      </c>
      <c r="R187" t="s">
        <v>248</v>
      </c>
      <c r="S187" t="str">
        <f t="shared" si="26"/>
        <v>towerdiagoffsetney</v>
      </c>
      <c r="T187" t="s">
        <v>714</v>
      </c>
      <c r="U187" t="s">
        <v>767</v>
      </c>
      <c r="V187" t="s">
        <v>766</v>
      </c>
    </row>
    <row r="188" spans="1:22" hidden="1" x14ac:dyDescent="0.25">
      <c r="A188" s="1" t="s">
        <v>185</v>
      </c>
      <c r="B188" s="2" t="s">
        <v>248</v>
      </c>
      <c r="C188" s="3" t="str">
        <f t="shared" si="18"/>
        <v>towerredundanthorizontalboltedgedistance</v>
      </c>
      <c r="D188" s="4" t="e">
        <f t="shared" si="19"/>
        <v>#N/A</v>
      </c>
      <c r="E188" t="str">
        <f t="shared" si="20"/>
        <v>TowerBotGirtNetWidthDeduct</v>
      </c>
      <c r="F188" s="4" t="str">
        <f t="shared" si="21"/>
        <v>YES</v>
      </c>
      <c r="G188" s="4" t="str">
        <f t="shared" si="22"/>
        <v>YES</v>
      </c>
      <c r="H188" s="4" t="str">
        <f t="shared" si="23"/>
        <v>YES</v>
      </c>
      <c r="I188" s="4" t="str">
        <f t="shared" si="24"/>
        <v>YES</v>
      </c>
      <c r="J188" t="s">
        <v>526</v>
      </c>
      <c r="N188" t="str">
        <f t="shared" si="25"/>
        <v>towerredundanthorizontalnumbolts</v>
      </c>
      <c r="O188" t="s">
        <v>735</v>
      </c>
      <c r="P188" t="s">
        <v>724</v>
      </c>
      <c r="Q188" t="s">
        <v>248</v>
      </c>
      <c r="S188" t="str">
        <f t="shared" si="26"/>
        <v>towerdiagoffsetnex</v>
      </c>
      <c r="T188" t="s">
        <v>715</v>
      </c>
      <c r="U188" t="s">
        <v>767</v>
      </c>
      <c r="V188" t="s">
        <v>766</v>
      </c>
    </row>
    <row r="189" spans="1:22" hidden="1" x14ac:dyDescent="0.25">
      <c r="A189" s="1" t="s">
        <v>186</v>
      </c>
      <c r="B189" s="2" t="s">
        <v>248</v>
      </c>
      <c r="C189" s="3" t="str">
        <f t="shared" si="18"/>
        <v>towerredundanthorizontalgageg1distance</v>
      </c>
      <c r="D189" s="4" t="e">
        <f t="shared" si="19"/>
        <v>#N/A</v>
      </c>
      <c r="E189" t="str">
        <f t="shared" si="20"/>
        <v>TowerInnerGirtNetWidthDeduct</v>
      </c>
      <c r="F189" s="4" t="str">
        <f t="shared" si="21"/>
        <v>YES</v>
      </c>
      <c r="G189" s="4" t="str">
        <f t="shared" si="22"/>
        <v>YES</v>
      </c>
      <c r="H189" s="4" t="str">
        <f t="shared" si="23"/>
        <v>YES</v>
      </c>
      <c r="I189" s="4" t="str">
        <f t="shared" si="24"/>
        <v>YES</v>
      </c>
      <c r="J189" t="s">
        <v>527</v>
      </c>
      <c r="N189" t="str">
        <f t="shared" si="25"/>
        <v>towerredundanthorizontalboltedgedistance</v>
      </c>
      <c r="O189" t="s">
        <v>736</v>
      </c>
      <c r="P189" t="s">
        <v>727</v>
      </c>
      <c r="Q189" t="s">
        <v>723</v>
      </c>
      <c r="R189" t="s">
        <v>248</v>
      </c>
      <c r="S189" t="str">
        <f t="shared" si="26"/>
        <v>towerdiagoffsetpey</v>
      </c>
      <c r="T189" t="s">
        <v>716</v>
      </c>
      <c r="U189" t="s">
        <v>767</v>
      </c>
      <c r="V189" t="s">
        <v>766</v>
      </c>
    </row>
    <row r="190" spans="1:22" hidden="1" x14ac:dyDescent="0.25">
      <c r="A190" s="1" t="s">
        <v>187</v>
      </c>
      <c r="B190" s="2" t="s">
        <v>248</v>
      </c>
      <c r="C190" s="3" t="str">
        <f t="shared" si="18"/>
        <v>towerredundanthorizontalnetwidthdeduct</v>
      </c>
      <c r="D190" s="4" t="e">
        <f t="shared" si="19"/>
        <v>#N/A</v>
      </c>
      <c r="E190" t="str">
        <f t="shared" si="20"/>
        <v>TowerHorizontalNetWidthDeduct</v>
      </c>
      <c r="F190" s="4" t="str">
        <f t="shared" si="21"/>
        <v>YES</v>
      </c>
      <c r="G190" s="4" t="str">
        <f t="shared" si="22"/>
        <v>YES</v>
      </c>
      <c r="H190" s="4" t="str">
        <f t="shared" si="23"/>
        <v>YES</v>
      </c>
      <c r="I190" s="4" t="str">
        <f t="shared" si="24"/>
        <v>YES</v>
      </c>
      <c r="J190" t="s">
        <v>528</v>
      </c>
      <c r="N190" t="str">
        <f t="shared" si="25"/>
        <v>towerredundanthorizontalgageg1distance</v>
      </c>
      <c r="O190" t="s">
        <v>737</v>
      </c>
      <c r="P190" t="s">
        <v>727</v>
      </c>
      <c r="Q190" t="s">
        <v>723</v>
      </c>
      <c r="R190" t="s">
        <v>248</v>
      </c>
      <c r="S190" t="str">
        <f t="shared" si="26"/>
        <v>towerdiagoffsetpex</v>
      </c>
      <c r="T190" t="s">
        <v>717</v>
      </c>
      <c r="U190" t="s">
        <v>767</v>
      </c>
      <c r="V190" t="s">
        <v>766</v>
      </c>
    </row>
    <row r="191" spans="1:22" hidden="1" x14ac:dyDescent="0.25">
      <c r="A191" s="1" t="s">
        <v>188</v>
      </c>
      <c r="B191" s="2" t="s">
        <v>248</v>
      </c>
      <c r="C191" s="3" t="str">
        <f t="shared" si="18"/>
        <v>towerredundanthorizontalufactor</v>
      </c>
      <c r="D191" s="4" t="e">
        <f t="shared" si="19"/>
        <v>#N/A</v>
      </c>
      <c r="E191" t="str">
        <f t="shared" si="20"/>
        <v>TowerShortHorizontalNetWidthDeduct</v>
      </c>
      <c r="F191" s="4" t="str">
        <f t="shared" si="21"/>
        <v>YES</v>
      </c>
      <c r="G191" s="4" t="str">
        <f t="shared" si="22"/>
        <v>YES</v>
      </c>
      <c r="H191" s="4" t="str">
        <f t="shared" si="23"/>
        <v>YES</v>
      </c>
      <c r="I191" s="4" t="str">
        <f t="shared" si="24"/>
        <v>YES</v>
      </c>
      <c r="J191" t="s">
        <v>529</v>
      </c>
      <c r="N191" t="str">
        <f t="shared" si="25"/>
        <v>towerredundanthorizontalnetwidthdeduct</v>
      </c>
      <c r="O191" t="s">
        <v>738</v>
      </c>
      <c r="P191" t="s">
        <v>727</v>
      </c>
      <c r="Q191" t="s">
        <v>723</v>
      </c>
      <c r="R191" t="s">
        <v>248</v>
      </c>
      <c r="S191" t="str">
        <f t="shared" si="26"/>
        <v>towerkbraceoffsetney</v>
      </c>
      <c r="T191" t="s">
        <v>718</v>
      </c>
      <c r="U191" t="s">
        <v>767</v>
      </c>
      <c r="V191" t="s">
        <v>766</v>
      </c>
    </row>
    <row r="192" spans="1:22" hidden="1" x14ac:dyDescent="0.25">
      <c r="A192" s="1" t="s">
        <v>189</v>
      </c>
      <c r="B192" s="2" t="s">
        <v>248</v>
      </c>
      <c r="C192" s="3" t="str">
        <f t="shared" si="18"/>
        <v>towerredundantdiagonalboltgrade</v>
      </c>
      <c r="D192" s="4" t="e">
        <f t="shared" si="19"/>
        <v>#N/A</v>
      </c>
      <c r="E192" t="str">
        <f t="shared" si="20"/>
        <v>TowerDiagonalUFactor</v>
      </c>
      <c r="F192" s="4" t="str">
        <f t="shared" si="21"/>
        <v>YES</v>
      </c>
      <c r="G192" s="4" t="str">
        <f t="shared" si="22"/>
        <v>YES</v>
      </c>
      <c r="H192" s="4" t="str">
        <f t="shared" si="23"/>
        <v>YES</v>
      </c>
      <c r="I192" s="4" t="str">
        <f t="shared" si="24"/>
        <v>YES</v>
      </c>
      <c r="J192" t="s">
        <v>530</v>
      </c>
      <c r="N192" t="str">
        <f t="shared" si="25"/>
        <v>towerredundanthorizontalufactor</v>
      </c>
      <c r="O192" t="s">
        <v>739</v>
      </c>
      <c r="P192" t="s">
        <v>727</v>
      </c>
      <c r="Q192" t="s">
        <v>723</v>
      </c>
      <c r="R192" t="s">
        <v>248</v>
      </c>
      <c r="S192" t="str">
        <f t="shared" si="26"/>
        <v>towerkbraceoffsetnex</v>
      </c>
      <c r="T192" t="s">
        <v>719</v>
      </c>
      <c r="U192" t="s">
        <v>767</v>
      </c>
      <c r="V192" t="s">
        <v>766</v>
      </c>
    </row>
    <row r="193" spans="1:22" hidden="1" x14ac:dyDescent="0.25">
      <c r="A193" s="1" t="s">
        <v>190</v>
      </c>
      <c r="B193" s="2" t="s">
        <v>248</v>
      </c>
      <c r="C193" s="3" t="str">
        <f t="shared" si="18"/>
        <v>towerredundantdiagonalboltsize</v>
      </c>
      <c r="D193" s="4" t="e">
        <f t="shared" si="19"/>
        <v>#N/A</v>
      </c>
      <c r="E193" t="str">
        <f t="shared" si="20"/>
        <v>TowerTopGirtUFactor</v>
      </c>
      <c r="F193" s="4" t="str">
        <f t="shared" si="21"/>
        <v>YES</v>
      </c>
      <c r="G193" s="4" t="str">
        <f t="shared" si="22"/>
        <v>YES</v>
      </c>
      <c r="H193" s="4" t="str">
        <f t="shared" si="23"/>
        <v>YES</v>
      </c>
      <c r="I193" s="4" t="str">
        <f t="shared" si="24"/>
        <v>YES</v>
      </c>
      <c r="J193" t="s">
        <v>531</v>
      </c>
      <c r="N193" t="str">
        <f t="shared" si="25"/>
        <v>towerredundantdiagonalboltgrade</v>
      </c>
      <c r="O193" t="s">
        <v>740</v>
      </c>
      <c r="P193" t="s">
        <v>728</v>
      </c>
      <c r="Q193" t="s">
        <v>248</v>
      </c>
      <c r="S193" t="str">
        <f t="shared" si="26"/>
        <v>towerkbraceoffsetpey</v>
      </c>
      <c r="T193" t="s">
        <v>720</v>
      </c>
      <c r="U193" t="s">
        <v>767</v>
      </c>
      <c r="V193" t="s">
        <v>766</v>
      </c>
    </row>
    <row r="194" spans="1:22" hidden="1" x14ac:dyDescent="0.25">
      <c r="A194" s="1" t="s">
        <v>191</v>
      </c>
      <c r="B194" s="2" t="s">
        <v>248</v>
      </c>
      <c r="C194" s="3" t="str">
        <f t="shared" si="18"/>
        <v>towerredundantdiagonalnumbolts</v>
      </c>
      <c r="D194" s="4" t="e">
        <f t="shared" si="19"/>
        <v>#N/A</v>
      </c>
      <c r="E194" t="str">
        <f t="shared" si="20"/>
        <v>TowerBotGirtUFactor</v>
      </c>
      <c r="F194" s="4" t="str">
        <f t="shared" si="21"/>
        <v>YES</v>
      </c>
      <c r="G194" s="4" t="str">
        <f t="shared" si="22"/>
        <v>YES</v>
      </c>
      <c r="H194" s="4" t="str">
        <f t="shared" si="23"/>
        <v>YES</v>
      </c>
      <c r="I194" s="4" t="str">
        <f t="shared" si="24"/>
        <v>YES</v>
      </c>
      <c r="J194" t="s">
        <v>532</v>
      </c>
      <c r="N194" t="str">
        <f t="shared" si="25"/>
        <v>towerredundantdiagonalboltsize</v>
      </c>
      <c r="O194" t="s">
        <v>741</v>
      </c>
      <c r="P194" t="s">
        <v>727</v>
      </c>
      <c r="Q194" t="s">
        <v>723</v>
      </c>
      <c r="R194" t="s">
        <v>248</v>
      </c>
      <c r="S194" t="str">
        <f t="shared" si="26"/>
        <v>towerkbraceoffsetpex</v>
      </c>
      <c r="T194" t="s">
        <v>721</v>
      </c>
      <c r="U194" t="s">
        <v>767</v>
      </c>
      <c r="V194" t="s">
        <v>766</v>
      </c>
    </row>
    <row r="195" spans="1:22" hidden="1" x14ac:dyDescent="0.25">
      <c r="A195" s="1" t="s">
        <v>192</v>
      </c>
      <c r="B195" s="2" t="s">
        <v>248</v>
      </c>
      <c r="C195" s="3" t="str">
        <f t="shared" si="18"/>
        <v>towerredundantdiagonalboltedgedistance</v>
      </c>
      <c r="D195" s="4" t="e">
        <f t="shared" si="19"/>
        <v>#N/A</v>
      </c>
      <c r="E195" t="str">
        <f t="shared" si="20"/>
        <v>TowerInnerGirtUFactor</v>
      </c>
      <c r="F195" s="4" t="str">
        <f t="shared" si="21"/>
        <v>YES</v>
      </c>
      <c r="G195" s="4" t="str">
        <f t="shared" si="22"/>
        <v>YES</v>
      </c>
      <c r="H195" s="4" t="str">
        <f t="shared" si="23"/>
        <v>YES</v>
      </c>
      <c r="I195" s="4" t="str">
        <f t="shared" si="24"/>
        <v>YES</v>
      </c>
      <c r="J195" t="s">
        <v>533</v>
      </c>
      <c r="N195" t="str">
        <f t="shared" si="25"/>
        <v>towerredundantdiagonalnumbolts</v>
      </c>
      <c r="O195" t="s">
        <v>742</v>
      </c>
      <c r="P195" t="s">
        <v>724</v>
      </c>
      <c r="Q195" t="s">
        <v>248</v>
      </c>
      <c r="S195" t="str">
        <f t="shared" si="26"/>
        <v/>
      </c>
      <c r="U195" t="s">
        <v>764</v>
      </c>
    </row>
    <row r="196" spans="1:22" hidden="1" x14ac:dyDescent="0.25">
      <c r="A196" s="1" t="s">
        <v>193</v>
      </c>
      <c r="B196" s="2" t="s">
        <v>248</v>
      </c>
      <c r="C196" s="3" t="str">
        <f t="shared" si="18"/>
        <v>towerredundantdiagonalgageg1distance</v>
      </c>
      <c r="D196" s="4" t="e">
        <f t="shared" si="19"/>
        <v>#N/A</v>
      </c>
      <c r="E196" t="str">
        <f t="shared" si="20"/>
        <v>TowerHorizontalUFactor</v>
      </c>
      <c r="F196" s="4" t="str">
        <f t="shared" si="21"/>
        <v>YES</v>
      </c>
      <c r="G196" s="4" t="str">
        <f t="shared" si="22"/>
        <v>YES</v>
      </c>
      <c r="H196" s="4" t="str">
        <f t="shared" si="23"/>
        <v>YES</v>
      </c>
      <c r="I196" s="4" t="str">
        <f t="shared" si="24"/>
        <v>YES</v>
      </c>
      <c r="J196" t="s">
        <v>534</v>
      </c>
      <c r="N196" t="str">
        <f t="shared" si="25"/>
        <v>towerredundantdiagonalboltedgedistance</v>
      </c>
      <c r="O196" t="s">
        <v>743</v>
      </c>
      <c r="P196" t="s">
        <v>727</v>
      </c>
      <c r="Q196" t="s">
        <v>723</v>
      </c>
      <c r="R196" t="s">
        <v>248</v>
      </c>
      <c r="S196" t="str">
        <f t="shared" si="26"/>
        <v/>
      </c>
    </row>
    <row r="197" spans="1:22" hidden="1" x14ac:dyDescent="0.25">
      <c r="A197" s="1" t="s">
        <v>194</v>
      </c>
      <c r="B197" s="2" t="s">
        <v>248</v>
      </c>
      <c r="C197" s="3" t="str">
        <f t="shared" ref="C197:C249" si="27">TRIM(SUBSTITUTE(A197,",",""))</f>
        <v>towerredundantdiagonalnetwidthdeduct</v>
      </c>
      <c r="D197" s="4" t="e">
        <f t="shared" ref="D197:D260" si="28">MATCH(C197,E:E,0)</f>
        <v>#N/A</v>
      </c>
      <c r="E197" t="str">
        <f t="shared" ref="E197:E260" si="29">(J197)</f>
        <v>TowerShortHorizontalUFactor</v>
      </c>
      <c r="F197" s="4" t="str">
        <f t="shared" ref="F197:F260" si="30">IFERROR(IF(MATCH(E197,C:C,0)&gt;0,"YES"),"NO")</f>
        <v>YES</v>
      </c>
      <c r="G197" s="4" t="str">
        <f t="shared" ref="G197:G260" si="31">IFERROR(IF(MATCH(E197,N:N,0)&gt;0,"YES"),"NO")</f>
        <v>YES</v>
      </c>
      <c r="H197" s="4" t="str">
        <f t="shared" ref="H197:H260" si="32">IFERROR(IF(MATCH(E197,S:S,0)&gt;0,"YES"),"NO")</f>
        <v>YES</v>
      </c>
      <c r="I197" s="4" t="str">
        <f t="shared" ref="I197:I260" si="33">IF(OR(F197="NO",G197="NO"),"NO","YES")</f>
        <v>YES</v>
      </c>
      <c r="J197" t="s">
        <v>535</v>
      </c>
      <c r="N197" t="str">
        <f t="shared" ref="N197:N249" si="34">TRIM(LOWER(O197))</f>
        <v>towerredundantdiagonalgageg1distance</v>
      </c>
      <c r="O197" t="s">
        <v>744</v>
      </c>
      <c r="P197" t="s">
        <v>727</v>
      </c>
      <c r="Q197" t="s">
        <v>723</v>
      </c>
      <c r="R197" t="s">
        <v>248</v>
      </c>
      <c r="S197" t="str">
        <f t="shared" ref="S197:S249" si="35">TRIM(LOWER(T197))</f>
        <v/>
      </c>
    </row>
    <row r="198" spans="1:22" hidden="1" x14ac:dyDescent="0.25">
      <c r="A198" s="1" t="s">
        <v>195</v>
      </c>
      <c r="B198" s="2" t="s">
        <v>248</v>
      </c>
      <c r="C198" s="3" t="str">
        <f t="shared" si="27"/>
        <v>towerredundantdiagonalufactor</v>
      </c>
      <c r="D198" s="4" t="e">
        <f t="shared" si="28"/>
        <v>#N/A</v>
      </c>
      <c r="E198" t="str">
        <f t="shared" si="29"/>
        <v>TowerLegConnType</v>
      </c>
      <c r="F198" s="4" t="str">
        <f t="shared" si="30"/>
        <v>YES</v>
      </c>
      <c r="G198" s="4" t="str">
        <f t="shared" si="31"/>
        <v>YES</v>
      </c>
      <c r="H198" s="4" t="str">
        <f t="shared" si="32"/>
        <v>YES</v>
      </c>
      <c r="I198" s="4" t="str">
        <f t="shared" si="33"/>
        <v>YES</v>
      </c>
      <c r="J198" t="s">
        <v>536</v>
      </c>
      <c r="N198" t="str">
        <f t="shared" si="34"/>
        <v>towerredundantdiagonalnetwidthdeduct</v>
      </c>
      <c r="O198" t="s">
        <v>745</v>
      </c>
      <c r="P198" t="s">
        <v>727</v>
      </c>
      <c r="Q198" t="s">
        <v>723</v>
      </c>
      <c r="R198" t="s">
        <v>248</v>
      </c>
      <c r="S198" t="str">
        <f t="shared" si="35"/>
        <v/>
      </c>
    </row>
    <row r="199" spans="1:22" hidden="1" x14ac:dyDescent="0.25">
      <c r="A199" s="1" t="s">
        <v>196</v>
      </c>
      <c r="B199" s="2" t="s">
        <v>284</v>
      </c>
      <c r="C199" s="3" t="str">
        <f t="shared" si="27"/>
        <v>towerredundantsubdiagonalboltgrade</v>
      </c>
      <c r="D199" s="4">
        <f t="shared" si="28"/>
        <v>289</v>
      </c>
      <c r="E199" t="str">
        <f t="shared" si="29"/>
        <v>TowerLegNumBolts</v>
      </c>
      <c r="F199" s="4" t="str">
        <f t="shared" si="30"/>
        <v>YES</v>
      </c>
      <c r="G199" s="4" t="str">
        <f t="shared" si="31"/>
        <v>YES</v>
      </c>
      <c r="H199" s="4" t="str">
        <f t="shared" si="32"/>
        <v>YES</v>
      </c>
      <c r="I199" s="4" t="str">
        <f t="shared" si="33"/>
        <v>YES</v>
      </c>
      <c r="J199" t="s">
        <v>538</v>
      </c>
      <c r="N199" t="str">
        <f t="shared" si="34"/>
        <v>towerredundantdiagonalufactor</v>
      </c>
      <c r="O199" t="s">
        <v>746</v>
      </c>
      <c r="P199" t="s">
        <v>727</v>
      </c>
      <c r="Q199" t="s">
        <v>723</v>
      </c>
      <c r="R199" t="s">
        <v>248</v>
      </c>
      <c r="S199" t="str">
        <f t="shared" si="35"/>
        <v/>
      </c>
    </row>
    <row r="200" spans="1:22" hidden="1" x14ac:dyDescent="0.25">
      <c r="A200" s="1" t="s">
        <v>197</v>
      </c>
      <c r="B200" s="2" t="s">
        <v>283</v>
      </c>
      <c r="C200" s="3" t="str">
        <f t="shared" si="27"/>
        <v>towerredundantsubdiagonalboltsize</v>
      </c>
      <c r="D200" s="4">
        <f t="shared" si="28"/>
        <v>290</v>
      </c>
      <c r="E200" t="str">
        <f t="shared" si="29"/>
        <v>TowerDiagonalNumBolts</v>
      </c>
      <c r="F200" s="4" t="str">
        <f t="shared" si="30"/>
        <v>YES</v>
      </c>
      <c r="G200" s="4" t="str">
        <f t="shared" si="31"/>
        <v>YES</v>
      </c>
      <c r="H200" s="4" t="str">
        <f t="shared" si="32"/>
        <v>YES</v>
      </c>
      <c r="I200" s="4" t="str">
        <f t="shared" si="33"/>
        <v>YES</v>
      </c>
      <c r="J200" t="s">
        <v>539</v>
      </c>
      <c r="N200" t="str">
        <f t="shared" si="34"/>
        <v>towerredundantsubdiagonalboltgrade</v>
      </c>
      <c r="O200" t="s">
        <v>630</v>
      </c>
      <c r="P200" t="s">
        <v>728</v>
      </c>
      <c r="Q200" t="s">
        <v>248</v>
      </c>
      <c r="S200" t="str">
        <f t="shared" si="35"/>
        <v/>
      </c>
    </row>
    <row r="201" spans="1:22" hidden="1" x14ac:dyDescent="0.25">
      <c r="A201" s="1" t="s">
        <v>198</v>
      </c>
      <c r="B201" s="2" t="s">
        <v>254</v>
      </c>
      <c r="C201" s="3" t="str">
        <f t="shared" si="27"/>
        <v>towerredundantsubdiagonalnumbolts</v>
      </c>
      <c r="D201" s="4">
        <f t="shared" si="28"/>
        <v>291</v>
      </c>
      <c r="E201" t="str">
        <f t="shared" si="29"/>
        <v>TowerTopGirtNumBolts</v>
      </c>
      <c r="F201" s="4" t="str">
        <f t="shared" si="30"/>
        <v>YES</v>
      </c>
      <c r="G201" s="4" t="str">
        <f t="shared" si="31"/>
        <v>YES</v>
      </c>
      <c r="H201" s="4" t="str">
        <f t="shared" si="32"/>
        <v>YES</v>
      </c>
      <c r="I201" s="4" t="str">
        <f t="shared" si="33"/>
        <v>YES</v>
      </c>
      <c r="J201" t="s">
        <v>540</v>
      </c>
      <c r="N201" t="str">
        <f t="shared" si="34"/>
        <v>towerredundantsubdiagonalboltsize</v>
      </c>
      <c r="O201" t="s">
        <v>631</v>
      </c>
      <c r="P201" t="s">
        <v>727</v>
      </c>
      <c r="Q201" t="s">
        <v>723</v>
      </c>
      <c r="R201" t="s">
        <v>248</v>
      </c>
      <c r="S201" t="str">
        <f t="shared" si="35"/>
        <v/>
      </c>
    </row>
    <row r="202" spans="1:22" hidden="1" x14ac:dyDescent="0.25">
      <c r="A202" s="1" t="s">
        <v>199</v>
      </c>
      <c r="B202" s="2" t="s">
        <v>254</v>
      </c>
      <c r="C202" s="3" t="str">
        <f t="shared" si="27"/>
        <v>towerredundantsubdiagonalboltedgedistance</v>
      </c>
      <c r="D202" s="4">
        <f t="shared" si="28"/>
        <v>292</v>
      </c>
      <c r="E202" t="str">
        <f t="shared" si="29"/>
        <v>TowerBotGirtNumBolts</v>
      </c>
      <c r="F202" s="4" t="str">
        <f t="shared" si="30"/>
        <v>YES</v>
      </c>
      <c r="G202" s="4" t="str">
        <f t="shared" si="31"/>
        <v>YES</v>
      </c>
      <c r="H202" s="4" t="str">
        <f t="shared" si="32"/>
        <v>YES</v>
      </c>
      <c r="I202" s="4" t="str">
        <f t="shared" si="33"/>
        <v>YES</v>
      </c>
      <c r="J202" t="s">
        <v>541</v>
      </c>
      <c r="N202" t="str">
        <f t="shared" si="34"/>
        <v>towerredundantsubdiagonalnumbolts</v>
      </c>
      <c r="O202" t="s">
        <v>632</v>
      </c>
      <c r="P202" t="s">
        <v>724</v>
      </c>
      <c r="Q202" t="s">
        <v>248</v>
      </c>
      <c r="S202" t="str">
        <f t="shared" si="35"/>
        <v/>
      </c>
    </row>
    <row r="203" spans="1:22" hidden="1" x14ac:dyDescent="0.25">
      <c r="A203" s="1" t="s">
        <v>200</v>
      </c>
      <c r="B203" s="2" t="s">
        <v>254</v>
      </c>
      <c r="C203" s="3" t="str">
        <f t="shared" si="27"/>
        <v>towerredundantsubdiagonalgageg1distance</v>
      </c>
      <c r="D203" s="4">
        <f t="shared" si="28"/>
        <v>293</v>
      </c>
      <c r="E203" t="str">
        <f t="shared" si="29"/>
        <v>TowerInnerGirtNumBolts</v>
      </c>
      <c r="F203" s="4" t="str">
        <f t="shared" si="30"/>
        <v>YES</v>
      </c>
      <c r="G203" s="4" t="str">
        <f t="shared" si="31"/>
        <v>YES</v>
      </c>
      <c r="H203" s="4" t="str">
        <f t="shared" si="32"/>
        <v>YES</v>
      </c>
      <c r="I203" s="4" t="str">
        <f t="shared" si="33"/>
        <v>YES</v>
      </c>
      <c r="J203" t="s">
        <v>542</v>
      </c>
      <c r="N203" t="str">
        <f t="shared" si="34"/>
        <v>towerredundantsubdiagonalboltedgedistance</v>
      </c>
      <c r="O203" t="s">
        <v>633</v>
      </c>
      <c r="P203" t="s">
        <v>727</v>
      </c>
      <c r="Q203" t="s">
        <v>723</v>
      </c>
      <c r="R203" t="s">
        <v>248</v>
      </c>
      <c r="S203" t="str">
        <f t="shared" si="35"/>
        <v/>
      </c>
    </row>
    <row r="204" spans="1:22" hidden="1" x14ac:dyDescent="0.25">
      <c r="A204" s="1" t="s">
        <v>201</v>
      </c>
      <c r="B204" s="2" t="s">
        <v>254</v>
      </c>
      <c r="C204" s="3" t="str">
        <f t="shared" si="27"/>
        <v>towerredundantsubdiagonalnetwidthdeduct</v>
      </c>
      <c r="D204" s="4">
        <f t="shared" si="28"/>
        <v>294</v>
      </c>
      <c r="E204" t="str">
        <f t="shared" si="29"/>
        <v>TowerHorizontalNumBolts</v>
      </c>
      <c r="F204" s="4" t="str">
        <f t="shared" si="30"/>
        <v>YES</v>
      </c>
      <c r="G204" s="4" t="str">
        <f t="shared" si="31"/>
        <v>YES</v>
      </c>
      <c r="H204" s="4" t="str">
        <f t="shared" si="32"/>
        <v>YES</v>
      </c>
      <c r="I204" s="4" t="str">
        <f t="shared" si="33"/>
        <v>YES</v>
      </c>
      <c r="J204" t="s">
        <v>543</v>
      </c>
      <c r="N204" t="str">
        <f t="shared" si="34"/>
        <v>towerredundantsubdiagonalgageg1distance</v>
      </c>
      <c r="O204" t="s">
        <v>634</v>
      </c>
      <c r="P204" t="s">
        <v>727</v>
      </c>
      <c r="Q204" t="s">
        <v>723</v>
      </c>
      <c r="R204" t="s">
        <v>248</v>
      </c>
      <c r="S204" t="str">
        <f t="shared" si="35"/>
        <v/>
      </c>
    </row>
    <row r="205" spans="1:22" hidden="1" x14ac:dyDescent="0.25">
      <c r="A205" s="1" t="s">
        <v>202</v>
      </c>
      <c r="B205" s="2" t="s">
        <v>278</v>
      </c>
      <c r="C205" s="3" t="str">
        <f t="shared" si="27"/>
        <v>towerredundantsubdiagonalufactor</v>
      </c>
      <c r="D205" s="4">
        <f t="shared" si="28"/>
        <v>295</v>
      </c>
      <c r="E205" t="str">
        <f t="shared" si="29"/>
        <v>TowerShortHorizontalNumBolts</v>
      </c>
      <c r="F205" s="4" t="str">
        <f t="shared" si="30"/>
        <v>YES</v>
      </c>
      <c r="G205" s="4" t="str">
        <f t="shared" si="31"/>
        <v>YES</v>
      </c>
      <c r="H205" s="4" t="str">
        <f t="shared" si="32"/>
        <v>YES</v>
      </c>
      <c r="I205" s="4" t="str">
        <f t="shared" si="33"/>
        <v>YES</v>
      </c>
      <c r="J205" t="s">
        <v>544</v>
      </c>
      <c r="N205" t="str">
        <f t="shared" si="34"/>
        <v>towerredundantsubdiagonalnetwidthdeduct</v>
      </c>
      <c r="O205" t="s">
        <v>635</v>
      </c>
      <c r="P205" t="s">
        <v>727</v>
      </c>
      <c r="Q205" t="s">
        <v>723</v>
      </c>
      <c r="R205" t="s">
        <v>248</v>
      </c>
      <c r="S205" t="str">
        <f t="shared" si="35"/>
        <v/>
      </c>
    </row>
    <row r="206" spans="1:22" hidden="1" x14ac:dyDescent="0.25">
      <c r="A206" s="1" t="s">
        <v>203</v>
      </c>
      <c r="B206" s="2" t="s">
        <v>284</v>
      </c>
      <c r="C206" s="3" t="str">
        <f t="shared" si="27"/>
        <v>towerredundantsubhorizontalboltgrade</v>
      </c>
      <c r="D206" s="4">
        <f t="shared" si="28"/>
        <v>296</v>
      </c>
      <c r="E206" t="str">
        <f t="shared" si="29"/>
        <v>TowerLegBoltGrade</v>
      </c>
      <c r="F206" s="4" t="str">
        <f t="shared" si="30"/>
        <v>YES</v>
      </c>
      <c r="G206" s="4" t="str">
        <f t="shared" si="31"/>
        <v>YES</v>
      </c>
      <c r="H206" s="4" t="str">
        <f t="shared" si="32"/>
        <v>YES</v>
      </c>
      <c r="I206" s="4" t="str">
        <f t="shared" si="33"/>
        <v>YES</v>
      </c>
      <c r="J206" t="s">
        <v>545</v>
      </c>
      <c r="N206" t="str">
        <f t="shared" si="34"/>
        <v>towerredundantsubdiagonalufactor</v>
      </c>
      <c r="O206" t="s">
        <v>636</v>
      </c>
      <c r="P206" t="s">
        <v>727</v>
      </c>
      <c r="Q206" t="s">
        <v>723</v>
      </c>
      <c r="R206" t="s">
        <v>248</v>
      </c>
      <c r="S206" t="str">
        <f t="shared" si="35"/>
        <v/>
      </c>
    </row>
    <row r="207" spans="1:22" hidden="1" x14ac:dyDescent="0.25">
      <c r="A207" s="1" t="s">
        <v>204</v>
      </c>
      <c r="B207" s="2" t="s">
        <v>283</v>
      </c>
      <c r="C207" s="3" t="str">
        <f t="shared" si="27"/>
        <v>towerredundantsubhorizontalboltsize</v>
      </c>
      <c r="D207" s="4">
        <f t="shared" si="28"/>
        <v>297</v>
      </c>
      <c r="E207" t="str">
        <f t="shared" si="29"/>
        <v>TowerLegBoltSize</v>
      </c>
      <c r="F207" s="4" t="str">
        <f t="shared" si="30"/>
        <v>YES</v>
      </c>
      <c r="G207" s="4" t="str">
        <f t="shared" si="31"/>
        <v>YES</v>
      </c>
      <c r="H207" s="4" t="str">
        <f t="shared" si="32"/>
        <v>YES</v>
      </c>
      <c r="I207" s="4" t="str">
        <f t="shared" si="33"/>
        <v>YES</v>
      </c>
      <c r="J207" t="s">
        <v>547</v>
      </c>
      <c r="N207" t="str">
        <f t="shared" si="34"/>
        <v>towerredundantsubhorizontalboltgrade</v>
      </c>
      <c r="O207" t="s">
        <v>637</v>
      </c>
      <c r="P207" t="s">
        <v>728</v>
      </c>
      <c r="Q207" t="s">
        <v>248</v>
      </c>
      <c r="S207" t="str">
        <f t="shared" si="35"/>
        <v/>
      </c>
    </row>
    <row r="208" spans="1:22" hidden="1" x14ac:dyDescent="0.25">
      <c r="A208" s="1" t="s">
        <v>205</v>
      </c>
      <c r="B208" s="2" t="s">
        <v>254</v>
      </c>
      <c r="C208" s="3" t="str">
        <f t="shared" si="27"/>
        <v>towerredundantsubhorizontalnumbolts</v>
      </c>
      <c r="D208" s="4">
        <f t="shared" si="28"/>
        <v>298</v>
      </c>
      <c r="E208" t="str">
        <f t="shared" si="29"/>
        <v>TowerDiagonalBoltGrade</v>
      </c>
      <c r="F208" s="4" t="str">
        <f t="shared" si="30"/>
        <v>YES</v>
      </c>
      <c r="G208" s="4" t="str">
        <f t="shared" si="31"/>
        <v>YES</v>
      </c>
      <c r="H208" s="4" t="str">
        <f t="shared" si="32"/>
        <v>YES</v>
      </c>
      <c r="I208" s="4" t="str">
        <f t="shared" si="33"/>
        <v>YES</v>
      </c>
      <c r="J208" t="s">
        <v>548</v>
      </c>
      <c r="N208" t="str">
        <f t="shared" si="34"/>
        <v>towerredundantsubhorizontalboltsize</v>
      </c>
      <c r="O208" t="s">
        <v>638</v>
      </c>
      <c r="P208" t="s">
        <v>727</v>
      </c>
      <c r="Q208" t="s">
        <v>723</v>
      </c>
      <c r="R208" t="s">
        <v>248</v>
      </c>
      <c r="S208" t="str">
        <f t="shared" si="35"/>
        <v/>
      </c>
    </row>
    <row r="209" spans="1:19" hidden="1" x14ac:dyDescent="0.25">
      <c r="A209" s="1" t="s">
        <v>206</v>
      </c>
      <c r="B209" s="2" t="s">
        <v>254</v>
      </c>
      <c r="C209" s="3" t="str">
        <f t="shared" si="27"/>
        <v>towerredundantsubhorizontalboltedgedistance</v>
      </c>
      <c r="D209" s="4">
        <f t="shared" si="28"/>
        <v>299</v>
      </c>
      <c r="E209" t="str">
        <f t="shared" si="29"/>
        <v>TowerDiagonalBoltSize</v>
      </c>
      <c r="F209" s="4" t="str">
        <f t="shared" si="30"/>
        <v>YES</v>
      </c>
      <c r="G209" s="4" t="str">
        <f t="shared" si="31"/>
        <v>YES</v>
      </c>
      <c r="H209" s="4" t="str">
        <f t="shared" si="32"/>
        <v>YES</v>
      </c>
      <c r="I209" s="4" t="str">
        <f t="shared" si="33"/>
        <v>YES</v>
      </c>
      <c r="J209" t="s">
        <v>549</v>
      </c>
      <c r="N209" t="str">
        <f t="shared" si="34"/>
        <v>towerredundantsubhorizontalnumbolts</v>
      </c>
      <c r="O209" t="s">
        <v>639</v>
      </c>
      <c r="P209" t="s">
        <v>724</v>
      </c>
      <c r="Q209" t="s">
        <v>248</v>
      </c>
      <c r="S209" t="str">
        <f t="shared" si="35"/>
        <v/>
      </c>
    </row>
    <row r="210" spans="1:19" hidden="1" x14ac:dyDescent="0.25">
      <c r="A210" s="1" t="s">
        <v>207</v>
      </c>
      <c r="B210" s="2" t="s">
        <v>254</v>
      </c>
      <c r="C210" s="3" t="str">
        <f t="shared" si="27"/>
        <v>towerredundantsubhorizontalgageg1distance</v>
      </c>
      <c r="D210" s="4">
        <f t="shared" si="28"/>
        <v>300</v>
      </c>
      <c r="E210" t="str">
        <f t="shared" si="29"/>
        <v>TowerTopGirtBoltGrade</v>
      </c>
      <c r="F210" s="4" t="str">
        <f t="shared" si="30"/>
        <v>YES</v>
      </c>
      <c r="G210" s="4" t="str">
        <f t="shared" si="31"/>
        <v>YES</v>
      </c>
      <c r="H210" s="4" t="str">
        <f t="shared" si="32"/>
        <v>YES</v>
      </c>
      <c r="I210" s="4" t="str">
        <f t="shared" si="33"/>
        <v>YES</v>
      </c>
      <c r="J210" t="s">
        <v>550</v>
      </c>
      <c r="N210" t="str">
        <f t="shared" si="34"/>
        <v>towerredundantsubhorizontalboltedgedistance</v>
      </c>
      <c r="O210" t="s">
        <v>640</v>
      </c>
      <c r="P210" t="s">
        <v>727</v>
      </c>
      <c r="Q210" t="s">
        <v>723</v>
      </c>
      <c r="R210" t="s">
        <v>248</v>
      </c>
      <c r="S210" t="str">
        <f t="shared" si="35"/>
        <v/>
      </c>
    </row>
    <row r="211" spans="1:19" hidden="1" x14ac:dyDescent="0.25">
      <c r="A211" s="1" t="s">
        <v>208</v>
      </c>
      <c r="B211" s="2" t="s">
        <v>254</v>
      </c>
      <c r="C211" s="3" t="str">
        <f t="shared" si="27"/>
        <v>towerredundantsubhorizontalnetwidthdeduct</v>
      </c>
      <c r="D211" s="4">
        <f t="shared" si="28"/>
        <v>301</v>
      </c>
      <c r="E211" t="str">
        <f t="shared" si="29"/>
        <v>TowerTopGirtBoltSize</v>
      </c>
      <c r="F211" s="4" t="str">
        <f t="shared" si="30"/>
        <v>YES</v>
      </c>
      <c r="G211" s="4" t="str">
        <f t="shared" si="31"/>
        <v>YES</v>
      </c>
      <c r="H211" s="4" t="str">
        <f t="shared" si="32"/>
        <v>YES</v>
      </c>
      <c r="I211" s="4" t="str">
        <f t="shared" si="33"/>
        <v>YES</v>
      </c>
      <c r="J211" t="s">
        <v>552</v>
      </c>
      <c r="N211" t="str">
        <f t="shared" si="34"/>
        <v>towerredundantsubhorizontalgageg1distance</v>
      </c>
      <c r="O211" t="s">
        <v>641</v>
      </c>
      <c r="P211" t="s">
        <v>727</v>
      </c>
      <c r="Q211" t="s">
        <v>723</v>
      </c>
      <c r="R211" t="s">
        <v>248</v>
      </c>
      <c r="S211" t="str">
        <f t="shared" si="35"/>
        <v/>
      </c>
    </row>
    <row r="212" spans="1:19" hidden="1" x14ac:dyDescent="0.25">
      <c r="A212" s="1" t="s">
        <v>209</v>
      </c>
      <c r="B212" s="2" t="s">
        <v>278</v>
      </c>
      <c r="C212" s="3" t="str">
        <f t="shared" si="27"/>
        <v>towerredundantsubhorizontalufactor</v>
      </c>
      <c r="D212" s="4">
        <f t="shared" si="28"/>
        <v>302</v>
      </c>
      <c r="E212" t="str">
        <f t="shared" si="29"/>
        <v>TowerBotGirtBoltGrade</v>
      </c>
      <c r="F212" s="4" t="str">
        <f t="shared" si="30"/>
        <v>YES</v>
      </c>
      <c r="G212" s="4" t="str">
        <f t="shared" si="31"/>
        <v>YES</v>
      </c>
      <c r="H212" s="4" t="str">
        <f t="shared" si="32"/>
        <v>YES</v>
      </c>
      <c r="I212" s="4" t="str">
        <f t="shared" si="33"/>
        <v>YES</v>
      </c>
      <c r="J212" t="s">
        <v>553</v>
      </c>
      <c r="N212" t="str">
        <f t="shared" si="34"/>
        <v>towerredundantsubhorizontalnetwidthdeduct</v>
      </c>
      <c r="O212" t="s">
        <v>642</v>
      </c>
      <c r="P212" t="s">
        <v>727</v>
      </c>
      <c r="Q212" t="s">
        <v>723</v>
      </c>
      <c r="R212" t="s">
        <v>248</v>
      </c>
      <c r="S212" t="str">
        <f t="shared" si="35"/>
        <v/>
      </c>
    </row>
    <row r="213" spans="1:19" hidden="1" x14ac:dyDescent="0.25">
      <c r="A213" s="1" t="s">
        <v>210</v>
      </c>
      <c r="B213" s="2" t="s">
        <v>284</v>
      </c>
      <c r="C213" s="3" t="str">
        <f t="shared" si="27"/>
        <v>towerredundantverticalboltgrade</v>
      </c>
      <c r="D213" s="4">
        <f t="shared" si="28"/>
        <v>303</v>
      </c>
      <c r="E213" t="str">
        <f t="shared" si="29"/>
        <v>TowerBotGirtBoltSize</v>
      </c>
      <c r="F213" s="4" t="str">
        <f t="shared" si="30"/>
        <v>YES</v>
      </c>
      <c r="G213" s="4" t="str">
        <f t="shared" si="31"/>
        <v>YES</v>
      </c>
      <c r="H213" s="4" t="str">
        <f t="shared" si="32"/>
        <v>YES</v>
      </c>
      <c r="I213" s="4" t="str">
        <f t="shared" si="33"/>
        <v>YES</v>
      </c>
      <c r="J213" t="s">
        <v>554</v>
      </c>
      <c r="N213" t="str">
        <f t="shared" si="34"/>
        <v>towerredundantsubhorizontalufactor</v>
      </c>
      <c r="O213" t="s">
        <v>643</v>
      </c>
      <c r="P213" t="s">
        <v>727</v>
      </c>
      <c r="Q213" t="s">
        <v>723</v>
      </c>
      <c r="R213" t="s">
        <v>248</v>
      </c>
      <c r="S213" t="str">
        <f t="shared" si="35"/>
        <v/>
      </c>
    </row>
    <row r="214" spans="1:19" hidden="1" x14ac:dyDescent="0.25">
      <c r="A214" s="1" t="s">
        <v>211</v>
      </c>
      <c r="B214" s="2" t="s">
        <v>283</v>
      </c>
      <c r="C214" s="3" t="str">
        <f t="shared" si="27"/>
        <v>towerredundantverticalboltsize</v>
      </c>
      <c r="D214" s="4">
        <f t="shared" si="28"/>
        <v>304</v>
      </c>
      <c r="E214" t="str">
        <f t="shared" si="29"/>
        <v>TowerInnerGirtBoltGrade</v>
      </c>
      <c r="F214" s="4" t="str">
        <f t="shared" si="30"/>
        <v>YES</v>
      </c>
      <c r="G214" s="4" t="str">
        <f t="shared" si="31"/>
        <v>YES</v>
      </c>
      <c r="H214" s="4" t="str">
        <f t="shared" si="32"/>
        <v>YES</v>
      </c>
      <c r="I214" s="4" t="str">
        <f t="shared" si="33"/>
        <v>YES</v>
      </c>
      <c r="J214" t="s">
        <v>555</v>
      </c>
      <c r="N214" t="str">
        <f t="shared" si="34"/>
        <v>towerredundantverticalboltgrade</v>
      </c>
      <c r="O214" t="s">
        <v>644</v>
      </c>
      <c r="P214" t="s">
        <v>728</v>
      </c>
      <c r="Q214" t="s">
        <v>248</v>
      </c>
      <c r="S214" t="str">
        <f t="shared" si="35"/>
        <v/>
      </c>
    </row>
    <row r="215" spans="1:19" hidden="1" x14ac:dyDescent="0.25">
      <c r="A215" s="1" t="s">
        <v>212</v>
      </c>
      <c r="B215" s="2" t="s">
        <v>254</v>
      </c>
      <c r="C215" s="3" t="str">
        <f t="shared" si="27"/>
        <v>towerredundantverticalnumbolts</v>
      </c>
      <c r="D215" s="4">
        <f t="shared" si="28"/>
        <v>305</v>
      </c>
      <c r="E215" t="str">
        <f t="shared" si="29"/>
        <v>TowerInnerGirtBoltSize</v>
      </c>
      <c r="F215" s="4" t="str">
        <f t="shared" si="30"/>
        <v>YES</v>
      </c>
      <c r="G215" s="4" t="str">
        <f t="shared" si="31"/>
        <v>YES</v>
      </c>
      <c r="H215" s="4" t="str">
        <f t="shared" si="32"/>
        <v>YES</v>
      </c>
      <c r="I215" s="4" t="str">
        <f t="shared" si="33"/>
        <v>YES</v>
      </c>
      <c r="J215" t="s">
        <v>556</v>
      </c>
      <c r="N215" t="str">
        <f t="shared" si="34"/>
        <v>towerredundantverticalboltsize</v>
      </c>
      <c r="O215" t="s">
        <v>645</v>
      </c>
      <c r="P215" t="s">
        <v>727</v>
      </c>
      <c r="Q215" t="s">
        <v>723</v>
      </c>
      <c r="R215" t="s">
        <v>248</v>
      </c>
      <c r="S215" t="str">
        <f t="shared" si="35"/>
        <v/>
      </c>
    </row>
    <row r="216" spans="1:19" hidden="1" x14ac:dyDescent="0.25">
      <c r="A216" s="1" t="s">
        <v>213</v>
      </c>
      <c r="B216" s="2" t="s">
        <v>254</v>
      </c>
      <c r="C216" s="3" t="str">
        <f t="shared" si="27"/>
        <v>towerredundantverticalboltedgedistance</v>
      </c>
      <c r="D216" s="4">
        <f t="shared" si="28"/>
        <v>306</v>
      </c>
      <c r="E216" t="str">
        <f t="shared" si="29"/>
        <v>TowerHorizontalBoltGrade</v>
      </c>
      <c r="F216" s="4" t="str">
        <f t="shared" si="30"/>
        <v>YES</v>
      </c>
      <c r="G216" s="4" t="str">
        <f t="shared" si="31"/>
        <v>YES</v>
      </c>
      <c r="H216" s="4" t="str">
        <f t="shared" si="32"/>
        <v>YES</v>
      </c>
      <c r="I216" s="4" t="str">
        <f t="shared" si="33"/>
        <v>YES</v>
      </c>
      <c r="J216" t="s">
        <v>557</v>
      </c>
      <c r="N216" t="str">
        <f t="shared" si="34"/>
        <v>towerredundantverticalnumbolts</v>
      </c>
      <c r="O216" t="s">
        <v>646</v>
      </c>
      <c r="P216" t="s">
        <v>724</v>
      </c>
      <c r="Q216" t="s">
        <v>248</v>
      </c>
      <c r="S216" t="str">
        <f t="shared" si="35"/>
        <v/>
      </c>
    </row>
    <row r="217" spans="1:19" hidden="1" x14ac:dyDescent="0.25">
      <c r="A217" s="1" t="s">
        <v>214</v>
      </c>
      <c r="B217" s="2" t="s">
        <v>254</v>
      </c>
      <c r="C217" s="3" t="str">
        <f t="shared" si="27"/>
        <v>towerredundantverticalgageg1distance</v>
      </c>
      <c r="D217" s="4">
        <f t="shared" si="28"/>
        <v>307</v>
      </c>
      <c r="E217" t="str">
        <f t="shared" si="29"/>
        <v>TowerHorizontalBoltSize</v>
      </c>
      <c r="F217" s="4" t="str">
        <f t="shared" si="30"/>
        <v>YES</v>
      </c>
      <c r="G217" s="4" t="str">
        <f t="shared" si="31"/>
        <v>YES</v>
      </c>
      <c r="H217" s="4" t="str">
        <f t="shared" si="32"/>
        <v>YES</v>
      </c>
      <c r="I217" s="4" t="str">
        <f t="shared" si="33"/>
        <v>YES</v>
      </c>
      <c r="J217" t="s">
        <v>558</v>
      </c>
      <c r="N217" t="str">
        <f t="shared" si="34"/>
        <v>towerredundantverticalboltedgedistance</v>
      </c>
      <c r="O217" t="s">
        <v>647</v>
      </c>
      <c r="P217" t="s">
        <v>727</v>
      </c>
      <c r="Q217" t="s">
        <v>723</v>
      </c>
      <c r="R217" t="s">
        <v>248</v>
      </c>
      <c r="S217" t="str">
        <f t="shared" si="35"/>
        <v/>
      </c>
    </row>
    <row r="218" spans="1:19" hidden="1" x14ac:dyDescent="0.25">
      <c r="A218" s="1" t="s">
        <v>215</v>
      </c>
      <c r="B218" s="2" t="s">
        <v>254</v>
      </c>
      <c r="C218" s="3" t="str">
        <f t="shared" si="27"/>
        <v>towerredundantverticalnetwidthdeduct</v>
      </c>
      <c r="D218" s="4">
        <f t="shared" si="28"/>
        <v>308</v>
      </c>
      <c r="E218" t="str">
        <f t="shared" si="29"/>
        <v>TowerShortHorizontalBoltGrade</v>
      </c>
      <c r="F218" s="4" t="str">
        <f t="shared" si="30"/>
        <v>YES</v>
      </c>
      <c r="G218" s="4" t="str">
        <f t="shared" si="31"/>
        <v>YES</v>
      </c>
      <c r="H218" s="4" t="str">
        <f t="shared" si="32"/>
        <v>YES</v>
      </c>
      <c r="I218" s="4" t="str">
        <f t="shared" si="33"/>
        <v>YES</v>
      </c>
      <c r="J218" t="s">
        <v>559</v>
      </c>
      <c r="N218" t="str">
        <f t="shared" si="34"/>
        <v>towerredundantverticalgageg1distance</v>
      </c>
      <c r="O218" t="s">
        <v>648</v>
      </c>
      <c r="P218" t="s">
        <v>727</v>
      </c>
      <c r="Q218" t="s">
        <v>723</v>
      </c>
      <c r="R218" t="s">
        <v>248</v>
      </c>
      <c r="S218" t="str">
        <f t="shared" si="35"/>
        <v/>
      </c>
    </row>
    <row r="219" spans="1:19" hidden="1" x14ac:dyDescent="0.25">
      <c r="A219" s="1" t="s">
        <v>216</v>
      </c>
      <c r="B219" s="2" t="s">
        <v>278</v>
      </c>
      <c r="C219" s="3" t="str">
        <f t="shared" si="27"/>
        <v>towerredundantverticalufactor</v>
      </c>
      <c r="D219" s="4">
        <f t="shared" si="28"/>
        <v>309</v>
      </c>
      <c r="E219" t="str">
        <f t="shared" si="29"/>
        <v>TowerShortHorizontalBoltSize</v>
      </c>
      <c r="F219" s="4" t="str">
        <f t="shared" si="30"/>
        <v>YES</v>
      </c>
      <c r="G219" s="4" t="str">
        <f t="shared" si="31"/>
        <v>YES</v>
      </c>
      <c r="H219" s="4" t="str">
        <f t="shared" si="32"/>
        <v>YES</v>
      </c>
      <c r="I219" s="4" t="str">
        <f t="shared" si="33"/>
        <v>YES</v>
      </c>
      <c r="J219" t="s">
        <v>560</v>
      </c>
      <c r="N219" t="str">
        <f t="shared" si="34"/>
        <v>towerredundantverticalnetwidthdeduct</v>
      </c>
      <c r="O219" t="s">
        <v>649</v>
      </c>
      <c r="P219" t="s">
        <v>727</v>
      </c>
      <c r="Q219" t="s">
        <v>723</v>
      </c>
      <c r="R219" t="s">
        <v>248</v>
      </c>
      <c r="S219" t="str">
        <f t="shared" si="35"/>
        <v/>
      </c>
    </row>
    <row r="220" spans="1:19" hidden="1" x14ac:dyDescent="0.25">
      <c r="A220" s="1" t="s">
        <v>217</v>
      </c>
      <c r="B220" s="2" t="s">
        <v>248</v>
      </c>
      <c r="C220" s="3" t="str">
        <f t="shared" si="27"/>
        <v>towerredundanthipboltgrade</v>
      </c>
      <c r="D220" s="4" t="e">
        <f t="shared" si="28"/>
        <v>#N/A</v>
      </c>
      <c r="E220" t="str">
        <f t="shared" si="29"/>
        <v>TowerLegBoltEdgeDistance</v>
      </c>
      <c r="F220" s="4" t="str">
        <f t="shared" si="30"/>
        <v>YES</v>
      </c>
      <c r="G220" s="4" t="str">
        <f t="shared" si="31"/>
        <v>YES</v>
      </c>
      <c r="H220" s="4" t="str">
        <f t="shared" si="32"/>
        <v>YES</v>
      </c>
      <c r="I220" s="4" t="str">
        <f t="shared" si="33"/>
        <v>YES</v>
      </c>
      <c r="J220" t="s">
        <v>561</v>
      </c>
      <c r="N220" t="str">
        <f t="shared" si="34"/>
        <v>towerredundantverticalufactor</v>
      </c>
      <c r="O220" t="s">
        <v>650</v>
      </c>
      <c r="P220" t="s">
        <v>727</v>
      </c>
      <c r="Q220" t="s">
        <v>723</v>
      </c>
      <c r="R220" t="s">
        <v>248</v>
      </c>
      <c r="S220" t="str">
        <f t="shared" si="35"/>
        <v/>
      </c>
    </row>
    <row r="221" spans="1:19" hidden="1" x14ac:dyDescent="0.25">
      <c r="A221" s="1" t="s">
        <v>218</v>
      </c>
      <c r="B221" s="2" t="s">
        <v>248</v>
      </c>
      <c r="C221" s="3" t="str">
        <f t="shared" si="27"/>
        <v>towerredundanthipboltsize</v>
      </c>
      <c r="D221" s="4" t="e">
        <f t="shared" si="28"/>
        <v>#N/A</v>
      </c>
      <c r="E221" t="str">
        <f t="shared" si="29"/>
        <v>TowerDiagonalBoltEdgeDistance</v>
      </c>
      <c r="F221" s="4" t="str">
        <f t="shared" si="30"/>
        <v>YES</v>
      </c>
      <c r="G221" s="4" t="str">
        <f t="shared" si="31"/>
        <v>YES</v>
      </c>
      <c r="H221" s="4" t="str">
        <f t="shared" si="32"/>
        <v>YES</v>
      </c>
      <c r="I221" s="4" t="str">
        <f t="shared" si="33"/>
        <v>YES</v>
      </c>
      <c r="J221" t="s">
        <v>562</v>
      </c>
      <c r="N221" t="str">
        <f t="shared" si="34"/>
        <v>towerredundanthipboltgrade</v>
      </c>
      <c r="O221" t="s">
        <v>747</v>
      </c>
      <c r="P221" t="s">
        <v>728</v>
      </c>
      <c r="Q221" t="s">
        <v>248</v>
      </c>
      <c r="S221" t="str">
        <f t="shared" si="35"/>
        <v/>
      </c>
    </row>
    <row r="222" spans="1:19" hidden="1" x14ac:dyDescent="0.25">
      <c r="A222" s="1" t="s">
        <v>219</v>
      </c>
      <c r="B222" s="2" t="s">
        <v>248</v>
      </c>
      <c r="C222" s="3" t="str">
        <f t="shared" si="27"/>
        <v>towerredundanthipnumbolts</v>
      </c>
      <c r="D222" s="4" t="e">
        <f t="shared" si="28"/>
        <v>#N/A</v>
      </c>
      <c r="E222" t="str">
        <f t="shared" si="29"/>
        <v>TowerTopGirtBoltEdgeDistance</v>
      </c>
      <c r="F222" s="4" t="str">
        <f t="shared" si="30"/>
        <v>YES</v>
      </c>
      <c r="G222" s="4" t="str">
        <f t="shared" si="31"/>
        <v>YES</v>
      </c>
      <c r="H222" s="4" t="str">
        <f t="shared" si="32"/>
        <v>YES</v>
      </c>
      <c r="I222" s="4" t="str">
        <f t="shared" si="33"/>
        <v>YES</v>
      </c>
      <c r="J222" t="s">
        <v>563</v>
      </c>
      <c r="N222" t="str">
        <f t="shared" si="34"/>
        <v>towerredundanthipboltsize</v>
      </c>
      <c r="O222" t="s">
        <v>748</v>
      </c>
      <c r="P222" t="s">
        <v>727</v>
      </c>
      <c r="Q222" t="s">
        <v>723</v>
      </c>
      <c r="R222" t="s">
        <v>248</v>
      </c>
      <c r="S222" t="str">
        <f t="shared" si="35"/>
        <v/>
      </c>
    </row>
    <row r="223" spans="1:19" hidden="1" x14ac:dyDescent="0.25">
      <c r="A223" s="1" t="s">
        <v>220</v>
      </c>
      <c r="B223" s="2" t="s">
        <v>248</v>
      </c>
      <c r="C223" s="3" t="str">
        <f t="shared" si="27"/>
        <v>towerredundanthipboltedgedistance</v>
      </c>
      <c r="D223" s="4" t="e">
        <f t="shared" si="28"/>
        <v>#N/A</v>
      </c>
      <c r="E223" t="str">
        <f t="shared" si="29"/>
        <v>TowerBotGirtBoltEdgeDistance</v>
      </c>
      <c r="F223" s="4" t="str">
        <f t="shared" si="30"/>
        <v>YES</v>
      </c>
      <c r="G223" s="4" t="str">
        <f t="shared" si="31"/>
        <v>YES</v>
      </c>
      <c r="H223" s="4" t="str">
        <f t="shared" si="32"/>
        <v>YES</v>
      </c>
      <c r="I223" s="4" t="str">
        <f t="shared" si="33"/>
        <v>YES</v>
      </c>
      <c r="J223" t="s">
        <v>564</v>
      </c>
      <c r="N223" t="str">
        <f t="shared" si="34"/>
        <v>towerredundanthipnumbolts</v>
      </c>
      <c r="O223" t="s">
        <v>749</v>
      </c>
      <c r="P223" t="s">
        <v>724</v>
      </c>
      <c r="Q223" t="s">
        <v>248</v>
      </c>
      <c r="S223" t="str">
        <f t="shared" si="35"/>
        <v/>
      </c>
    </row>
    <row r="224" spans="1:19" hidden="1" x14ac:dyDescent="0.25">
      <c r="A224" s="1" t="s">
        <v>221</v>
      </c>
      <c r="B224" s="2" t="s">
        <v>248</v>
      </c>
      <c r="C224" s="3" t="str">
        <f t="shared" si="27"/>
        <v>towerredundanthipgageg1distance</v>
      </c>
      <c r="D224" s="4" t="e">
        <f t="shared" si="28"/>
        <v>#N/A</v>
      </c>
      <c r="E224" t="str">
        <f t="shared" si="29"/>
        <v>TowerInnerGirtBoltEdgeDistance</v>
      </c>
      <c r="F224" s="4" t="str">
        <f t="shared" si="30"/>
        <v>YES</v>
      </c>
      <c r="G224" s="4" t="str">
        <f t="shared" si="31"/>
        <v>YES</v>
      </c>
      <c r="H224" s="4" t="str">
        <f t="shared" si="32"/>
        <v>YES</v>
      </c>
      <c r="I224" s="4" t="str">
        <f t="shared" si="33"/>
        <v>YES</v>
      </c>
      <c r="J224" t="s">
        <v>565</v>
      </c>
      <c r="N224" t="str">
        <f t="shared" si="34"/>
        <v>towerredundanthipboltedgedistance</v>
      </c>
      <c r="O224" t="s">
        <v>750</v>
      </c>
      <c r="P224" t="s">
        <v>727</v>
      </c>
      <c r="Q224" t="s">
        <v>723</v>
      </c>
      <c r="R224" t="s">
        <v>248</v>
      </c>
      <c r="S224" t="str">
        <f t="shared" si="35"/>
        <v/>
      </c>
    </row>
    <row r="225" spans="1:19" hidden="1" x14ac:dyDescent="0.25">
      <c r="A225" s="1" t="s">
        <v>222</v>
      </c>
      <c r="B225" s="2" t="s">
        <v>248</v>
      </c>
      <c r="C225" s="3" t="str">
        <f t="shared" si="27"/>
        <v>towerredundanthipnetwidthdeduct</v>
      </c>
      <c r="D225" s="4" t="e">
        <f t="shared" si="28"/>
        <v>#N/A</v>
      </c>
      <c r="E225" t="str">
        <f t="shared" si="29"/>
        <v>TowerHorizontalBoltEdgeDistance</v>
      </c>
      <c r="F225" s="4" t="str">
        <f t="shared" si="30"/>
        <v>YES</v>
      </c>
      <c r="G225" s="4" t="str">
        <f t="shared" si="31"/>
        <v>YES</v>
      </c>
      <c r="H225" s="4" t="str">
        <f t="shared" si="32"/>
        <v>YES</v>
      </c>
      <c r="I225" s="4" t="str">
        <f t="shared" si="33"/>
        <v>YES</v>
      </c>
      <c r="J225" t="s">
        <v>566</v>
      </c>
      <c r="N225" t="str">
        <f t="shared" si="34"/>
        <v>towerredundanthipgageg1distance</v>
      </c>
      <c r="O225" t="s">
        <v>751</v>
      </c>
      <c r="P225" t="s">
        <v>727</v>
      </c>
      <c r="Q225" t="s">
        <v>723</v>
      </c>
      <c r="R225" t="s">
        <v>248</v>
      </c>
      <c r="S225" t="str">
        <f t="shared" si="35"/>
        <v/>
      </c>
    </row>
    <row r="226" spans="1:19" hidden="1" x14ac:dyDescent="0.25">
      <c r="A226" s="1" t="s">
        <v>223</v>
      </c>
      <c r="B226" s="2" t="s">
        <v>248</v>
      </c>
      <c r="C226" s="3" t="str">
        <f t="shared" si="27"/>
        <v>towerredundanthipufactor</v>
      </c>
      <c r="D226" s="4" t="e">
        <f t="shared" si="28"/>
        <v>#N/A</v>
      </c>
      <c r="E226" t="str">
        <f t="shared" si="29"/>
        <v>TowerShortHorizontalBoltEdgeDistance</v>
      </c>
      <c r="F226" s="4" t="str">
        <f t="shared" si="30"/>
        <v>YES</v>
      </c>
      <c r="G226" s="4" t="str">
        <f t="shared" si="31"/>
        <v>YES</v>
      </c>
      <c r="H226" s="4" t="str">
        <f t="shared" si="32"/>
        <v>YES</v>
      </c>
      <c r="I226" s="4" t="str">
        <f t="shared" si="33"/>
        <v>YES</v>
      </c>
      <c r="J226" t="s">
        <v>567</v>
      </c>
      <c r="N226" t="str">
        <f t="shared" si="34"/>
        <v>towerredundanthipnetwidthdeduct</v>
      </c>
      <c r="O226" t="s">
        <v>752</v>
      </c>
      <c r="P226" t="s">
        <v>727</v>
      </c>
      <c r="Q226" t="s">
        <v>723</v>
      </c>
      <c r="R226" t="s">
        <v>248</v>
      </c>
      <c r="S226" t="str">
        <f t="shared" si="35"/>
        <v/>
      </c>
    </row>
    <row r="227" spans="1:19" hidden="1" x14ac:dyDescent="0.25">
      <c r="A227" s="1" t="s">
        <v>224</v>
      </c>
      <c r="B227" s="2" t="s">
        <v>248</v>
      </c>
      <c r="C227" s="3" t="str">
        <f t="shared" si="27"/>
        <v>towerredundanthipdiagonalboltgrade</v>
      </c>
      <c r="D227" s="4" t="e">
        <f t="shared" si="28"/>
        <v>#N/A</v>
      </c>
      <c r="E227" t="str">
        <f t="shared" si="29"/>
        <v>TowerDiagonalGageG1Distance</v>
      </c>
      <c r="F227" s="4" t="str">
        <f t="shared" si="30"/>
        <v>YES</v>
      </c>
      <c r="G227" s="4" t="str">
        <f t="shared" si="31"/>
        <v>YES</v>
      </c>
      <c r="H227" s="4" t="str">
        <f t="shared" si="32"/>
        <v>YES</v>
      </c>
      <c r="I227" s="4" t="str">
        <f t="shared" si="33"/>
        <v>YES</v>
      </c>
      <c r="J227" t="s">
        <v>568</v>
      </c>
      <c r="N227" t="str">
        <f t="shared" si="34"/>
        <v>towerredundanthipufactor</v>
      </c>
      <c r="O227" t="s">
        <v>753</v>
      </c>
      <c r="P227" t="s">
        <v>727</v>
      </c>
      <c r="Q227" t="s">
        <v>723</v>
      </c>
      <c r="R227" t="s">
        <v>248</v>
      </c>
      <c r="S227" t="str">
        <f t="shared" si="35"/>
        <v/>
      </c>
    </row>
    <row r="228" spans="1:19" hidden="1" x14ac:dyDescent="0.25">
      <c r="A228" s="1" t="s">
        <v>225</v>
      </c>
      <c r="B228" s="2" t="s">
        <v>248</v>
      </c>
      <c r="C228" s="3" t="str">
        <f t="shared" si="27"/>
        <v>towerredundanthipdiagonalboltsize</v>
      </c>
      <c r="D228" s="4" t="e">
        <f t="shared" si="28"/>
        <v>#N/A</v>
      </c>
      <c r="E228" t="str">
        <f t="shared" si="29"/>
        <v>TowerTopGirtGageG1Distance</v>
      </c>
      <c r="F228" s="4" t="str">
        <f t="shared" si="30"/>
        <v>YES</v>
      </c>
      <c r="G228" s="4" t="str">
        <f t="shared" si="31"/>
        <v>YES</v>
      </c>
      <c r="H228" s="4" t="str">
        <f t="shared" si="32"/>
        <v>YES</v>
      </c>
      <c r="I228" s="4" t="str">
        <f t="shared" si="33"/>
        <v>YES</v>
      </c>
      <c r="J228" t="s">
        <v>569</v>
      </c>
      <c r="N228" t="str">
        <f t="shared" si="34"/>
        <v>towerredundanthipdiagonalboltgrade</v>
      </c>
      <c r="O228" t="s">
        <v>754</v>
      </c>
      <c r="P228" t="s">
        <v>728</v>
      </c>
      <c r="Q228" t="s">
        <v>248</v>
      </c>
      <c r="S228" t="str">
        <f t="shared" si="35"/>
        <v/>
      </c>
    </row>
    <row r="229" spans="1:19" hidden="1" x14ac:dyDescent="0.25">
      <c r="A229" s="1" t="s">
        <v>226</v>
      </c>
      <c r="B229" s="2" t="s">
        <v>248</v>
      </c>
      <c r="C229" s="3" t="str">
        <f t="shared" si="27"/>
        <v>towerredundanthipdiagonalnumbolts</v>
      </c>
      <c r="D229" s="4" t="e">
        <f t="shared" si="28"/>
        <v>#N/A</v>
      </c>
      <c r="E229" t="str">
        <f t="shared" si="29"/>
        <v>TowerBotGirtGageG1Distance</v>
      </c>
      <c r="F229" s="4" t="str">
        <f t="shared" si="30"/>
        <v>YES</v>
      </c>
      <c r="G229" s="4" t="str">
        <f t="shared" si="31"/>
        <v>YES</v>
      </c>
      <c r="H229" s="4" t="str">
        <f t="shared" si="32"/>
        <v>YES</v>
      </c>
      <c r="I229" s="4" t="str">
        <f t="shared" si="33"/>
        <v>YES</v>
      </c>
      <c r="J229" t="s">
        <v>570</v>
      </c>
      <c r="N229" t="str">
        <f t="shared" si="34"/>
        <v>towerredundanthipdiagonalboltsize</v>
      </c>
      <c r="O229" t="s">
        <v>755</v>
      </c>
      <c r="P229" t="s">
        <v>727</v>
      </c>
      <c r="Q229" t="s">
        <v>723</v>
      </c>
      <c r="R229" t="s">
        <v>248</v>
      </c>
      <c r="S229" t="str">
        <f t="shared" si="35"/>
        <v/>
      </c>
    </row>
    <row r="230" spans="1:19" hidden="1" x14ac:dyDescent="0.25">
      <c r="A230" s="1" t="s">
        <v>227</v>
      </c>
      <c r="B230" s="2" t="s">
        <v>248</v>
      </c>
      <c r="C230" s="3" t="str">
        <f t="shared" si="27"/>
        <v>towerredundanthipdiagonalboltedgedistance</v>
      </c>
      <c r="D230" s="4" t="e">
        <f t="shared" si="28"/>
        <v>#N/A</v>
      </c>
      <c r="E230" t="str">
        <f t="shared" si="29"/>
        <v>TowerInnerGirtGageG1Distance</v>
      </c>
      <c r="F230" s="4" t="str">
        <f t="shared" si="30"/>
        <v>YES</v>
      </c>
      <c r="G230" s="4" t="str">
        <f t="shared" si="31"/>
        <v>YES</v>
      </c>
      <c r="H230" s="4" t="str">
        <f t="shared" si="32"/>
        <v>YES</v>
      </c>
      <c r="I230" s="4" t="str">
        <f t="shared" si="33"/>
        <v>YES</v>
      </c>
      <c r="J230" t="s">
        <v>571</v>
      </c>
      <c r="N230" t="str">
        <f t="shared" si="34"/>
        <v>towerredundanthipdiagonalnumbolts</v>
      </c>
      <c r="O230" t="s">
        <v>756</v>
      </c>
      <c r="P230" t="s">
        <v>724</v>
      </c>
      <c r="Q230" t="s">
        <v>248</v>
      </c>
      <c r="S230" t="str">
        <f t="shared" si="35"/>
        <v/>
      </c>
    </row>
    <row r="231" spans="1:19" hidden="1" x14ac:dyDescent="0.25">
      <c r="A231" s="1" t="s">
        <v>228</v>
      </c>
      <c r="B231" s="2" t="s">
        <v>248</v>
      </c>
      <c r="C231" s="3" t="str">
        <f t="shared" si="27"/>
        <v>towerredundanthipdiagonalgageg1distance</v>
      </c>
      <c r="D231" s="4" t="e">
        <f t="shared" si="28"/>
        <v>#N/A</v>
      </c>
      <c r="E231" t="str">
        <f t="shared" si="29"/>
        <v>TowerHorizontalGageG1Distance</v>
      </c>
      <c r="F231" s="4" t="str">
        <f t="shared" si="30"/>
        <v>YES</v>
      </c>
      <c r="G231" s="4" t="str">
        <f t="shared" si="31"/>
        <v>YES</v>
      </c>
      <c r="H231" s="4" t="str">
        <f t="shared" si="32"/>
        <v>YES</v>
      </c>
      <c r="I231" s="4" t="str">
        <f t="shared" si="33"/>
        <v>YES</v>
      </c>
      <c r="J231" t="s">
        <v>572</v>
      </c>
      <c r="N231" t="str">
        <f t="shared" si="34"/>
        <v>towerredundanthipdiagonalboltedgedistance</v>
      </c>
      <c r="O231" t="s">
        <v>757</v>
      </c>
      <c r="P231" t="s">
        <v>727</v>
      </c>
      <c r="Q231" t="s">
        <v>723</v>
      </c>
      <c r="R231" t="s">
        <v>248</v>
      </c>
      <c r="S231" t="str">
        <f t="shared" si="35"/>
        <v/>
      </c>
    </row>
    <row r="232" spans="1:19" hidden="1" x14ac:dyDescent="0.25">
      <c r="A232" s="1" t="s">
        <v>229</v>
      </c>
      <c r="B232" s="2" t="s">
        <v>248</v>
      </c>
      <c r="C232" s="3" t="str">
        <f t="shared" si="27"/>
        <v>towerredundanthipdiagonalnetwidthdeduct</v>
      </c>
      <c r="D232" s="4" t="e">
        <f t="shared" si="28"/>
        <v>#N/A</v>
      </c>
      <c r="E232" t="str">
        <f t="shared" si="29"/>
        <v>TowerShortHorizontalGageG1Distance</v>
      </c>
      <c r="F232" s="4" t="str">
        <f t="shared" si="30"/>
        <v>YES</v>
      </c>
      <c r="G232" s="4" t="str">
        <f t="shared" si="31"/>
        <v>YES</v>
      </c>
      <c r="H232" s="4" t="str">
        <f t="shared" si="32"/>
        <v>YES</v>
      </c>
      <c r="I232" s="4" t="str">
        <f t="shared" si="33"/>
        <v>YES</v>
      </c>
      <c r="J232" t="s">
        <v>573</v>
      </c>
      <c r="N232" t="str">
        <f t="shared" si="34"/>
        <v>towerredundanthipdiagonalgageg1distance</v>
      </c>
      <c r="O232" t="s">
        <v>758</v>
      </c>
      <c r="P232" t="s">
        <v>727</v>
      </c>
      <c r="Q232" t="s">
        <v>723</v>
      </c>
      <c r="R232" t="s">
        <v>248</v>
      </c>
      <c r="S232" t="str">
        <f t="shared" si="35"/>
        <v/>
      </c>
    </row>
    <row r="233" spans="1:19" x14ac:dyDescent="0.25">
      <c r="A233" s="1" t="s">
        <v>230</v>
      </c>
      <c r="B233" s="2" t="s">
        <v>248</v>
      </c>
      <c r="C233" s="3" t="str">
        <f t="shared" si="27"/>
        <v>towerredundanthipdiagonalufactor</v>
      </c>
      <c r="D233" s="4" t="e">
        <f t="shared" si="28"/>
        <v>#N/A</v>
      </c>
      <c r="E233" t="str">
        <f t="shared" si="29"/>
        <v>TowerRedundantHorizontalBoltGrade1</v>
      </c>
      <c r="F233" s="4" t="str">
        <f t="shared" si="30"/>
        <v>NO</v>
      </c>
      <c r="G233" s="4" t="str">
        <f t="shared" si="31"/>
        <v>NO</v>
      </c>
      <c r="H233" s="4" t="str">
        <f t="shared" si="32"/>
        <v>NO</v>
      </c>
      <c r="I233" s="4" t="str">
        <f t="shared" si="33"/>
        <v>NO</v>
      </c>
      <c r="J233" t="s">
        <v>574</v>
      </c>
      <c r="N233" t="str">
        <f t="shared" si="34"/>
        <v>towerredundanthipdiagonalnetwidthdeduct</v>
      </c>
      <c r="O233" t="s">
        <v>759</v>
      </c>
      <c r="P233" t="s">
        <v>727</v>
      </c>
      <c r="Q233" t="s">
        <v>723</v>
      </c>
      <c r="R233" t="s">
        <v>248</v>
      </c>
      <c r="S233" t="str">
        <f t="shared" si="35"/>
        <v/>
      </c>
    </row>
    <row r="234" spans="1:19" x14ac:dyDescent="0.25">
      <c r="A234" s="1" t="s">
        <v>231</v>
      </c>
      <c r="B234" s="2" t="s">
        <v>255</v>
      </c>
      <c r="C234" s="3" t="str">
        <f t="shared" si="27"/>
        <v>towerdiagonaloutofplanerestraint</v>
      </c>
      <c r="D234" s="4">
        <f t="shared" si="28"/>
        <v>366</v>
      </c>
      <c r="E234" t="str">
        <f t="shared" si="29"/>
        <v>TowerRedundantHorizontalBoltSize1</v>
      </c>
      <c r="F234" s="4" t="str">
        <f t="shared" si="30"/>
        <v>NO</v>
      </c>
      <c r="G234" s="4" t="str">
        <f t="shared" si="31"/>
        <v>NO</v>
      </c>
      <c r="H234" s="4" t="str">
        <f t="shared" si="32"/>
        <v>NO</v>
      </c>
      <c r="I234" s="4" t="str">
        <f t="shared" si="33"/>
        <v>NO</v>
      </c>
      <c r="J234" t="s">
        <v>575</v>
      </c>
      <c r="N234" t="str">
        <f t="shared" si="34"/>
        <v>towerredundanthipdiagonalufactor</v>
      </c>
      <c r="O234" t="s">
        <v>760</v>
      </c>
      <c r="P234" t="s">
        <v>727</v>
      </c>
      <c r="Q234" t="s">
        <v>723</v>
      </c>
      <c r="R234" t="s">
        <v>248</v>
      </c>
      <c r="S234" t="str">
        <f t="shared" si="35"/>
        <v/>
      </c>
    </row>
    <row r="235" spans="1:19" x14ac:dyDescent="0.25">
      <c r="A235" s="1" t="s">
        <v>232</v>
      </c>
      <c r="B235" s="2" t="s">
        <v>255</v>
      </c>
      <c r="C235" s="3" t="str">
        <f t="shared" si="27"/>
        <v>towertopgirtoutofplanerestraint</v>
      </c>
      <c r="D235" s="4">
        <f t="shared" si="28"/>
        <v>367</v>
      </c>
      <c r="E235" t="str">
        <f t="shared" si="29"/>
        <v>TowerRedundantHorizontalNumBolts1</v>
      </c>
      <c r="F235" s="4" t="str">
        <f t="shared" si="30"/>
        <v>NO</v>
      </c>
      <c r="G235" s="4" t="str">
        <f t="shared" si="31"/>
        <v>NO</v>
      </c>
      <c r="H235" s="4" t="str">
        <f t="shared" si="32"/>
        <v>NO</v>
      </c>
      <c r="I235" s="4" t="str">
        <f t="shared" si="33"/>
        <v>NO</v>
      </c>
      <c r="J235" t="s">
        <v>576</v>
      </c>
      <c r="N235" t="str">
        <f t="shared" si="34"/>
        <v>towerdiagonaloutofplanerestraint</v>
      </c>
      <c r="O235" t="s">
        <v>707</v>
      </c>
      <c r="P235" t="s">
        <v>729</v>
      </c>
      <c r="Q235" t="s">
        <v>248</v>
      </c>
      <c r="S235" t="str">
        <f t="shared" si="35"/>
        <v/>
      </c>
    </row>
    <row r="236" spans="1:19" x14ac:dyDescent="0.25">
      <c r="A236" s="1" t="s">
        <v>233</v>
      </c>
      <c r="B236" s="2" t="s">
        <v>255</v>
      </c>
      <c r="C236" s="3" t="str">
        <f t="shared" si="27"/>
        <v>towerbottomgirtoutofplanerestraint</v>
      </c>
      <c r="D236" s="4">
        <f t="shared" si="28"/>
        <v>368</v>
      </c>
      <c r="E236" t="str">
        <f t="shared" si="29"/>
        <v>TowerRedundantHorizontalBoltEdgeDistance1</v>
      </c>
      <c r="F236" s="4" t="str">
        <f t="shared" si="30"/>
        <v>NO</v>
      </c>
      <c r="G236" s="4" t="str">
        <f t="shared" si="31"/>
        <v>NO</v>
      </c>
      <c r="H236" s="4" t="str">
        <f t="shared" si="32"/>
        <v>NO</v>
      </c>
      <c r="I236" s="4" t="str">
        <f t="shared" si="33"/>
        <v>NO</v>
      </c>
      <c r="J236" t="s">
        <v>577</v>
      </c>
      <c r="N236" t="str">
        <f t="shared" si="34"/>
        <v>towertopgirtoutofplanerestraint</v>
      </c>
      <c r="O236" t="s">
        <v>708</v>
      </c>
      <c r="P236" t="s">
        <v>729</v>
      </c>
      <c r="Q236" t="s">
        <v>248</v>
      </c>
      <c r="S236" t="str">
        <f t="shared" si="35"/>
        <v/>
      </c>
    </row>
    <row r="237" spans="1:19" x14ac:dyDescent="0.25">
      <c r="A237" s="1" t="s">
        <v>234</v>
      </c>
      <c r="B237" s="2" t="s">
        <v>255</v>
      </c>
      <c r="C237" s="3" t="str">
        <f t="shared" si="27"/>
        <v>towermidgirtoutofplanerestraint</v>
      </c>
      <c r="D237" s="4">
        <f t="shared" si="28"/>
        <v>369</v>
      </c>
      <c r="E237" t="str">
        <f t="shared" si="29"/>
        <v>TowerRedundantHorizontalGageG1Distance1</v>
      </c>
      <c r="F237" s="4" t="str">
        <f t="shared" si="30"/>
        <v>NO</v>
      </c>
      <c r="G237" s="4" t="str">
        <f t="shared" si="31"/>
        <v>NO</v>
      </c>
      <c r="H237" s="4" t="str">
        <f t="shared" si="32"/>
        <v>NO</v>
      </c>
      <c r="I237" s="4" t="str">
        <f t="shared" si="33"/>
        <v>NO</v>
      </c>
      <c r="J237" t="s">
        <v>578</v>
      </c>
      <c r="N237" t="str">
        <f t="shared" si="34"/>
        <v>towerbottomgirtoutofplanerestraint</v>
      </c>
      <c r="O237" t="s">
        <v>709</v>
      </c>
      <c r="P237" t="s">
        <v>729</v>
      </c>
      <c r="Q237" t="s">
        <v>248</v>
      </c>
      <c r="S237" t="str">
        <f t="shared" si="35"/>
        <v/>
      </c>
    </row>
    <row r="238" spans="1:19" x14ac:dyDescent="0.25">
      <c r="A238" s="1" t="s">
        <v>235</v>
      </c>
      <c r="B238" s="2" t="s">
        <v>255</v>
      </c>
      <c r="C238" s="3" t="str">
        <f t="shared" si="27"/>
        <v>towerhorizontaloutofplanerestraint</v>
      </c>
      <c r="D238" s="4">
        <f t="shared" si="28"/>
        <v>370</v>
      </c>
      <c r="E238" t="str">
        <f t="shared" si="29"/>
        <v>TowerRedundantHorizontalNetWidthDeduct1</v>
      </c>
      <c r="F238" s="4" t="str">
        <f t="shared" si="30"/>
        <v>NO</v>
      </c>
      <c r="G238" s="4" t="str">
        <f t="shared" si="31"/>
        <v>NO</v>
      </c>
      <c r="H238" s="4" t="str">
        <f t="shared" si="32"/>
        <v>NO</v>
      </c>
      <c r="I238" s="4" t="str">
        <f t="shared" si="33"/>
        <v>NO</v>
      </c>
      <c r="J238" t="s">
        <v>579</v>
      </c>
      <c r="N238" t="str">
        <f t="shared" si="34"/>
        <v>towermidgirtoutofplanerestraint</v>
      </c>
      <c r="O238" t="s">
        <v>710</v>
      </c>
      <c r="P238" t="s">
        <v>729</v>
      </c>
      <c r="Q238" t="s">
        <v>248</v>
      </c>
      <c r="S238" t="str">
        <f t="shared" si="35"/>
        <v/>
      </c>
    </row>
    <row r="239" spans="1:19" x14ac:dyDescent="0.25">
      <c r="A239" s="1" t="s">
        <v>236</v>
      </c>
      <c r="B239" s="2" t="s">
        <v>255</v>
      </c>
      <c r="C239" s="3" t="str">
        <f t="shared" si="27"/>
        <v>towersecondaryhorizontaloutofplanerestraint</v>
      </c>
      <c r="D239" s="4">
        <f t="shared" si="28"/>
        <v>371</v>
      </c>
      <c r="E239" t="str">
        <f t="shared" si="29"/>
        <v>TowerRedundantHorizontalUFactor1</v>
      </c>
      <c r="F239" s="4" t="str">
        <f t="shared" si="30"/>
        <v>NO</v>
      </c>
      <c r="G239" s="4" t="str">
        <f t="shared" si="31"/>
        <v>NO</v>
      </c>
      <c r="H239" s="4" t="str">
        <f t="shared" si="32"/>
        <v>NO</v>
      </c>
      <c r="I239" s="4" t="str">
        <f t="shared" si="33"/>
        <v>NO</v>
      </c>
      <c r="J239" t="s">
        <v>580</v>
      </c>
      <c r="N239" t="str">
        <f t="shared" si="34"/>
        <v>towerhorizontaloutofplanerestraint</v>
      </c>
      <c r="O239" t="s">
        <v>711</v>
      </c>
      <c r="P239" t="s">
        <v>729</v>
      </c>
      <c r="Q239" t="s">
        <v>248</v>
      </c>
      <c r="S239" t="str">
        <f t="shared" si="35"/>
        <v/>
      </c>
    </row>
    <row r="240" spans="1:19" x14ac:dyDescent="0.25">
      <c r="A240" s="1" t="s">
        <v>237</v>
      </c>
      <c r="B240" s="2" t="s">
        <v>254</v>
      </c>
      <c r="C240" s="3" t="str">
        <f t="shared" si="27"/>
        <v>toweruniqueflag</v>
      </c>
      <c r="D240" s="4">
        <f t="shared" si="28"/>
        <v>372</v>
      </c>
      <c r="E240" t="str">
        <f t="shared" si="29"/>
        <v>TowerRedundantHorizontalBoltGrade2</v>
      </c>
      <c r="F240" s="4" t="str">
        <f t="shared" si="30"/>
        <v>NO</v>
      </c>
      <c r="G240" s="4" t="str">
        <f t="shared" si="31"/>
        <v>NO</v>
      </c>
      <c r="H240" s="4" t="str">
        <f t="shared" si="32"/>
        <v>NO</v>
      </c>
      <c r="I240" s="4" t="str">
        <f t="shared" si="33"/>
        <v>NO</v>
      </c>
      <c r="J240" t="s">
        <v>581</v>
      </c>
      <c r="N240" t="str">
        <f t="shared" si="34"/>
        <v>towersecondaryhorizontaloutofplanerestraint</v>
      </c>
      <c r="O240" t="s">
        <v>712</v>
      </c>
      <c r="P240" t="s">
        <v>729</v>
      </c>
      <c r="Q240" t="s">
        <v>248</v>
      </c>
      <c r="S240" t="str">
        <f t="shared" si="35"/>
        <v/>
      </c>
    </row>
    <row r="241" spans="1:19" x14ac:dyDescent="0.25">
      <c r="A241" s="1" t="s">
        <v>238</v>
      </c>
      <c r="B241" s="2" t="s">
        <v>254</v>
      </c>
      <c r="C241" s="3" t="str">
        <f t="shared" si="27"/>
        <v>towerdiagoffsetney</v>
      </c>
      <c r="D241" s="4">
        <f t="shared" si="28"/>
        <v>373</v>
      </c>
      <c r="E241" t="str">
        <f t="shared" si="29"/>
        <v>TowerRedundantHorizontalBoltSize2</v>
      </c>
      <c r="F241" s="4" t="str">
        <f t="shared" si="30"/>
        <v>NO</v>
      </c>
      <c r="G241" s="4" t="str">
        <f t="shared" si="31"/>
        <v>NO</v>
      </c>
      <c r="H241" s="4" t="str">
        <f t="shared" si="32"/>
        <v>NO</v>
      </c>
      <c r="I241" s="4" t="str">
        <f t="shared" si="33"/>
        <v>NO</v>
      </c>
      <c r="J241" t="s">
        <v>582</v>
      </c>
      <c r="N241" t="str">
        <f t="shared" si="34"/>
        <v>toweruniqueflag</v>
      </c>
      <c r="O241" t="s">
        <v>713</v>
      </c>
      <c r="P241" t="s">
        <v>724</v>
      </c>
      <c r="Q241" t="s">
        <v>248</v>
      </c>
      <c r="S241" t="str">
        <f t="shared" si="35"/>
        <v/>
      </c>
    </row>
    <row r="242" spans="1:19" x14ac:dyDescent="0.25">
      <c r="A242" s="1" t="s">
        <v>239</v>
      </c>
      <c r="B242" s="2" t="s">
        <v>254</v>
      </c>
      <c r="C242" s="3" t="str">
        <f t="shared" si="27"/>
        <v>towerdiagoffsetnex</v>
      </c>
      <c r="D242" s="4">
        <f t="shared" si="28"/>
        <v>374</v>
      </c>
      <c r="E242" t="str">
        <f t="shared" si="29"/>
        <v>TowerRedundantHorizontalNumBolts2</v>
      </c>
      <c r="F242" s="4" t="str">
        <f t="shared" si="30"/>
        <v>NO</v>
      </c>
      <c r="G242" s="4" t="str">
        <f t="shared" si="31"/>
        <v>NO</v>
      </c>
      <c r="H242" s="4" t="str">
        <f t="shared" si="32"/>
        <v>NO</v>
      </c>
      <c r="I242" s="4" t="str">
        <f t="shared" si="33"/>
        <v>NO</v>
      </c>
      <c r="J242" t="s">
        <v>583</v>
      </c>
      <c r="N242" t="str">
        <f t="shared" si="34"/>
        <v>towerdiagoffsetney</v>
      </c>
      <c r="O242" t="s">
        <v>714</v>
      </c>
      <c r="P242" t="s">
        <v>727</v>
      </c>
      <c r="Q242" t="s">
        <v>723</v>
      </c>
      <c r="R242" t="s">
        <v>248</v>
      </c>
      <c r="S242" t="str">
        <f t="shared" si="35"/>
        <v/>
      </c>
    </row>
    <row r="243" spans="1:19" x14ac:dyDescent="0.25">
      <c r="A243" s="1" t="s">
        <v>240</v>
      </c>
      <c r="B243" s="2" t="s">
        <v>254</v>
      </c>
      <c r="C243" s="3" t="str">
        <f t="shared" si="27"/>
        <v>towerdiagoffsetpey</v>
      </c>
      <c r="D243" s="4">
        <f t="shared" si="28"/>
        <v>375</v>
      </c>
      <c r="E243" t="str">
        <f t="shared" si="29"/>
        <v>TowerRedundantHorizontalBoltEdgeDistance2</v>
      </c>
      <c r="F243" s="4" t="str">
        <f t="shared" si="30"/>
        <v>NO</v>
      </c>
      <c r="G243" s="4" t="str">
        <f t="shared" si="31"/>
        <v>NO</v>
      </c>
      <c r="H243" s="4" t="str">
        <f t="shared" si="32"/>
        <v>NO</v>
      </c>
      <c r="I243" s="4" t="str">
        <f t="shared" si="33"/>
        <v>NO</v>
      </c>
      <c r="J243" t="s">
        <v>584</v>
      </c>
      <c r="N243" t="str">
        <f t="shared" si="34"/>
        <v>towerdiagoffsetnex</v>
      </c>
      <c r="O243" t="s">
        <v>715</v>
      </c>
      <c r="P243" t="s">
        <v>727</v>
      </c>
      <c r="Q243" t="s">
        <v>723</v>
      </c>
      <c r="R243" t="s">
        <v>248</v>
      </c>
      <c r="S243" t="str">
        <f t="shared" si="35"/>
        <v/>
      </c>
    </row>
    <row r="244" spans="1:19" x14ac:dyDescent="0.25">
      <c r="A244" s="1" t="s">
        <v>241</v>
      </c>
      <c r="B244" s="2" t="s">
        <v>254</v>
      </c>
      <c r="C244" s="3" t="str">
        <f t="shared" si="27"/>
        <v>towerdiagoffsetpex</v>
      </c>
      <c r="D244" s="4">
        <f t="shared" si="28"/>
        <v>376</v>
      </c>
      <c r="E244" t="str">
        <f t="shared" si="29"/>
        <v>TowerRedundantHorizontalGageG1Distance2</v>
      </c>
      <c r="F244" s="4" t="str">
        <f t="shared" si="30"/>
        <v>NO</v>
      </c>
      <c r="G244" s="4" t="str">
        <f t="shared" si="31"/>
        <v>NO</v>
      </c>
      <c r="H244" s="4" t="str">
        <f t="shared" si="32"/>
        <v>NO</v>
      </c>
      <c r="I244" s="4" t="str">
        <f t="shared" si="33"/>
        <v>NO</v>
      </c>
      <c r="J244" t="s">
        <v>585</v>
      </c>
      <c r="N244" t="str">
        <f t="shared" si="34"/>
        <v>towerdiagoffsetpey</v>
      </c>
      <c r="O244" t="s">
        <v>716</v>
      </c>
      <c r="P244" t="s">
        <v>727</v>
      </c>
      <c r="Q244" t="s">
        <v>723</v>
      </c>
      <c r="R244" t="s">
        <v>248</v>
      </c>
      <c r="S244" t="str">
        <f t="shared" si="35"/>
        <v/>
      </c>
    </row>
    <row r="245" spans="1:19" x14ac:dyDescent="0.25">
      <c r="A245" s="1" t="s">
        <v>242</v>
      </c>
      <c r="B245" s="2" t="s">
        <v>254</v>
      </c>
      <c r="C245" s="3" t="str">
        <f t="shared" si="27"/>
        <v>towerkbraceoffsetney</v>
      </c>
      <c r="D245" s="4">
        <f t="shared" si="28"/>
        <v>377</v>
      </c>
      <c r="E245" t="str">
        <f t="shared" si="29"/>
        <v>TowerRedundantHorizontalNetWidthDeduct2</v>
      </c>
      <c r="F245" s="4" t="str">
        <f t="shared" si="30"/>
        <v>NO</v>
      </c>
      <c r="G245" s="4" t="str">
        <f t="shared" si="31"/>
        <v>NO</v>
      </c>
      <c r="H245" s="4" t="str">
        <f t="shared" si="32"/>
        <v>NO</v>
      </c>
      <c r="I245" s="4" t="str">
        <f t="shared" si="33"/>
        <v>NO</v>
      </c>
      <c r="J245" t="s">
        <v>586</v>
      </c>
      <c r="N245" t="str">
        <f t="shared" si="34"/>
        <v>towerdiagoffsetpex</v>
      </c>
      <c r="O245" t="s">
        <v>717</v>
      </c>
      <c r="P245" t="s">
        <v>727</v>
      </c>
      <c r="Q245" t="s">
        <v>723</v>
      </c>
      <c r="R245" t="s">
        <v>248</v>
      </c>
      <c r="S245" t="str">
        <f t="shared" si="35"/>
        <v/>
      </c>
    </row>
    <row r="246" spans="1:19" x14ac:dyDescent="0.25">
      <c r="A246" s="1" t="s">
        <v>243</v>
      </c>
      <c r="B246" s="2" t="s">
        <v>254</v>
      </c>
      <c r="C246" s="3" t="str">
        <f t="shared" si="27"/>
        <v>towerkbraceoffsetnex</v>
      </c>
      <c r="D246" s="4">
        <f t="shared" si="28"/>
        <v>378</v>
      </c>
      <c r="E246" t="str">
        <f t="shared" si="29"/>
        <v>TowerRedundantHorizontalUFactor2</v>
      </c>
      <c r="F246" s="4" t="str">
        <f t="shared" si="30"/>
        <v>NO</v>
      </c>
      <c r="G246" s="4" t="str">
        <f t="shared" si="31"/>
        <v>NO</v>
      </c>
      <c r="H246" s="4" t="str">
        <f t="shared" si="32"/>
        <v>NO</v>
      </c>
      <c r="I246" s="4" t="str">
        <f t="shared" si="33"/>
        <v>NO</v>
      </c>
      <c r="J246" t="s">
        <v>587</v>
      </c>
      <c r="N246" t="str">
        <f t="shared" si="34"/>
        <v>towerkbraceoffsetney</v>
      </c>
      <c r="O246" t="s">
        <v>718</v>
      </c>
      <c r="P246" t="s">
        <v>727</v>
      </c>
      <c r="Q246" t="s">
        <v>723</v>
      </c>
      <c r="R246" t="s">
        <v>248</v>
      </c>
      <c r="S246" t="str">
        <f t="shared" si="35"/>
        <v/>
      </c>
    </row>
    <row r="247" spans="1:19" x14ac:dyDescent="0.25">
      <c r="A247" s="1" t="s">
        <v>244</v>
      </c>
      <c r="B247" s="2" t="s">
        <v>254</v>
      </c>
      <c r="C247" s="3" t="str">
        <f t="shared" si="27"/>
        <v>towerkbraceoffsetpey</v>
      </c>
      <c r="D247" s="4">
        <f t="shared" si="28"/>
        <v>379</v>
      </c>
      <c r="E247" t="str">
        <f t="shared" si="29"/>
        <v>TowerRedundantHorizontalBoltGrade3</v>
      </c>
      <c r="F247" s="4" t="str">
        <f t="shared" si="30"/>
        <v>NO</v>
      </c>
      <c r="G247" s="4" t="str">
        <f t="shared" si="31"/>
        <v>NO</v>
      </c>
      <c r="H247" s="4" t="str">
        <f t="shared" si="32"/>
        <v>NO</v>
      </c>
      <c r="I247" s="4" t="str">
        <f t="shared" si="33"/>
        <v>NO</v>
      </c>
      <c r="J247" t="s">
        <v>588</v>
      </c>
      <c r="N247" t="str">
        <f t="shared" si="34"/>
        <v>towerkbraceoffsetnex</v>
      </c>
      <c r="O247" t="s">
        <v>719</v>
      </c>
      <c r="P247" t="s">
        <v>727</v>
      </c>
      <c r="Q247" t="s">
        <v>723</v>
      </c>
      <c r="R247" t="s">
        <v>248</v>
      </c>
      <c r="S247" t="str">
        <f t="shared" si="35"/>
        <v/>
      </c>
    </row>
    <row r="248" spans="1:19" x14ac:dyDescent="0.25">
      <c r="A248" s="1" t="s">
        <v>245</v>
      </c>
      <c r="B248" s="2" t="s">
        <v>285</v>
      </c>
      <c r="C248" s="3" t="str">
        <f t="shared" si="27"/>
        <v>towerkbraceoffsetpex</v>
      </c>
      <c r="D248" s="4">
        <f t="shared" si="28"/>
        <v>380</v>
      </c>
      <c r="E248" t="str">
        <f t="shared" si="29"/>
        <v>TowerRedundantHorizontalBoltSize3</v>
      </c>
      <c r="F248" s="4" t="str">
        <f t="shared" si="30"/>
        <v>NO</v>
      </c>
      <c r="G248" s="4" t="str">
        <f t="shared" si="31"/>
        <v>NO</v>
      </c>
      <c r="H248" s="4" t="str">
        <f t="shared" si="32"/>
        <v>NO</v>
      </c>
      <c r="I248" s="4" t="str">
        <f t="shared" si="33"/>
        <v>NO</v>
      </c>
      <c r="J248" t="s">
        <v>589</v>
      </c>
      <c r="N248" t="str">
        <f t="shared" si="34"/>
        <v>towerkbraceoffsetpey</v>
      </c>
      <c r="O248" t="s">
        <v>720</v>
      </c>
      <c r="P248" t="s">
        <v>727</v>
      </c>
      <c r="Q248" t="s">
        <v>723</v>
      </c>
      <c r="R248" t="s">
        <v>248</v>
      </c>
      <c r="S248" t="str">
        <f t="shared" si="35"/>
        <v/>
      </c>
    </row>
    <row r="249" spans="1:19" x14ac:dyDescent="0.25">
      <c r="A249" s="1" t="s">
        <v>246</v>
      </c>
      <c r="B249" s="2" t="s">
        <v>286</v>
      </c>
      <c r="C249" s="3" t="str">
        <f t="shared" si="27"/>
        <v>)</v>
      </c>
      <c r="D249" s="4" t="e">
        <f t="shared" si="28"/>
        <v>#N/A</v>
      </c>
      <c r="E249" t="str">
        <f t="shared" si="29"/>
        <v>TowerRedundantHorizontalNumBolts3</v>
      </c>
      <c r="F249" s="4" t="str">
        <f t="shared" si="30"/>
        <v>NO</v>
      </c>
      <c r="G249" s="4" t="str">
        <f t="shared" si="31"/>
        <v>NO</v>
      </c>
      <c r="H249" s="4" t="str">
        <f t="shared" si="32"/>
        <v>NO</v>
      </c>
      <c r="I249" s="4" t="str">
        <f t="shared" si="33"/>
        <v>NO</v>
      </c>
      <c r="J249" t="s">
        <v>590</v>
      </c>
      <c r="N249" t="str">
        <f t="shared" si="34"/>
        <v>towerkbraceoffsetpex</v>
      </c>
      <c r="O249" t="s">
        <v>721</v>
      </c>
      <c r="P249" t="s">
        <v>727</v>
      </c>
      <c r="Q249" t="s">
        <v>723</v>
      </c>
      <c r="R249" t="s">
        <v>248</v>
      </c>
      <c r="S249" t="str">
        <f t="shared" si="35"/>
        <v/>
      </c>
    </row>
    <row r="250" spans="1:19" x14ac:dyDescent="0.25">
      <c r="D250" s="4" t="e">
        <f t="shared" si="28"/>
        <v>#N/A</v>
      </c>
      <c r="E250" t="str">
        <f t="shared" si="29"/>
        <v>TowerRedundantHorizontalBoltEdgeDistance3</v>
      </c>
      <c r="F250" s="4" t="str">
        <f t="shared" si="30"/>
        <v>NO</v>
      </c>
      <c r="G250" s="4" t="str">
        <f t="shared" si="31"/>
        <v>NO</v>
      </c>
      <c r="H250" s="4" t="str">
        <f t="shared" si="32"/>
        <v>NO</v>
      </c>
      <c r="I250" s="4" t="str">
        <f t="shared" si="33"/>
        <v>NO</v>
      </c>
      <c r="J250" t="s">
        <v>591</v>
      </c>
    </row>
    <row r="251" spans="1:19" x14ac:dyDescent="0.25">
      <c r="D251" s="4" t="e">
        <f t="shared" si="28"/>
        <v>#N/A</v>
      </c>
      <c r="E251" t="str">
        <f t="shared" si="29"/>
        <v>TowerRedundantHorizontalGageG1Distance3</v>
      </c>
      <c r="F251" s="4" t="str">
        <f t="shared" si="30"/>
        <v>NO</v>
      </c>
      <c r="G251" s="4" t="str">
        <f t="shared" si="31"/>
        <v>NO</v>
      </c>
      <c r="H251" s="4" t="str">
        <f t="shared" si="32"/>
        <v>NO</v>
      </c>
      <c r="I251" s="4" t="str">
        <f t="shared" si="33"/>
        <v>NO</v>
      </c>
      <c r="J251" t="s">
        <v>592</v>
      </c>
    </row>
    <row r="252" spans="1:19" x14ac:dyDescent="0.25">
      <c r="D252" s="4" t="e">
        <f t="shared" si="28"/>
        <v>#N/A</v>
      </c>
      <c r="E252" t="str">
        <f t="shared" si="29"/>
        <v>TowerRedundantHorizontalNetWidthDeduct3</v>
      </c>
      <c r="F252" s="4" t="str">
        <f t="shared" si="30"/>
        <v>NO</v>
      </c>
      <c r="G252" s="4" t="str">
        <f t="shared" si="31"/>
        <v>NO</v>
      </c>
      <c r="H252" s="4" t="str">
        <f t="shared" si="32"/>
        <v>NO</v>
      </c>
      <c r="I252" s="4" t="str">
        <f t="shared" si="33"/>
        <v>NO</v>
      </c>
      <c r="J252" t="s">
        <v>593</v>
      </c>
    </row>
    <row r="253" spans="1:19" x14ac:dyDescent="0.25">
      <c r="D253" s="4" t="e">
        <f t="shared" si="28"/>
        <v>#N/A</v>
      </c>
      <c r="E253" t="str">
        <f t="shared" si="29"/>
        <v>TowerRedundantHorizontalUFactor3</v>
      </c>
      <c r="F253" s="4" t="str">
        <f t="shared" si="30"/>
        <v>NO</v>
      </c>
      <c r="G253" s="4" t="str">
        <f t="shared" si="31"/>
        <v>NO</v>
      </c>
      <c r="H253" s="4" t="str">
        <f t="shared" si="32"/>
        <v>NO</v>
      </c>
      <c r="I253" s="4" t="str">
        <f t="shared" si="33"/>
        <v>NO</v>
      </c>
      <c r="J253" t="s">
        <v>594</v>
      </c>
    </row>
    <row r="254" spans="1:19" x14ac:dyDescent="0.25">
      <c r="D254" s="4" t="e">
        <f t="shared" si="28"/>
        <v>#N/A</v>
      </c>
      <c r="E254" t="str">
        <f t="shared" si="29"/>
        <v>TowerRedundantHorizontalBoltGrade4</v>
      </c>
      <c r="F254" s="4" t="str">
        <f t="shared" si="30"/>
        <v>NO</v>
      </c>
      <c r="G254" s="4" t="str">
        <f t="shared" si="31"/>
        <v>NO</v>
      </c>
      <c r="H254" s="4" t="str">
        <f t="shared" si="32"/>
        <v>NO</v>
      </c>
      <c r="I254" s="4" t="str">
        <f t="shared" si="33"/>
        <v>NO</v>
      </c>
      <c r="J254" t="s">
        <v>595</v>
      </c>
    </row>
    <row r="255" spans="1:19" x14ac:dyDescent="0.25">
      <c r="D255" s="4" t="e">
        <f t="shared" si="28"/>
        <v>#N/A</v>
      </c>
      <c r="E255" t="str">
        <f t="shared" si="29"/>
        <v>TowerRedundantHorizontalBoltSize4</v>
      </c>
      <c r="F255" s="4" t="str">
        <f t="shared" si="30"/>
        <v>NO</v>
      </c>
      <c r="G255" s="4" t="str">
        <f t="shared" si="31"/>
        <v>NO</v>
      </c>
      <c r="H255" s="4" t="str">
        <f t="shared" si="32"/>
        <v>NO</v>
      </c>
      <c r="I255" s="4" t="str">
        <f t="shared" si="33"/>
        <v>NO</v>
      </c>
      <c r="J255" t="s">
        <v>596</v>
      </c>
    </row>
    <row r="256" spans="1:19" x14ac:dyDescent="0.25">
      <c r="D256" s="4" t="e">
        <f t="shared" si="28"/>
        <v>#N/A</v>
      </c>
      <c r="E256" t="str">
        <f t="shared" si="29"/>
        <v>TowerRedundantHorizontalNumBolts4</v>
      </c>
      <c r="F256" s="4" t="str">
        <f t="shared" si="30"/>
        <v>NO</v>
      </c>
      <c r="G256" s="4" t="str">
        <f t="shared" si="31"/>
        <v>NO</v>
      </c>
      <c r="H256" s="4" t="str">
        <f t="shared" si="32"/>
        <v>NO</v>
      </c>
      <c r="I256" s="4" t="str">
        <f t="shared" si="33"/>
        <v>NO</v>
      </c>
      <c r="J256" t="s">
        <v>597</v>
      </c>
    </row>
    <row r="257" spans="4:10" x14ac:dyDescent="0.25">
      <c r="D257" s="4" t="e">
        <f t="shared" si="28"/>
        <v>#N/A</v>
      </c>
      <c r="E257" t="str">
        <f t="shared" si="29"/>
        <v>TowerRedundantHorizontalBoltEdgeDistance4</v>
      </c>
      <c r="F257" s="4" t="str">
        <f t="shared" si="30"/>
        <v>NO</v>
      </c>
      <c r="G257" s="4" t="str">
        <f t="shared" si="31"/>
        <v>NO</v>
      </c>
      <c r="H257" s="4" t="str">
        <f t="shared" si="32"/>
        <v>NO</v>
      </c>
      <c r="I257" s="4" t="str">
        <f t="shared" si="33"/>
        <v>NO</v>
      </c>
      <c r="J257" t="s">
        <v>598</v>
      </c>
    </row>
    <row r="258" spans="4:10" x14ac:dyDescent="0.25">
      <c r="D258" s="4" t="e">
        <f t="shared" si="28"/>
        <v>#N/A</v>
      </c>
      <c r="E258" t="str">
        <f t="shared" si="29"/>
        <v>TowerRedundantHorizontalGageG1Distance4</v>
      </c>
      <c r="F258" s="4" t="str">
        <f t="shared" si="30"/>
        <v>NO</v>
      </c>
      <c r="G258" s="4" t="str">
        <f t="shared" si="31"/>
        <v>NO</v>
      </c>
      <c r="H258" s="4" t="str">
        <f t="shared" si="32"/>
        <v>NO</v>
      </c>
      <c r="I258" s="4" t="str">
        <f t="shared" si="33"/>
        <v>NO</v>
      </c>
      <c r="J258" t="s">
        <v>599</v>
      </c>
    </row>
    <row r="259" spans="4:10" x14ac:dyDescent="0.25">
      <c r="D259" s="4" t="e">
        <f t="shared" si="28"/>
        <v>#N/A</v>
      </c>
      <c r="E259" t="str">
        <f t="shared" si="29"/>
        <v>TowerRedundantHorizontalNetWidthDeduct4</v>
      </c>
      <c r="F259" s="4" t="str">
        <f t="shared" si="30"/>
        <v>NO</v>
      </c>
      <c r="G259" s="4" t="str">
        <f t="shared" si="31"/>
        <v>NO</v>
      </c>
      <c r="H259" s="4" t="str">
        <f t="shared" si="32"/>
        <v>NO</v>
      </c>
      <c r="I259" s="4" t="str">
        <f t="shared" si="33"/>
        <v>NO</v>
      </c>
      <c r="J259" t="s">
        <v>600</v>
      </c>
    </row>
    <row r="260" spans="4:10" x14ac:dyDescent="0.25">
      <c r="D260" s="4" t="e">
        <f t="shared" si="28"/>
        <v>#N/A</v>
      </c>
      <c r="E260" t="str">
        <f t="shared" si="29"/>
        <v>TowerRedundantHorizontalUFactor4</v>
      </c>
      <c r="F260" s="4" t="str">
        <f t="shared" si="30"/>
        <v>NO</v>
      </c>
      <c r="G260" s="4" t="str">
        <f t="shared" si="31"/>
        <v>NO</v>
      </c>
      <c r="H260" s="4" t="str">
        <f t="shared" si="32"/>
        <v>NO</v>
      </c>
      <c r="I260" s="4" t="str">
        <f t="shared" si="33"/>
        <v>NO</v>
      </c>
      <c r="J260" t="s">
        <v>601</v>
      </c>
    </row>
    <row r="261" spans="4:10" x14ac:dyDescent="0.25">
      <c r="D261" s="4" t="e">
        <f t="shared" ref="D261:D324" si="36">MATCH(C261,E:E,0)</f>
        <v>#N/A</v>
      </c>
      <c r="E261" t="str">
        <f t="shared" ref="E261:E324" si="37">(J261)</f>
        <v>TowerRedundantDiagonalBoltGrade1</v>
      </c>
      <c r="F261" s="4" t="str">
        <f t="shared" ref="F261:F324" si="38">IFERROR(IF(MATCH(E261,C:C,0)&gt;0,"YES"),"NO")</f>
        <v>NO</v>
      </c>
      <c r="G261" s="4" t="str">
        <f t="shared" ref="G261:G324" si="39">IFERROR(IF(MATCH(E261,N:N,0)&gt;0,"YES"),"NO")</f>
        <v>NO</v>
      </c>
      <c r="H261" s="4" t="str">
        <f t="shared" ref="H261:H324" si="40">IFERROR(IF(MATCH(E261,S:S,0)&gt;0,"YES"),"NO")</f>
        <v>NO</v>
      </c>
      <c r="I261" s="4" t="str">
        <f t="shared" ref="I261:I324" si="41">IF(OR(F261="NO",G261="NO"),"NO","YES")</f>
        <v>NO</v>
      </c>
      <c r="J261" t="s">
        <v>602</v>
      </c>
    </row>
    <row r="262" spans="4:10" x14ac:dyDescent="0.25">
      <c r="D262" s="4" t="e">
        <f t="shared" si="36"/>
        <v>#N/A</v>
      </c>
      <c r="E262" t="str">
        <f t="shared" si="37"/>
        <v>TowerRedundantDiagonalBoltSize1</v>
      </c>
      <c r="F262" s="4" t="str">
        <f t="shared" si="38"/>
        <v>NO</v>
      </c>
      <c r="G262" s="4" t="str">
        <f t="shared" si="39"/>
        <v>NO</v>
      </c>
      <c r="H262" s="4" t="str">
        <f t="shared" si="40"/>
        <v>NO</v>
      </c>
      <c r="I262" s="4" t="str">
        <f t="shared" si="41"/>
        <v>NO</v>
      </c>
      <c r="J262" t="s">
        <v>603</v>
      </c>
    </row>
    <row r="263" spans="4:10" x14ac:dyDescent="0.25">
      <c r="D263" s="4" t="e">
        <f t="shared" si="36"/>
        <v>#N/A</v>
      </c>
      <c r="E263" t="str">
        <f t="shared" si="37"/>
        <v>TowerRedundantDiagonalNumBolts1</v>
      </c>
      <c r="F263" s="4" t="str">
        <f t="shared" si="38"/>
        <v>NO</v>
      </c>
      <c r="G263" s="4" t="str">
        <f t="shared" si="39"/>
        <v>NO</v>
      </c>
      <c r="H263" s="4" t="str">
        <f t="shared" si="40"/>
        <v>NO</v>
      </c>
      <c r="I263" s="4" t="str">
        <f t="shared" si="41"/>
        <v>NO</v>
      </c>
      <c r="J263" t="s">
        <v>604</v>
      </c>
    </row>
    <row r="264" spans="4:10" x14ac:dyDescent="0.25">
      <c r="D264" s="4" t="e">
        <f t="shared" si="36"/>
        <v>#N/A</v>
      </c>
      <c r="E264" t="str">
        <f t="shared" si="37"/>
        <v>TowerRedundantDiagonalBoltEdgeDistance1</v>
      </c>
      <c r="F264" s="4" t="str">
        <f t="shared" si="38"/>
        <v>NO</v>
      </c>
      <c r="G264" s="4" t="str">
        <f t="shared" si="39"/>
        <v>NO</v>
      </c>
      <c r="H264" s="4" t="str">
        <f t="shared" si="40"/>
        <v>NO</v>
      </c>
      <c r="I264" s="4" t="str">
        <f t="shared" si="41"/>
        <v>NO</v>
      </c>
      <c r="J264" t="s">
        <v>605</v>
      </c>
    </row>
    <row r="265" spans="4:10" x14ac:dyDescent="0.25">
      <c r="D265" s="4" t="e">
        <f t="shared" si="36"/>
        <v>#N/A</v>
      </c>
      <c r="E265" t="str">
        <f t="shared" si="37"/>
        <v>TowerRedundantDiagonalGageG1Distance1</v>
      </c>
      <c r="F265" s="4" t="str">
        <f t="shared" si="38"/>
        <v>NO</v>
      </c>
      <c r="G265" s="4" t="str">
        <f t="shared" si="39"/>
        <v>NO</v>
      </c>
      <c r="H265" s="4" t="str">
        <f t="shared" si="40"/>
        <v>NO</v>
      </c>
      <c r="I265" s="4" t="str">
        <f t="shared" si="41"/>
        <v>NO</v>
      </c>
      <c r="J265" t="s">
        <v>606</v>
      </c>
    </row>
    <row r="266" spans="4:10" x14ac:dyDescent="0.25">
      <c r="D266" s="4" t="e">
        <f t="shared" si="36"/>
        <v>#N/A</v>
      </c>
      <c r="E266" t="str">
        <f t="shared" si="37"/>
        <v>TowerRedundantDiagonalNetWidthDeduct1</v>
      </c>
      <c r="F266" s="4" t="str">
        <f t="shared" si="38"/>
        <v>NO</v>
      </c>
      <c r="G266" s="4" t="str">
        <f t="shared" si="39"/>
        <v>NO</v>
      </c>
      <c r="H266" s="4" t="str">
        <f t="shared" si="40"/>
        <v>NO</v>
      </c>
      <c r="I266" s="4" t="str">
        <f t="shared" si="41"/>
        <v>NO</v>
      </c>
      <c r="J266" t="s">
        <v>607</v>
      </c>
    </row>
    <row r="267" spans="4:10" x14ac:dyDescent="0.25">
      <c r="D267" s="4" t="e">
        <f t="shared" si="36"/>
        <v>#N/A</v>
      </c>
      <c r="E267" t="str">
        <f t="shared" si="37"/>
        <v>TowerRedundantDiagonalUFactor1</v>
      </c>
      <c r="F267" s="4" t="str">
        <f t="shared" si="38"/>
        <v>NO</v>
      </c>
      <c r="G267" s="4" t="str">
        <f t="shared" si="39"/>
        <v>NO</v>
      </c>
      <c r="H267" s="4" t="str">
        <f t="shared" si="40"/>
        <v>NO</v>
      </c>
      <c r="I267" s="4" t="str">
        <f t="shared" si="41"/>
        <v>NO</v>
      </c>
      <c r="J267" t="s">
        <v>608</v>
      </c>
    </row>
    <row r="268" spans="4:10" x14ac:dyDescent="0.25">
      <c r="D268" s="4" t="e">
        <f t="shared" si="36"/>
        <v>#N/A</v>
      </c>
      <c r="E268" t="str">
        <f t="shared" si="37"/>
        <v>TowerRedundantDiagonalBoltGrade2</v>
      </c>
      <c r="F268" s="4" t="str">
        <f t="shared" si="38"/>
        <v>NO</v>
      </c>
      <c r="G268" s="4" t="str">
        <f t="shared" si="39"/>
        <v>NO</v>
      </c>
      <c r="H268" s="4" t="str">
        <f t="shared" si="40"/>
        <v>NO</v>
      </c>
      <c r="I268" s="4" t="str">
        <f t="shared" si="41"/>
        <v>NO</v>
      </c>
      <c r="J268" t="s">
        <v>609</v>
      </c>
    </row>
    <row r="269" spans="4:10" x14ac:dyDescent="0.25">
      <c r="D269" s="4" t="e">
        <f t="shared" si="36"/>
        <v>#N/A</v>
      </c>
      <c r="E269" t="str">
        <f t="shared" si="37"/>
        <v>TowerRedundantDiagonalBoltSize2</v>
      </c>
      <c r="F269" s="4" t="str">
        <f t="shared" si="38"/>
        <v>NO</v>
      </c>
      <c r="G269" s="4" t="str">
        <f t="shared" si="39"/>
        <v>NO</v>
      </c>
      <c r="H269" s="4" t="str">
        <f t="shared" si="40"/>
        <v>NO</v>
      </c>
      <c r="I269" s="4" t="str">
        <f t="shared" si="41"/>
        <v>NO</v>
      </c>
      <c r="J269" t="s">
        <v>610</v>
      </c>
    </row>
    <row r="270" spans="4:10" x14ac:dyDescent="0.25">
      <c r="D270" s="4" t="e">
        <f t="shared" si="36"/>
        <v>#N/A</v>
      </c>
      <c r="E270" t="str">
        <f t="shared" si="37"/>
        <v>TowerRedundantDiagonalNumBolts2</v>
      </c>
      <c r="F270" s="4" t="str">
        <f t="shared" si="38"/>
        <v>NO</v>
      </c>
      <c r="G270" s="4" t="str">
        <f t="shared" si="39"/>
        <v>NO</v>
      </c>
      <c r="H270" s="4" t="str">
        <f t="shared" si="40"/>
        <v>NO</v>
      </c>
      <c r="I270" s="4" t="str">
        <f t="shared" si="41"/>
        <v>NO</v>
      </c>
      <c r="J270" t="s">
        <v>611</v>
      </c>
    </row>
    <row r="271" spans="4:10" x14ac:dyDescent="0.25">
      <c r="D271" s="4" t="e">
        <f t="shared" si="36"/>
        <v>#N/A</v>
      </c>
      <c r="E271" t="str">
        <f t="shared" si="37"/>
        <v>TowerRedundantDiagonalBoltEdgeDistance2</v>
      </c>
      <c r="F271" s="4" t="str">
        <f t="shared" si="38"/>
        <v>NO</v>
      </c>
      <c r="G271" s="4" t="str">
        <f t="shared" si="39"/>
        <v>NO</v>
      </c>
      <c r="H271" s="4" t="str">
        <f t="shared" si="40"/>
        <v>NO</v>
      </c>
      <c r="I271" s="4" t="str">
        <f t="shared" si="41"/>
        <v>NO</v>
      </c>
      <c r="J271" t="s">
        <v>612</v>
      </c>
    </row>
    <row r="272" spans="4:10" x14ac:dyDescent="0.25">
      <c r="D272" s="4" t="e">
        <f t="shared" si="36"/>
        <v>#N/A</v>
      </c>
      <c r="E272" t="str">
        <f t="shared" si="37"/>
        <v>TowerRedundantDiagonalGageG1Distance2</v>
      </c>
      <c r="F272" s="4" t="str">
        <f t="shared" si="38"/>
        <v>NO</v>
      </c>
      <c r="G272" s="4" t="str">
        <f t="shared" si="39"/>
        <v>NO</v>
      </c>
      <c r="H272" s="4" t="str">
        <f t="shared" si="40"/>
        <v>NO</v>
      </c>
      <c r="I272" s="4" t="str">
        <f t="shared" si="41"/>
        <v>NO</v>
      </c>
      <c r="J272" t="s">
        <v>613</v>
      </c>
    </row>
    <row r="273" spans="4:10" x14ac:dyDescent="0.25">
      <c r="D273" s="4" t="e">
        <f t="shared" si="36"/>
        <v>#N/A</v>
      </c>
      <c r="E273" t="str">
        <f t="shared" si="37"/>
        <v>TowerRedundantDiagonalNetWidthDeduct2</v>
      </c>
      <c r="F273" s="4" t="str">
        <f t="shared" si="38"/>
        <v>NO</v>
      </c>
      <c r="G273" s="4" t="str">
        <f t="shared" si="39"/>
        <v>NO</v>
      </c>
      <c r="H273" s="4" t="str">
        <f t="shared" si="40"/>
        <v>NO</v>
      </c>
      <c r="I273" s="4" t="str">
        <f t="shared" si="41"/>
        <v>NO</v>
      </c>
      <c r="J273" t="s">
        <v>614</v>
      </c>
    </row>
    <row r="274" spans="4:10" x14ac:dyDescent="0.25">
      <c r="D274" s="4" t="e">
        <f t="shared" si="36"/>
        <v>#N/A</v>
      </c>
      <c r="E274" t="str">
        <f t="shared" si="37"/>
        <v>TowerRedundantDiagonalUFactor2</v>
      </c>
      <c r="F274" s="4" t="str">
        <f t="shared" si="38"/>
        <v>NO</v>
      </c>
      <c r="G274" s="4" t="str">
        <f t="shared" si="39"/>
        <v>NO</v>
      </c>
      <c r="H274" s="4" t="str">
        <f t="shared" si="40"/>
        <v>NO</v>
      </c>
      <c r="I274" s="4" t="str">
        <f t="shared" si="41"/>
        <v>NO</v>
      </c>
      <c r="J274" t="s">
        <v>615</v>
      </c>
    </row>
    <row r="275" spans="4:10" x14ac:dyDescent="0.25">
      <c r="D275" s="4" t="e">
        <f t="shared" si="36"/>
        <v>#N/A</v>
      </c>
      <c r="E275" t="str">
        <f t="shared" si="37"/>
        <v>TowerRedundantDiagonalBoltGrade3</v>
      </c>
      <c r="F275" s="4" t="str">
        <f t="shared" si="38"/>
        <v>NO</v>
      </c>
      <c r="G275" s="4" t="str">
        <f t="shared" si="39"/>
        <v>NO</v>
      </c>
      <c r="H275" s="4" t="str">
        <f t="shared" si="40"/>
        <v>NO</v>
      </c>
      <c r="I275" s="4" t="str">
        <f t="shared" si="41"/>
        <v>NO</v>
      </c>
      <c r="J275" t="s">
        <v>616</v>
      </c>
    </row>
    <row r="276" spans="4:10" x14ac:dyDescent="0.25">
      <c r="D276" s="4" t="e">
        <f t="shared" si="36"/>
        <v>#N/A</v>
      </c>
      <c r="E276" t="str">
        <f t="shared" si="37"/>
        <v>TowerRedundantDiagonalBoltSize3</v>
      </c>
      <c r="F276" s="4" t="str">
        <f t="shared" si="38"/>
        <v>NO</v>
      </c>
      <c r="G276" s="4" t="str">
        <f t="shared" si="39"/>
        <v>NO</v>
      </c>
      <c r="H276" s="4" t="str">
        <f t="shared" si="40"/>
        <v>NO</v>
      </c>
      <c r="I276" s="4" t="str">
        <f t="shared" si="41"/>
        <v>NO</v>
      </c>
      <c r="J276" t="s">
        <v>617</v>
      </c>
    </row>
    <row r="277" spans="4:10" x14ac:dyDescent="0.25">
      <c r="D277" s="4" t="e">
        <f t="shared" si="36"/>
        <v>#N/A</v>
      </c>
      <c r="E277" t="str">
        <f t="shared" si="37"/>
        <v>TowerRedundantDiagonalNumBolts3</v>
      </c>
      <c r="F277" s="4" t="str">
        <f t="shared" si="38"/>
        <v>NO</v>
      </c>
      <c r="G277" s="4" t="str">
        <f t="shared" si="39"/>
        <v>NO</v>
      </c>
      <c r="H277" s="4" t="str">
        <f t="shared" si="40"/>
        <v>NO</v>
      </c>
      <c r="I277" s="4" t="str">
        <f t="shared" si="41"/>
        <v>NO</v>
      </c>
      <c r="J277" t="s">
        <v>618</v>
      </c>
    </row>
    <row r="278" spans="4:10" x14ac:dyDescent="0.25">
      <c r="D278" s="4" t="e">
        <f t="shared" si="36"/>
        <v>#N/A</v>
      </c>
      <c r="E278" t="str">
        <f t="shared" si="37"/>
        <v>TowerRedundantDiagonalBoltEdgeDistance3</v>
      </c>
      <c r="F278" s="4" t="str">
        <f t="shared" si="38"/>
        <v>NO</v>
      </c>
      <c r="G278" s="4" t="str">
        <f t="shared" si="39"/>
        <v>NO</v>
      </c>
      <c r="H278" s="4" t="str">
        <f t="shared" si="40"/>
        <v>NO</v>
      </c>
      <c r="I278" s="4" t="str">
        <f t="shared" si="41"/>
        <v>NO</v>
      </c>
      <c r="J278" t="s">
        <v>619</v>
      </c>
    </row>
    <row r="279" spans="4:10" x14ac:dyDescent="0.25">
      <c r="D279" s="4" t="e">
        <f t="shared" si="36"/>
        <v>#N/A</v>
      </c>
      <c r="E279" t="str">
        <f t="shared" si="37"/>
        <v>TowerRedundantDiagonalGageG1Distance3</v>
      </c>
      <c r="F279" s="4" t="str">
        <f t="shared" si="38"/>
        <v>NO</v>
      </c>
      <c r="G279" s="4" t="str">
        <f t="shared" si="39"/>
        <v>NO</v>
      </c>
      <c r="H279" s="4" t="str">
        <f t="shared" si="40"/>
        <v>NO</v>
      </c>
      <c r="I279" s="4" t="str">
        <f t="shared" si="41"/>
        <v>NO</v>
      </c>
      <c r="J279" t="s">
        <v>620</v>
      </c>
    </row>
    <row r="280" spans="4:10" x14ac:dyDescent="0.25">
      <c r="D280" s="4" t="e">
        <f t="shared" si="36"/>
        <v>#N/A</v>
      </c>
      <c r="E280" t="str">
        <f t="shared" si="37"/>
        <v>TowerRedundantDiagonalNetWidthDeduct3</v>
      </c>
      <c r="F280" s="4" t="str">
        <f t="shared" si="38"/>
        <v>NO</v>
      </c>
      <c r="G280" s="4" t="str">
        <f t="shared" si="39"/>
        <v>NO</v>
      </c>
      <c r="H280" s="4" t="str">
        <f t="shared" si="40"/>
        <v>NO</v>
      </c>
      <c r="I280" s="4" t="str">
        <f t="shared" si="41"/>
        <v>NO</v>
      </c>
      <c r="J280" t="s">
        <v>621</v>
      </c>
    </row>
    <row r="281" spans="4:10" x14ac:dyDescent="0.25">
      <c r="D281" s="4" t="e">
        <f t="shared" si="36"/>
        <v>#N/A</v>
      </c>
      <c r="E281" t="str">
        <f t="shared" si="37"/>
        <v>TowerRedundantDiagonalUFactor3</v>
      </c>
      <c r="F281" s="4" t="str">
        <f t="shared" si="38"/>
        <v>NO</v>
      </c>
      <c r="G281" s="4" t="str">
        <f t="shared" si="39"/>
        <v>NO</v>
      </c>
      <c r="H281" s="4" t="str">
        <f t="shared" si="40"/>
        <v>NO</v>
      </c>
      <c r="I281" s="4" t="str">
        <f t="shared" si="41"/>
        <v>NO</v>
      </c>
      <c r="J281" t="s">
        <v>622</v>
      </c>
    </row>
    <row r="282" spans="4:10" x14ac:dyDescent="0.25">
      <c r="D282" s="4" t="e">
        <f t="shared" si="36"/>
        <v>#N/A</v>
      </c>
      <c r="E282" t="str">
        <f t="shared" si="37"/>
        <v>TowerRedundantDiagonalBoltGrade4</v>
      </c>
      <c r="F282" s="4" t="str">
        <f t="shared" si="38"/>
        <v>NO</v>
      </c>
      <c r="G282" s="4" t="str">
        <f t="shared" si="39"/>
        <v>NO</v>
      </c>
      <c r="H282" s="4" t="str">
        <f t="shared" si="40"/>
        <v>NO</v>
      </c>
      <c r="I282" s="4" t="str">
        <f t="shared" si="41"/>
        <v>NO</v>
      </c>
      <c r="J282" t="s">
        <v>623</v>
      </c>
    </row>
    <row r="283" spans="4:10" x14ac:dyDescent="0.25">
      <c r="D283" s="4" t="e">
        <f t="shared" si="36"/>
        <v>#N/A</v>
      </c>
      <c r="E283" t="str">
        <f t="shared" si="37"/>
        <v>TowerRedundantDiagonalBoltSize4</v>
      </c>
      <c r="F283" s="4" t="str">
        <f t="shared" si="38"/>
        <v>NO</v>
      </c>
      <c r="G283" s="4" t="str">
        <f t="shared" si="39"/>
        <v>NO</v>
      </c>
      <c r="H283" s="4" t="str">
        <f t="shared" si="40"/>
        <v>NO</v>
      </c>
      <c r="I283" s="4" t="str">
        <f t="shared" si="41"/>
        <v>NO</v>
      </c>
      <c r="J283" t="s">
        <v>624</v>
      </c>
    </row>
    <row r="284" spans="4:10" x14ac:dyDescent="0.25">
      <c r="D284" s="4" t="e">
        <f t="shared" si="36"/>
        <v>#N/A</v>
      </c>
      <c r="E284" t="str">
        <f t="shared" si="37"/>
        <v>TowerRedundantDiagonalNumBolts4</v>
      </c>
      <c r="F284" s="4" t="str">
        <f t="shared" si="38"/>
        <v>NO</v>
      </c>
      <c r="G284" s="4" t="str">
        <f t="shared" si="39"/>
        <v>NO</v>
      </c>
      <c r="H284" s="4" t="str">
        <f t="shared" si="40"/>
        <v>NO</v>
      </c>
      <c r="I284" s="4" t="str">
        <f t="shared" si="41"/>
        <v>NO</v>
      </c>
      <c r="J284" t="s">
        <v>625</v>
      </c>
    </row>
    <row r="285" spans="4:10" x14ac:dyDescent="0.25">
      <c r="D285" s="4" t="e">
        <f t="shared" si="36"/>
        <v>#N/A</v>
      </c>
      <c r="E285" t="str">
        <f t="shared" si="37"/>
        <v>TowerRedundantDiagonalBoltEdgeDistance4</v>
      </c>
      <c r="F285" s="4" t="str">
        <f t="shared" si="38"/>
        <v>NO</v>
      </c>
      <c r="G285" s="4" t="str">
        <f t="shared" si="39"/>
        <v>NO</v>
      </c>
      <c r="H285" s="4" t="str">
        <f t="shared" si="40"/>
        <v>NO</v>
      </c>
      <c r="I285" s="4" t="str">
        <f t="shared" si="41"/>
        <v>NO</v>
      </c>
      <c r="J285" t="s">
        <v>626</v>
      </c>
    </row>
    <row r="286" spans="4:10" x14ac:dyDescent="0.25">
      <c r="D286" s="4" t="e">
        <f t="shared" si="36"/>
        <v>#N/A</v>
      </c>
      <c r="E286" t="str">
        <f t="shared" si="37"/>
        <v>TowerRedundantDiagonalGageG1Distance4</v>
      </c>
      <c r="F286" s="4" t="str">
        <f t="shared" si="38"/>
        <v>NO</v>
      </c>
      <c r="G286" s="4" t="str">
        <f t="shared" si="39"/>
        <v>NO</v>
      </c>
      <c r="H286" s="4" t="str">
        <f t="shared" si="40"/>
        <v>NO</v>
      </c>
      <c r="I286" s="4" t="str">
        <f t="shared" si="41"/>
        <v>NO</v>
      </c>
      <c r="J286" t="s">
        <v>627</v>
      </c>
    </row>
    <row r="287" spans="4:10" x14ac:dyDescent="0.25">
      <c r="D287" s="4" t="e">
        <f t="shared" si="36"/>
        <v>#N/A</v>
      </c>
      <c r="E287" t="str">
        <f t="shared" si="37"/>
        <v>TowerRedundantDiagonalNetWidthDeduct4</v>
      </c>
      <c r="F287" s="4" t="str">
        <f t="shared" si="38"/>
        <v>NO</v>
      </c>
      <c r="G287" s="4" t="str">
        <f t="shared" si="39"/>
        <v>NO</v>
      </c>
      <c r="H287" s="4" t="str">
        <f t="shared" si="40"/>
        <v>NO</v>
      </c>
      <c r="I287" s="4" t="str">
        <f t="shared" si="41"/>
        <v>NO</v>
      </c>
      <c r="J287" t="s">
        <v>628</v>
      </c>
    </row>
    <row r="288" spans="4:10" x14ac:dyDescent="0.25">
      <c r="D288" s="4" t="e">
        <f t="shared" si="36"/>
        <v>#N/A</v>
      </c>
      <c r="E288" t="str">
        <f t="shared" si="37"/>
        <v>TowerRedundantDiagonalUFactor4</v>
      </c>
      <c r="F288" s="4" t="str">
        <f t="shared" si="38"/>
        <v>NO</v>
      </c>
      <c r="G288" s="4" t="str">
        <f t="shared" si="39"/>
        <v>NO</v>
      </c>
      <c r="H288" s="4" t="str">
        <f t="shared" si="40"/>
        <v>NO</v>
      </c>
      <c r="I288" s="4" t="str">
        <f t="shared" si="41"/>
        <v>NO</v>
      </c>
      <c r="J288" t="s">
        <v>629</v>
      </c>
    </row>
    <row r="289" spans="4:10" hidden="1" x14ac:dyDescent="0.25">
      <c r="D289" s="4" t="e">
        <f t="shared" si="36"/>
        <v>#N/A</v>
      </c>
      <c r="E289" t="str">
        <f t="shared" si="37"/>
        <v>TowerRedundantSubDiagonalBoltGrade</v>
      </c>
      <c r="F289" s="4" t="str">
        <f t="shared" si="38"/>
        <v>YES</v>
      </c>
      <c r="G289" s="4" t="str">
        <f t="shared" si="39"/>
        <v>YES</v>
      </c>
      <c r="H289" s="4" t="str">
        <f t="shared" si="40"/>
        <v>NO</v>
      </c>
      <c r="I289" s="4" t="str">
        <f t="shared" si="41"/>
        <v>YES</v>
      </c>
      <c r="J289" t="s">
        <v>630</v>
      </c>
    </row>
    <row r="290" spans="4:10" hidden="1" x14ac:dyDescent="0.25">
      <c r="D290" s="4" t="e">
        <f t="shared" si="36"/>
        <v>#N/A</v>
      </c>
      <c r="E290" t="str">
        <f t="shared" si="37"/>
        <v>TowerRedundantSubDiagonalBoltSize</v>
      </c>
      <c r="F290" s="4" t="str">
        <f t="shared" si="38"/>
        <v>YES</v>
      </c>
      <c r="G290" s="4" t="str">
        <f t="shared" si="39"/>
        <v>YES</v>
      </c>
      <c r="H290" s="4" t="str">
        <f t="shared" si="40"/>
        <v>NO</v>
      </c>
      <c r="I290" s="4" t="str">
        <f t="shared" si="41"/>
        <v>YES</v>
      </c>
      <c r="J290" t="s">
        <v>631</v>
      </c>
    </row>
    <row r="291" spans="4:10" hidden="1" x14ac:dyDescent="0.25">
      <c r="D291" s="4" t="e">
        <f t="shared" si="36"/>
        <v>#N/A</v>
      </c>
      <c r="E291" t="str">
        <f t="shared" si="37"/>
        <v>TowerRedundantSubDiagonalNumBolts</v>
      </c>
      <c r="F291" s="4" t="str">
        <f t="shared" si="38"/>
        <v>YES</v>
      </c>
      <c r="G291" s="4" t="str">
        <f t="shared" si="39"/>
        <v>YES</v>
      </c>
      <c r="H291" s="4" t="str">
        <f t="shared" si="40"/>
        <v>NO</v>
      </c>
      <c r="I291" s="4" t="str">
        <f t="shared" si="41"/>
        <v>YES</v>
      </c>
      <c r="J291" t="s">
        <v>632</v>
      </c>
    </row>
    <row r="292" spans="4:10" hidden="1" x14ac:dyDescent="0.25">
      <c r="D292" s="4" t="e">
        <f t="shared" si="36"/>
        <v>#N/A</v>
      </c>
      <c r="E292" t="str">
        <f t="shared" si="37"/>
        <v>TowerRedundantSubDiagonalBoltEdgeDistance</v>
      </c>
      <c r="F292" s="4" t="str">
        <f t="shared" si="38"/>
        <v>YES</v>
      </c>
      <c r="G292" s="4" t="str">
        <f t="shared" si="39"/>
        <v>YES</v>
      </c>
      <c r="H292" s="4" t="str">
        <f t="shared" si="40"/>
        <v>NO</v>
      </c>
      <c r="I292" s="4" t="str">
        <f t="shared" si="41"/>
        <v>YES</v>
      </c>
      <c r="J292" t="s">
        <v>633</v>
      </c>
    </row>
    <row r="293" spans="4:10" hidden="1" x14ac:dyDescent="0.25">
      <c r="D293" s="4" t="e">
        <f t="shared" si="36"/>
        <v>#N/A</v>
      </c>
      <c r="E293" t="str">
        <f t="shared" si="37"/>
        <v>TowerRedundantSubDiagonalGageG1Distance</v>
      </c>
      <c r="F293" s="4" t="str">
        <f t="shared" si="38"/>
        <v>YES</v>
      </c>
      <c r="G293" s="4" t="str">
        <f t="shared" si="39"/>
        <v>YES</v>
      </c>
      <c r="H293" s="4" t="str">
        <f t="shared" si="40"/>
        <v>NO</v>
      </c>
      <c r="I293" s="4" t="str">
        <f t="shared" si="41"/>
        <v>YES</v>
      </c>
      <c r="J293" t="s">
        <v>634</v>
      </c>
    </row>
    <row r="294" spans="4:10" hidden="1" x14ac:dyDescent="0.25">
      <c r="D294" s="4" t="e">
        <f t="shared" si="36"/>
        <v>#N/A</v>
      </c>
      <c r="E294" t="str">
        <f t="shared" si="37"/>
        <v>TowerRedundantSubDiagonalNetWidthDeduct</v>
      </c>
      <c r="F294" s="4" t="str">
        <f t="shared" si="38"/>
        <v>YES</v>
      </c>
      <c r="G294" s="4" t="str">
        <f t="shared" si="39"/>
        <v>YES</v>
      </c>
      <c r="H294" s="4" t="str">
        <f t="shared" si="40"/>
        <v>NO</v>
      </c>
      <c r="I294" s="4" t="str">
        <f t="shared" si="41"/>
        <v>YES</v>
      </c>
      <c r="J294" t="s">
        <v>635</v>
      </c>
    </row>
    <row r="295" spans="4:10" hidden="1" x14ac:dyDescent="0.25">
      <c r="D295" s="4" t="e">
        <f t="shared" si="36"/>
        <v>#N/A</v>
      </c>
      <c r="E295" t="str">
        <f t="shared" si="37"/>
        <v>TowerRedundantSubDiagonalUFactor</v>
      </c>
      <c r="F295" s="4" t="str">
        <f t="shared" si="38"/>
        <v>YES</v>
      </c>
      <c r="G295" s="4" t="str">
        <f t="shared" si="39"/>
        <v>YES</v>
      </c>
      <c r="H295" s="4" t="str">
        <f t="shared" si="40"/>
        <v>NO</v>
      </c>
      <c r="I295" s="4" t="str">
        <f t="shared" si="41"/>
        <v>YES</v>
      </c>
      <c r="J295" t="s">
        <v>636</v>
      </c>
    </row>
    <row r="296" spans="4:10" hidden="1" x14ac:dyDescent="0.25">
      <c r="D296" s="4" t="e">
        <f t="shared" si="36"/>
        <v>#N/A</v>
      </c>
      <c r="E296" t="str">
        <f t="shared" si="37"/>
        <v>TowerRedundantSubHorizontalBoltGrade</v>
      </c>
      <c r="F296" s="4" t="str">
        <f t="shared" si="38"/>
        <v>YES</v>
      </c>
      <c r="G296" s="4" t="str">
        <f t="shared" si="39"/>
        <v>YES</v>
      </c>
      <c r="H296" s="4" t="str">
        <f t="shared" si="40"/>
        <v>NO</v>
      </c>
      <c r="I296" s="4" t="str">
        <f t="shared" si="41"/>
        <v>YES</v>
      </c>
      <c r="J296" t="s">
        <v>637</v>
      </c>
    </row>
    <row r="297" spans="4:10" hidden="1" x14ac:dyDescent="0.25">
      <c r="D297" s="4" t="e">
        <f t="shared" si="36"/>
        <v>#N/A</v>
      </c>
      <c r="E297" t="str">
        <f t="shared" si="37"/>
        <v>TowerRedundantSubHorizontalBoltSize</v>
      </c>
      <c r="F297" s="4" t="str">
        <f t="shared" si="38"/>
        <v>YES</v>
      </c>
      <c r="G297" s="4" t="str">
        <f t="shared" si="39"/>
        <v>YES</v>
      </c>
      <c r="H297" s="4" t="str">
        <f t="shared" si="40"/>
        <v>NO</v>
      </c>
      <c r="I297" s="4" t="str">
        <f t="shared" si="41"/>
        <v>YES</v>
      </c>
      <c r="J297" t="s">
        <v>638</v>
      </c>
    </row>
    <row r="298" spans="4:10" hidden="1" x14ac:dyDescent="0.25">
      <c r="D298" s="4" t="e">
        <f t="shared" si="36"/>
        <v>#N/A</v>
      </c>
      <c r="E298" t="str">
        <f t="shared" si="37"/>
        <v>TowerRedundantSubHorizontalNumBolts</v>
      </c>
      <c r="F298" s="4" t="str">
        <f t="shared" si="38"/>
        <v>YES</v>
      </c>
      <c r="G298" s="4" t="str">
        <f t="shared" si="39"/>
        <v>YES</v>
      </c>
      <c r="H298" s="4" t="str">
        <f t="shared" si="40"/>
        <v>NO</v>
      </c>
      <c r="I298" s="4" t="str">
        <f t="shared" si="41"/>
        <v>YES</v>
      </c>
      <c r="J298" t="s">
        <v>639</v>
      </c>
    </row>
    <row r="299" spans="4:10" hidden="1" x14ac:dyDescent="0.25">
      <c r="D299" s="4" t="e">
        <f t="shared" si="36"/>
        <v>#N/A</v>
      </c>
      <c r="E299" t="str">
        <f t="shared" si="37"/>
        <v>TowerRedundantSubHorizontalBoltEdgeDistance</v>
      </c>
      <c r="F299" s="4" t="str">
        <f t="shared" si="38"/>
        <v>YES</v>
      </c>
      <c r="G299" s="4" t="str">
        <f t="shared" si="39"/>
        <v>YES</v>
      </c>
      <c r="H299" s="4" t="str">
        <f t="shared" si="40"/>
        <v>NO</v>
      </c>
      <c r="I299" s="4" t="str">
        <f t="shared" si="41"/>
        <v>YES</v>
      </c>
      <c r="J299" t="s">
        <v>640</v>
      </c>
    </row>
    <row r="300" spans="4:10" hidden="1" x14ac:dyDescent="0.25">
      <c r="D300" s="4" t="e">
        <f t="shared" si="36"/>
        <v>#N/A</v>
      </c>
      <c r="E300" t="str">
        <f t="shared" si="37"/>
        <v>TowerRedundantSubHorizontalGageG1Distance</v>
      </c>
      <c r="F300" s="4" t="str">
        <f t="shared" si="38"/>
        <v>YES</v>
      </c>
      <c r="G300" s="4" t="str">
        <f t="shared" si="39"/>
        <v>YES</v>
      </c>
      <c r="H300" s="4" t="str">
        <f t="shared" si="40"/>
        <v>NO</v>
      </c>
      <c r="I300" s="4" t="str">
        <f t="shared" si="41"/>
        <v>YES</v>
      </c>
      <c r="J300" t="s">
        <v>641</v>
      </c>
    </row>
    <row r="301" spans="4:10" hidden="1" x14ac:dyDescent="0.25">
      <c r="D301" s="4" t="e">
        <f t="shared" si="36"/>
        <v>#N/A</v>
      </c>
      <c r="E301" t="str">
        <f t="shared" si="37"/>
        <v>TowerRedundantSubHorizontalNetWidthDeduct</v>
      </c>
      <c r="F301" s="4" t="str">
        <f t="shared" si="38"/>
        <v>YES</v>
      </c>
      <c r="G301" s="4" t="str">
        <f t="shared" si="39"/>
        <v>YES</v>
      </c>
      <c r="H301" s="4" t="str">
        <f t="shared" si="40"/>
        <v>NO</v>
      </c>
      <c r="I301" s="4" t="str">
        <f t="shared" si="41"/>
        <v>YES</v>
      </c>
      <c r="J301" t="s">
        <v>642</v>
      </c>
    </row>
    <row r="302" spans="4:10" hidden="1" x14ac:dyDescent="0.25">
      <c r="D302" s="4" t="e">
        <f t="shared" si="36"/>
        <v>#N/A</v>
      </c>
      <c r="E302" t="str">
        <f t="shared" si="37"/>
        <v>TowerRedundantSubHorizontalUFactor</v>
      </c>
      <c r="F302" s="4" t="str">
        <f t="shared" si="38"/>
        <v>YES</v>
      </c>
      <c r="G302" s="4" t="str">
        <f t="shared" si="39"/>
        <v>YES</v>
      </c>
      <c r="H302" s="4" t="str">
        <f t="shared" si="40"/>
        <v>NO</v>
      </c>
      <c r="I302" s="4" t="str">
        <f t="shared" si="41"/>
        <v>YES</v>
      </c>
      <c r="J302" t="s">
        <v>643</v>
      </c>
    </row>
    <row r="303" spans="4:10" hidden="1" x14ac:dyDescent="0.25">
      <c r="D303" s="4" t="e">
        <f t="shared" si="36"/>
        <v>#N/A</v>
      </c>
      <c r="E303" t="str">
        <f t="shared" si="37"/>
        <v>TowerRedundantVerticalBoltGrade</v>
      </c>
      <c r="F303" s="4" t="str">
        <f t="shared" si="38"/>
        <v>YES</v>
      </c>
      <c r="G303" s="4" t="str">
        <f t="shared" si="39"/>
        <v>YES</v>
      </c>
      <c r="H303" s="4" t="str">
        <f t="shared" si="40"/>
        <v>NO</v>
      </c>
      <c r="I303" s="4" t="str">
        <f t="shared" si="41"/>
        <v>YES</v>
      </c>
      <c r="J303" t="s">
        <v>644</v>
      </c>
    </row>
    <row r="304" spans="4:10" hidden="1" x14ac:dyDescent="0.25">
      <c r="D304" s="4" t="e">
        <f t="shared" si="36"/>
        <v>#N/A</v>
      </c>
      <c r="E304" t="str">
        <f t="shared" si="37"/>
        <v>TowerRedundantVerticalBoltSize</v>
      </c>
      <c r="F304" s="4" t="str">
        <f t="shared" si="38"/>
        <v>YES</v>
      </c>
      <c r="G304" s="4" t="str">
        <f t="shared" si="39"/>
        <v>YES</v>
      </c>
      <c r="H304" s="4" t="str">
        <f t="shared" si="40"/>
        <v>NO</v>
      </c>
      <c r="I304" s="4" t="str">
        <f t="shared" si="41"/>
        <v>YES</v>
      </c>
      <c r="J304" t="s">
        <v>645</v>
      </c>
    </row>
    <row r="305" spans="4:10" hidden="1" x14ac:dyDescent="0.25">
      <c r="D305" s="4" t="e">
        <f t="shared" si="36"/>
        <v>#N/A</v>
      </c>
      <c r="E305" t="str">
        <f t="shared" si="37"/>
        <v>TowerRedundantVerticalNumBolts</v>
      </c>
      <c r="F305" s="4" t="str">
        <f t="shared" si="38"/>
        <v>YES</v>
      </c>
      <c r="G305" s="4" t="str">
        <f t="shared" si="39"/>
        <v>YES</v>
      </c>
      <c r="H305" s="4" t="str">
        <f t="shared" si="40"/>
        <v>NO</v>
      </c>
      <c r="I305" s="4" t="str">
        <f t="shared" si="41"/>
        <v>YES</v>
      </c>
      <c r="J305" t="s">
        <v>646</v>
      </c>
    </row>
    <row r="306" spans="4:10" hidden="1" x14ac:dyDescent="0.25">
      <c r="D306" s="4" t="e">
        <f t="shared" si="36"/>
        <v>#N/A</v>
      </c>
      <c r="E306" t="str">
        <f t="shared" si="37"/>
        <v>TowerRedundantVerticalBoltEdgeDistance</v>
      </c>
      <c r="F306" s="4" t="str">
        <f t="shared" si="38"/>
        <v>YES</v>
      </c>
      <c r="G306" s="4" t="str">
        <f t="shared" si="39"/>
        <v>YES</v>
      </c>
      <c r="H306" s="4" t="str">
        <f t="shared" si="40"/>
        <v>NO</v>
      </c>
      <c r="I306" s="4" t="str">
        <f t="shared" si="41"/>
        <v>YES</v>
      </c>
      <c r="J306" t="s">
        <v>647</v>
      </c>
    </row>
    <row r="307" spans="4:10" hidden="1" x14ac:dyDescent="0.25">
      <c r="D307" s="4" t="e">
        <f t="shared" si="36"/>
        <v>#N/A</v>
      </c>
      <c r="E307" t="str">
        <f t="shared" si="37"/>
        <v>TowerRedundantVerticalGageG1Distance</v>
      </c>
      <c r="F307" s="4" t="str">
        <f t="shared" si="38"/>
        <v>YES</v>
      </c>
      <c r="G307" s="4" t="str">
        <f t="shared" si="39"/>
        <v>YES</v>
      </c>
      <c r="H307" s="4" t="str">
        <f t="shared" si="40"/>
        <v>NO</v>
      </c>
      <c r="I307" s="4" t="str">
        <f t="shared" si="41"/>
        <v>YES</v>
      </c>
      <c r="J307" t="s">
        <v>648</v>
      </c>
    </row>
    <row r="308" spans="4:10" hidden="1" x14ac:dyDescent="0.25">
      <c r="D308" s="4" t="e">
        <f t="shared" si="36"/>
        <v>#N/A</v>
      </c>
      <c r="E308" t="str">
        <f t="shared" si="37"/>
        <v>TowerRedundantVerticalNetWidthDeduct</v>
      </c>
      <c r="F308" s="4" t="str">
        <f t="shared" si="38"/>
        <v>YES</v>
      </c>
      <c r="G308" s="4" t="str">
        <f t="shared" si="39"/>
        <v>YES</v>
      </c>
      <c r="H308" s="4" t="str">
        <f t="shared" si="40"/>
        <v>NO</v>
      </c>
      <c r="I308" s="4" t="str">
        <f t="shared" si="41"/>
        <v>YES</v>
      </c>
      <c r="J308" t="s">
        <v>649</v>
      </c>
    </row>
    <row r="309" spans="4:10" hidden="1" x14ac:dyDescent="0.25">
      <c r="D309" s="4" t="e">
        <f t="shared" si="36"/>
        <v>#N/A</v>
      </c>
      <c r="E309" t="str">
        <f t="shared" si="37"/>
        <v>TowerRedundantVerticalUFactor</v>
      </c>
      <c r="F309" s="4" t="str">
        <f t="shared" si="38"/>
        <v>YES</v>
      </c>
      <c r="G309" s="4" t="str">
        <f t="shared" si="39"/>
        <v>YES</v>
      </c>
      <c r="H309" s="4" t="str">
        <f t="shared" si="40"/>
        <v>NO</v>
      </c>
      <c r="I309" s="4" t="str">
        <f t="shared" si="41"/>
        <v>YES</v>
      </c>
      <c r="J309" t="s">
        <v>650</v>
      </c>
    </row>
    <row r="310" spans="4:10" x14ac:dyDescent="0.25">
      <c r="D310" s="4" t="e">
        <f t="shared" si="36"/>
        <v>#N/A</v>
      </c>
      <c r="E310" t="str">
        <f t="shared" si="37"/>
        <v>TowerRedundantHipBoltGrade1</v>
      </c>
      <c r="F310" s="4" t="str">
        <f t="shared" si="38"/>
        <v>NO</v>
      </c>
      <c r="G310" s="4" t="str">
        <f t="shared" si="39"/>
        <v>NO</v>
      </c>
      <c r="H310" s="4" t="str">
        <f t="shared" si="40"/>
        <v>NO</v>
      </c>
      <c r="I310" s="4" t="str">
        <f t="shared" si="41"/>
        <v>NO</v>
      </c>
      <c r="J310" t="s">
        <v>651</v>
      </c>
    </row>
    <row r="311" spans="4:10" x14ac:dyDescent="0.25">
      <c r="D311" s="4" t="e">
        <f t="shared" si="36"/>
        <v>#N/A</v>
      </c>
      <c r="E311" t="str">
        <f t="shared" si="37"/>
        <v>TowerRedundantHipBoltSize1</v>
      </c>
      <c r="F311" s="4" t="str">
        <f t="shared" si="38"/>
        <v>NO</v>
      </c>
      <c r="G311" s="4" t="str">
        <f t="shared" si="39"/>
        <v>NO</v>
      </c>
      <c r="H311" s="4" t="str">
        <f t="shared" si="40"/>
        <v>NO</v>
      </c>
      <c r="I311" s="4" t="str">
        <f t="shared" si="41"/>
        <v>NO</v>
      </c>
      <c r="J311" t="s">
        <v>652</v>
      </c>
    </row>
    <row r="312" spans="4:10" x14ac:dyDescent="0.25">
      <c r="D312" s="4" t="e">
        <f t="shared" si="36"/>
        <v>#N/A</v>
      </c>
      <c r="E312" t="str">
        <f t="shared" si="37"/>
        <v>TowerRedundantHipNumBolts1</v>
      </c>
      <c r="F312" s="4" t="str">
        <f t="shared" si="38"/>
        <v>NO</v>
      </c>
      <c r="G312" s="4" t="str">
        <f t="shared" si="39"/>
        <v>NO</v>
      </c>
      <c r="H312" s="4" t="str">
        <f t="shared" si="40"/>
        <v>NO</v>
      </c>
      <c r="I312" s="4" t="str">
        <f t="shared" si="41"/>
        <v>NO</v>
      </c>
      <c r="J312" t="s">
        <v>653</v>
      </c>
    </row>
    <row r="313" spans="4:10" x14ac:dyDescent="0.25">
      <c r="D313" s="4" t="e">
        <f t="shared" si="36"/>
        <v>#N/A</v>
      </c>
      <c r="E313" t="str">
        <f t="shared" si="37"/>
        <v>TowerRedundantHipBoltEdgeDistance1</v>
      </c>
      <c r="F313" s="4" t="str">
        <f t="shared" si="38"/>
        <v>NO</v>
      </c>
      <c r="G313" s="4" t="str">
        <f t="shared" si="39"/>
        <v>NO</v>
      </c>
      <c r="H313" s="4" t="str">
        <f t="shared" si="40"/>
        <v>NO</v>
      </c>
      <c r="I313" s="4" t="str">
        <f t="shared" si="41"/>
        <v>NO</v>
      </c>
      <c r="J313" t="s">
        <v>654</v>
      </c>
    </row>
    <row r="314" spans="4:10" x14ac:dyDescent="0.25">
      <c r="D314" s="4" t="e">
        <f t="shared" si="36"/>
        <v>#N/A</v>
      </c>
      <c r="E314" t="str">
        <f t="shared" si="37"/>
        <v>TowerRedundantHipGageG1Distance1</v>
      </c>
      <c r="F314" s="4" t="str">
        <f t="shared" si="38"/>
        <v>NO</v>
      </c>
      <c r="G314" s="4" t="str">
        <f t="shared" si="39"/>
        <v>NO</v>
      </c>
      <c r="H314" s="4" t="str">
        <f t="shared" si="40"/>
        <v>NO</v>
      </c>
      <c r="I314" s="4" t="str">
        <f t="shared" si="41"/>
        <v>NO</v>
      </c>
      <c r="J314" t="s">
        <v>655</v>
      </c>
    </row>
    <row r="315" spans="4:10" x14ac:dyDescent="0.25">
      <c r="D315" s="4" t="e">
        <f t="shared" si="36"/>
        <v>#N/A</v>
      </c>
      <c r="E315" t="str">
        <f t="shared" si="37"/>
        <v>TowerRedundantHipNetWidthDeduct1</v>
      </c>
      <c r="F315" s="4" t="str">
        <f t="shared" si="38"/>
        <v>NO</v>
      </c>
      <c r="G315" s="4" t="str">
        <f t="shared" si="39"/>
        <v>NO</v>
      </c>
      <c r="H315" s="4" t="str">
        <f t="shared" si="40"/>
        <v>NO</v>
      </c>
      <c r="I315" s="4" t="str">
        <f t="shared" si="41"/>
        <v>NO</v>
      </c>
      <c r="J315" t="s">
        <v>656</v>
      </c>
    </row>
    <row r="316" spans="4:10" x14ac:dyDescent="0.25">
      <c r="D316" s="4" t="e">
        <f t="shared" si="36"/>
        <v>#N/A</v>
      </c>
      <c r="E316" t="str">
        <f t="shared" si="37"/>
        <v>TowerRedundantHipUFactor1</v>
      </c>
      <c r="F316" s="4" t="str">
        <f t="shared" si="38"/>
        <v>NO</v>
      </c>
      <c r="G316" s="4" t="str">
        <f t="shared" si="39"/>
        <v>NO</v>
      </c>
      <c r="H316" s="4" t="str">
        <f t="shared" si="40"/>
        <v>NO</v>
      </c>
      <c r="I316" s="4" t="str">
        <f t="shared" si="41"/>
        <v>NO</v>
      </c>
      <c r="J316" t="s">
        <v>657</v>
      </c>
    </row>
    <row r="317" spans="4:10" x14ac:dyDescent="0.25">
      <c r="D317" s="4" t="e">
        <f t="shared" si="36"/>
        <v>#N/A</v>
      </c>
      <c r="E317" t="str">
        <f t="shared" si="37"/>
        <v>TowerRedundantHipBoltGrade2</v>
      </c>
      <c r="F317" s="4" t="str">
        <f t="shared" si="38"/>
        <v>NO</v>
      </c>
      <c r="G317" s="4" t="str">
        <f t="shared" si="39"/>
        <v>NO</v>
      </c>
      <c r="H317" s="4" t="str">
        <f t="shared" si="40"/>
        <v>NO</v>
      </c>
      <c r="I317" s="4" t="str">
        <f t="shared" si="41"/>
        <v>NO</v>
      </c>
      <c r="J317" t="s">
        <v>658</v>
      </c>
    </row>
    <row r="318" spans="4:10" x14ac:dyDescent="0.25">
      <c r="D318" s="4" t="e">
        <f t="shared" si="36"/>
        <v>#N/A</v>
      </c>
      <c r="E318" t="str">
        <f t="shared" si="37"/>
        <v>TowerRedundantHipBoltSize2</v>
      </c>
      <c r="F318" s="4" t="str">
        <f t="shared" si="38"/>
        <v>NO</v>
      </c>
      <c r="G318" s="4" t="str">
        <f t="shared" si="39"/>
        <v>NO</v>
      </c>
      <c r="H318" s="4" t="str">
        <f t="shared" si="40"/>
        <v>NO</v>
      </c>
      <c r="I318" s="4" t="str">
        <f t="shared" si="41"/>
        <v>NO</v>
      </c>
      <c r="J318" t="s">
        <v>659</v>
      </c>
    </row>
    <row r="319" spans="4:10" x14ac:dyDescent="0.25">
      <c r="D319" s="4" t="e">
        <f t="shared" si="36"/>
        <v>#N/A</v>
      </c>
      <c r="E319" t="str">
        <f t="shared" si="37"/>
        <v>TowerRedundantHipNumBolts2</v>
      </c>
      <c r="F319" s="4" t="str">
        <f t="shared" si="38"/>
        <v>NO</v>
      </c>
      <c r="G319" s="4" t="str">
        <f t="shared" si="39"/>
        <v>NO</v>
      </c>
      <c r="H319" s="4" t="str">
        <f t="shared" si="40"/>
        <v>NO</v>
      </c>
      <c r="I319" s="4" t="str">
        <f t="shared" si="41"/>
        <v>NO</v>
      </c>
      <c r="J319" t="s">
        <v>660</v>
      </c>
    </row>
    <row r="320" spans="4:10" x14ac:dyDescent="0.25">
      <c r="D320" s="4" t="e">
        <f t="shared" si="36"/>
        <v>#N/A</v>
      </c>
      <c r="E320" t="str">
        <f t="shared" si="37"/>
        <v>TowerRedundantHipBoltEdgeDistance2</v>
      </c>
      <c r="F320" s="4" t="str">
        <f t="shared" si="38"/>
        <v>NO</v>
      </c>
      <c r="G320" s="4" t="str">
        <f t="shared" si="39"/>
        <v>NO</v>
      </c>
      <c r="H320" s="4" t="str">
        <f t="shared" si="40"/>
        <v>NO</v>
      </c>
      <c r="I320" s="4" t="str">
        <f t="shared" si="41"/>
        <v>NO</v>
      </c>
      <c r="J320" t="s">
        <v>661</v>
      </c>
    </row>
    <row r="321" spans="4:10" x14ac:dyDescent="0.25">
      <c r="D321" s="4" t="e">
        <f t="shared" si="36"/>
        <v>#N/A</v>
      </c>
      <c r="E321" t="str">
        <f t="shared" si="37"/>
        <v>TowerRedundantHipGageG1Distance2</v>
      </c>
      <c r="F321" s="4" t="str">
        <f t="shared" si="38"/>
        <v>NO</v>
      </c>
      <c r="G321" s="4" t="str">
        <f t="shared" si="39"/>
        <v>NO</v>
      </c>
      <c r="H321" s="4" t="str">
        <f t="shared" si="40"/>
        <v>NO</v>
      </c>
      <c r="I321" s="4" t="str">
        <f t="shared" si="41"/>
        <v>NO</v>
      </c>
      <c r="J321" t="s">
        <v>662</v>
      </c>
    </row>
    <row r="322" spans="4:10" x14ac:dyDescent="0.25">
      <c r="D322" s="4" t="e">
        <f t="shared" si="36"/>
        <v>#N/A</v>
      </c>
      <c r="E322" t="str">
        <f t="shared" si="37"/>
        <v>TowerRedundantHipNetWidthDeduct2</v>
      </c>
      <c r="F322" s="4" t="str">
        <f t="shared" si="38"/>
        <v>NO</v>
      </c>
      <c r="G322" s="4" t="str">
        <f t="shared" si="39"/>
        <v>NO</v>
      </c>
      <c r="H322" s="4" t="str">
        <f t="shared" si="40"/>
        <v>NO</v>
      </c>
      <c r="I322" s="4" t="str">
        <f t="shared" si="41"/>
        <v>NO</v>
      </c>
      <c r="J322" t="s">
        <v>663</v>
      </c>
    </row>
    <row r="323" spans="4:10" x14ac:dyDescent="0.25">
      <c r="D323" s="4" t="e">
        <f t="shared" si="36"/>
        <v>#N/A</v>
      </c>
      <c r="E323" t="str">
        <f t="shared" si="37"/>
        <v>TowerRedundantHipUFactor2</v>
      </c>
      <c r="F323" s="4" t="str">
        <f t="shared" si="38"/>
        <v>NO</v>
      </c>
      <c r="G323" s="4" t="str">
        <f t="shared" si="39"/>
        <v>NO</v>
      </c>
      <c r="H323" s="4" t="str">
        <f t="shared" si="40"/>
        <v>NO</v>
      </c>
      <c r="I323" s="4" t="str">
        <f t="shared" si="41"/>
        <v>NO</v>
      </c>
      <c r="J323" t="s">
        <v>664</v>
      </c>
    </row>
    <row r="324" spans="4:10" x14ac:dyDescent="0.25">
      <c r="D324" s="4" t="e">
        <f t="shared" si="36"/>
        <v>#N/A</v>
      </c>
      <c r="E324" t="str">
        <f t="shared" si="37"/>
        <v>TowerRedundantHipBoltGrade3</v>
      </c>
      <c r="F324" s="4" t="str">
        <f t="shared" si="38"/>
        <v>NO</v>
      </c>
      <c r="G324" s="4" t="str">
        <f t="shared" si="39"/>
        <v>NO</v>
      </c>
      <c r="H324" s="4" t="str">
        <f t="shared" si="40"/>
        <v>NO</v>
      </c>
      <c r="I324" s="4" t="str">
        <f t="shared" si="41"/>
        <v>NO</v>
      </c>
      <c r="J324" t="s">
        <v>665</v>
      </c>
    </row>
    <row r="325" spans="4:10" x14ac:dyDescent="0.25">
      <c r="D325" s="4" t="e">
        <f t="shared" ref="D325:D388" si="42">MATCH(C325,E:E,0)</f>
        <v>#N/A</v>
      </c>
      <c r="E325" t="str">
        <f t="shared" ref="E325:E388" si="43">(J325)</f>
        <v>TowerRedundantHipBoltSize3</v>
      </c>
      <c r="F325" s="4" t="str">
        <f t="shared" ref="F325:F388" si="44">IFERROR(IF(MATCH(E325,C:C,0)&gt;0,"YES"),"NO")</f>
        <v>NO</v>
      </c>
      <c r="G325" s="4" t="str">
        <f t="shared" ref="G325:G388" si="45">IFERROR(IF(MATCH(E325,N:N,0)&gt;0,"YES"),"NO")</f>
        <v>NO</v>
      </c>
      <c r="H325" s="4" t="str">
        <f t="shared" ref="H325:H388" si="46">IFERROR(IF(MATCH(E325,S:S,0)&gt;0,"YES"),"NO")</f>
        <v>NO</v>
      </c>
      <c r="I325" s="4" t="str">
        <f t="shared" ref="I325:I388" si="47">IF(OR(F325="NO",G325="NO"),"NO","YES")</f>
        <v>NO</v>
      </c>
      <c r="J325" t="s">
        <v>666</v>
      </c>
    </row>
    <row r="326" spans="4:10" x14ac:dyDescent="0.25">
      <c r="D326" s="4" t="e">
        <f t="shared" si="42"/>
        <v>#N/A</v>
      </c>
      <c r="E326" t="str">
        <f t="shared" si="43"/>
        <v>TowerRedundantHipNumBolts3</v>
      </c>
      <c r="F326" s="4" t="str">
        <f t="shared" si="44"/>
        <v>NO</v>
      </c>
      <c r="G326" s="4" t="str">
        <f t="shared" si="45"/>
        <v>NO</v>
      </c>
      <c r="H326" s="4" t="str">
        <f t="shared" si="46"/>
        <v>NO</v>
      </c>
      <c r="I326" s="4" t="str">
        <f t="shared" si="47"/>
        <v>NO</v>
      </c>
      <c r="J326" t="s">
        <v>667</v>
      </c>
    </row>
    <row r="327" spans="4:10" x14ac:dyDescent="0.25">
      <c r="D327" s="4" t="e">
        <f t="shared" si="42"/>
        <v>#N/A</v>
      </c>
      <c r="E327" t="str">
        <f t="shared" si="43"/>
        <v>TowerRedundantHipBoltEdgeDistance3</v>
      </c>
      <c r="F327" s="4" t="str">
        <f t="shared" si="44"/>
        <v>NO</v>
      </c>
      <c r="G327" s="4" t="str">
        <f t="shared" si="45"/>
        <v>NO</v>
      </c>
      <c r="H327" s="4" t="str">
        <f t="shared" si="46"/>
        <v>NO</v>
      </c>
      <c r="I327" s="4" t="str">
        <f t="shared" si="47"/>
        <v>NO</v>
      </c>
      <c r="J327" t="s">
        <v>668</v>
      </c>
    </row>
    <row r="328" spans="4:10" x14ac:dyDescent="0.25">
      <c r="D328" s="4" t="e">
        <f t="shared" si="42"/>
        <v>#N/A</v>
      </c>
      <c r="E328" t="str">
        <f t="shared" si="43"/>
        <v>TowerRedundantHipGageG1Distance3</v>
      </c>
      <c r="F328" s="4" t="str">
        <f t="shared" si="44"/>
        <v>NO</v>
      </c>
      <c r="G328" s="4" t="str">
        <f t="shared" si="45"/>
        <v>NO</v>
      </c>
      <c r="H328" s="4" t="str">
        <f t="shared" si="46"/>
        <v>NO</v>
      </c>
      <c r="I328" s="4" t="str">
        <f t="shared" si="47"/>
        <v>NO</v>
      </c>
      <c r="J328" t="s">
        <v>669</v>
      </c>
    </row>
    <row r="329" spans="4:10" x14ac:dyDescent="0.25">
      <c r="D329" s="4" t="e">
        <f t="shared" si="42"/>
        <v>#N/A</v>
      </c>
      <c r="E329" t="str">
        <f t="shared" si="43"/>
        <v>TowerRedundantHipNetWidthDeduct3</v>
      </c>
      <c r="F329" s="4" t="str">
        <f t="shared" si="44"/>
        <v>NO</v>
      </c>
      <c r="G329" s="4" t="str">
        <f t="shared" si="45"/>
        <v>NO</v>
      </c>
      <c r="H329" s="4" t="str">
        <f t="shared" si="46"/>
        <v>NO</v>
      </c>
      <c r="I329" s="4" t="str">
        <f t="shared" si="47"/>
        <v>NO</v>
      </c>
      <c r="J329" t="s">
        <v>670</v>
      </c>
    </row>
    <row r="330" spans="4:10" x14ac:dyDescent="0.25">
      <c r="D330" s="4" t="e">
        <f t="shared" si="42"/>
        <v>#N/A</v>
      </c>
      <c r="E330" t="str">
        <f t="shared" si="43"/>
        <v>TowerRedundantHipUFactor3</v>
      </c>
      <c r="F330" s="4" t="str">
        <f t="shared" si="44"/>
        <v>NO</v>
      </c>
      <c r="G330" s="4" t="str">
        <f t="shared" si="45"/>
        <v>NO</v>
      </c>
      <c r="H330" s="4" t="str">
        <f t="shared" si="46"/>
        <v>NO</v>
      </c>
      <c r="I330" s="4" t="str">
        <f t="shared" si="47"/>
        <v>NO</v>
      </c>
      <c r="J330" t="s">
        <v>671</v>
      </c>
    </row>
    <row r="331" spans="4:10" x14ac:dyDescent="0.25">
      <c r="D331" s="4" t="e">
        <f t="shared" si="42"/>
        <v>#N/A</v>
      </c>
      <c r="E331" t="str">
        <f t="shared" si="43"/>
        <v>TowerRedundantHipBoltGrade4</v>
      </c>
      <c r="F331" s="4" t="str">
        <f t="shared" si="44"/>
        <v>NO</v>
      </c>
      <c r="G331" s="4" t="str">
        <f t="shared" si="45"/>
        <v>NO</v>
      </c>
      <c r="H331" s="4" t="str">
        <f t="shared" si="46"/>
        <v>NO</v>
      </c>
      <c r="I331" s="4" t="str">
        <f t="shared" si="47"/>
        <v>NO</v>
      </c>
      <c r="J331" t="s">
        <v>672</v>
      </c>
    </row>
    <row r="332" spans="4:10" x14ac:dyDescent="0.25">
      <c r="D332" s="4" t="e">
        <f t="shared" si="42"/>
        <v>#N/A</v>
      </c>
      <c r="E332" t="str">
        <f t="shared" si="43"/>
        <v>TowerRedundantHipBoltSize4</v>
      </c>
      <c r="F332" s="4" t="str">
        <f t="shared" si="44"/>
        <v>NO</v>
      </c>
      <c r="G332" s="4" t="str">
        <f t="shared" si="45"/>
        <v>NO</v>
      </c>
      <c r="H332" s="4" t="str">
        <f t="shared" si="46"/>
        <v>NO</v>
      </c>
      <c r="I332" s="4" t="str">
        <f t="shared" si="47"/>
        <v>NO</v>
      </c>
      <c r="J332" t="s">
        <v>673</v>
      </c>
    </row>
    <row r="333" spans="4:10" x14ac:dyDescent="0.25">
      <c r="D333" s="4" t="e">
        <f t="shared" si="42"/>
        <v>#N/A</v>
      </c>
      <c r="E333" t="str">
        <f t="shared" si="43"/>
        <v>TowerRedundantHipNumBolts4</v>
      </c>
      <c r="F333" s="4" t="str">
        <f t="shared" si="44"/>
        <v>NO</v>
      </c>
      <c r="G333" s="4" t="str">
        <f t="shared" si="45"/>
        <v>NO</v>
      </c>
      <c r="H333" s="4" t="str">
        <f t="shared" si="46"/>
        <v>NO</v>
      </c>
      <c r="I333" s="4" t="str">
        <f t="shared" si="47"/>
        <v>NO</v>
      </c>
      <c r="J333" t="s">
        <v>674</v>
      </c>
    </row>
    <row r="334" spans="4:10" x14ac:dyDescent="0.25">
      <c r="D334" s="4" t="e">
        <f t="shared" si="42"/>
        <v>#N/A</v>
      </c>
      <c r="E334" t="str">
        <f t="shared" si="43"/>
        <v>TowerRedundantHipBoltEdgeDistance4</v>
      </c>
      <c r="F334" s="4" t="str">
        <f t="shared" si="44"/>
        <v>NO</v>
      </c>
      <c r="G334" s="4" t="str">
        <f t="shared" si="45"/>
        <v>NO</v>
      </c>
      <c r="H334" s="4" t="str">
        <f t="shared" si="46"/>
        <v>NO</v>
      </c>
      <c r="I334" s="4" t="str">
        <f t="shared" si="47"/>
        <v>NO</v>
      </c>
      <c r="J334" t="s">
        <v>675</v>
      </c>
    </row>
    <row r="335" spans="4:10" x14ac:dyDescent="0.25">
      <c r="D335" s="4" t="e">
        <f t="shared" si="42"/>
        <v>#N/A</v>
      </c>
      <c r="E335" t="str">
        <f t="shared" si="43"/>
        <v>TowerRedundantHipGageG1Distance4</v>
      </c>
      <c r="F335" s="4" t="str">
        <f t="shared" si="44"/>
        <v>NO</v>
      </c>
      <c r="G335" s="4" t="str">
        <f t="shared" si="45"/>
        <v>NO</v>
      </c>
      <c r="H335" s="4" t="str">
        <f t="shared" si="46"/>
        <v>NO</v>
      </c>
      <c r="I335" s="4" t="str">
        <f t="shared" si="47"/>
        <v>NO</v>
      </c>
      <c r="J335" t="s">
        <v>676</v>
      </c>
    </row>
    <row r="336" spans="4:10" x14ac:dyDescent="0.25">
      <c r="D336" s="4" t="e">
        <f t="shared" si="42"/>
        <v>#N/A</v>
      </c>
      <c r="E336" t="str">
        <f t="shared" si="43"/>
        <v>TowerRedundantHipNetWidthDeduct4</v>
      </c>
      <c r="F336" s="4" t="str">
        <f t="shared" si="44"/>
        <v>NO</v>
      </c>
      <c r="G336" s="4" t="str">
        <f t="shared" si="45"/>
        <v>NO</v>
      </c>
      <c r="H336" s="4" t="str">
        <f t="shared" si="46"/>
        <v>NO</v>
      </c>
      <c r="I336" s="4" t="str">
        <f t="shared" si="47"/>
        <v>NO</v>
      </c>
      <c r="J336" t="s">
        <v>677</v>
      </c>
    </row>
    <row r="337" spans="4:10" x14ac:dyDescent="0.25">
      <c r="D337" s="4" t="e">
        <f t="shared" si="42"/>
        <v>#N/A</v>
      </c>
      <c r="E337" t="str">
        <f t="shared" si="43"/>
        <v>TowerRedundantHipUFactor4</v>
      </c>
      <c r="F337" s="4" t="str">
        <f t="shared" si="44"/>
        <v>NO</v>
      </c>
      <c r="G337" s="4" t="str">
        <f t="shared" si="45"/>
        <v>NO</v>
      </c>
      <c r="H337" s="4" t="str">
        <f t="shared" si="46"/>
        <v>NO</v>
      </c>
      <c r="I337" s="4" t="str">
        <f t="shared" si="47"/>
        <v>NO</v>
      </c>
      <c r="J337" t="s">
        <v>678</v>
      </c>
    </row>
    <row r="338" spans="4:10" x14ac:dyDescent="0.25">
      <c r="D338" s="4" t="e">
        <f t="shared" si="42"/>
        <v>#N/A</v>
      </c>
      <c r="E338" t="str">
        <f t="shared" si="43"/>
        <v>TowerRedundantHipDiagonalBoltGrade1</v>
      </c>
      <c r="F338" s="4" t="str">
        <f t="shared" si="44"/>
        <v>NO</v>
      </c>
      <c r="G338" s="4" t="str">
        <f t="shared" si="45"/>
        <v>NO</v>
      </c>
      <c r="H338" s="4" t="str">
        <f t="shared" si="46"/>
        <v>NO</v>
      </c>
      <c r="I338" s="4" t="str">
        <f t="shared" si="47"/>
        <v>NO</v>
      </c>
      <c r="J338" t="s">
        <v>679</v>
      </c>
    </row>
    <row r="339" spans="4:10" x14ac:dyDescent="0.25">
      <c r="D339" s="4" t="e">
        <f t="shared" si="42"/>
        <v>#N/A</v>
      </c>
      <c r="E339" t="str">
        <f t="shared" si="43"/>
        <v>TowerRedundantHipDiagonalBoltSize1</v>
      </c>
      <c r="F339" s="4" t="str">
        <f t="shared" si="44"/>
        <v>NO</v>
      </c>
      <c r="G339" s="4" t="str">
        <f t="shared" si="45"/>
        <v>NO</v>
      </c>
      <c r="H339" s="4" t="str">
        <f t="shared" si="46"/>
        <v>NO</v>
      </c>
      <c r="I339" s="4" t="str">
        <f t="shared" si="47"/>
        <v>NO</v>
      </c>
      <c r="J339" t="s">
        <v>680</v>
      </c>
    </row>
    <row r="340" spans="4:10" x14ac:dyDescent="0.25">
      <c r="D340" s="4" t="e">
        <f t="shared" si="42"/>
        <v>#N/A</v>
      </c>
      <c r="E340" t="str">
        <f t="shared" si="43"/>
        <v>TowerRedundantHipDiagonalNumBolts1</v>
      </c>
      <c r="F340" s="4" t="str">
        <f t="shared" si="44"/>
        <v>NO</v>
      </c>
      <c r="G340" s="4" t="str">
        <f t="shared" si="45"/>
        <v>NO</v>
      </c>
      <c r="H340" s="4" t="str">
        <f t="shared" si="46"/>
        <v>NO</v>
      </c>
      <c r="I340" s="4" t="str">
        <f t="shared" si="47"/>
        <v>NO</v>
      </c>
      <c r="J340" t="s">
        <v>681</v>
      </c>
    </row>
    <row r="341" spans="4:10" x14ac:dyDescent="0.25">
      <c r="D341" s="4" t="e">
        <f t="shared" si="42"/>
        <v>#N/A</v>
      </c>
      <c r="E341" t="str">
        <f t="shared" si="43"/>
        <v>TowerRedundantHipDiagonalBoltEdgeDistance1</v>
      </c>
      <c r="F341" s="4" t="str">
        <f t="shared" si="44"/>
        <v>NO</v>
      </c>
      <c r="G341" s="4" t="str">
        <f t="shared" si="45"/>
        <v>NO</v>
      </c>
      <c r="H341" s="4" t="str">
        <f t="shared" si="46"/>
        <v>NO</v>
      </c>
      <c r="I341" s="4" t="str">
        <f t="shared" si="47"/>
        <v>NO</v>
      </c>
      <c r="J341" t="s">
        <v>682</v>
      </c>
    </row>
    <row r="342" spans="4:10" x14ac:dyDescent="0.25">
      <c r="D342" s="4" t="e">
        <f t="shared" si="42"/>
        <v>#N/A</v>
      </c>
      <c r="E342" t="str">
        <f t="shared" si="43"/>
        <v>TowerRedundantHipDiagonalGageG1Distance1</v>
      </c>
      <c r="F342" s="4" t="str">
        <f t="shared" si="44"/>
        <v>NO</v>
      </c>
      <c r="G342" s="4" t="str">
        <f t="shared" si="45"/>
        <v>NO</v>
      </c>
      <c r="H342" s="4" t="str">
        <f t="shared" si="46"/>
        <v>NO</v>
      </c>
      <c r="I342" s="4" t="str">
        <f t="shared" si="47"/>
        <v>NO</v>
      </c>
      <c r="J342" t="s">
        <v>683</v>
      </c>
    </row>
    <row r="343" spans="4:10" x14ac:dyDescent="0.25">
      <c r="D343" s="4" t="e">
        <f t="shared" si="42"/>
        <v>#N/A</v>
      </c>
      <c r="E343" t="str">
        <f t="shared" si="43"/>
        <v>TowerRedundantHipDiagonalNetWidthDeduct1</v>
      </c>
      <c r="F343" s="4" t="str">
        <f t="shared" si="44"/>
        <v>NO</v>
      </c>
      <c r="G343" s="4" t="str">
        <f t="shared" si="45"/>
        <v>NO</v>
      </c>
      <c r="H343" s="4" t="str">
        <f t="shared" si="46"/>
        <v>NO</v>
      </c>
      <c r="I343" s="4" t="str">
        <f t="shared" si="47"/>
        <v>NO</v>
      </c>
      <c r="J343" t="s">
        <v>684</v>
      </c>
    </row>
    <row r="344" spans="4:10" x14ac:dyDescent="0.25">
      <c r="D344" s="4" t="e">
        <f t="shared" si="42"/>
        <v>#N/A</v>
      </c>
      <c r="E344" t="str">
        <f t="shared" si="43"/>
        <v>TowerRedundantHipDiagonalUFactor1</v>
      </c>
      <c r="F344" s="4" t="str">
        <f t="shared" si="44"/>
        <v>NO</v>
      </c>
      <c r="G344" s="4" t="str">
        <f t="shared" si="45"/>
        <v>NO</v>
      </c>
      <c r="H344" s="4" t="str">
        <f t="shared" si="46"/>
        <v>NO</v>
      </c>
      <c r="I344" s="4" t="str">
        <f t="shared" si="47"/>
        <v>NO</v>
      </c>
      <c r="J344" t="s">
        <v>685</v>
      </c>
    </row>
    <row r="345" spans="4:10" x14ac:dyDescent="0.25">
      <c r="D345" s="4" t="e">
        <f t="shared" si="42"/>
        <v>#N/A</v>
      </c>
      <c r="E345" t="str">
        <f t="shared" si="43"/>
        <v>TowerRedundantHipDiagonalBoltGrade2</v>
      </c>
      <c r="F345" s="4" t="str">
        <f t="shared" si="44"/>
        <v>NO</v>
      </c>
      <c r="G345" s="4" t="str">
        <f t="shared" si="45"/>
        <v>NO</v>
      </c>
      <c r="H345" s="4" t="str">
        <f t="shared" si="46"/>
        <v>NO</v>
      </c>
      <c r="I345" s="4" t="str">
        <f t="shared" si="47"/>
        <v>NO</v>
      </c>
      <c r="J345" t="s">
        <v>686</v>
      </c>
    </row>
    <row r="346" spans="4:10" x14ac:dyDescent="0.25">
      <c r="D346" s="4" t="e">
        <f t="shared" si="42"/>
        <v>#N/A</v>
      </c>
      <c r="E346" t="str">
        <f t="shared" si="43"/>
        <v>TowerRedundantHipDiagonalBoltSize2</v>
      </c>
      <c r="F346" s="4" t="str">
        <f t="shared" si="44"/>
        <v>NO</v>
      </c>
      <c r="G346" s="4" t="str">
        <f t="shared" si="45"/>
        <v>NO</v>
      </c>
      <c r="H346" s="4" t="str">
        <f t="shared" si="46"/>
        <v>NO</v>
      </c>
      <c r="I346" s="4" t="str">
        <f t="shared" si="47"/>
        <v>NO</v>
      </c>
      <c r="J346" t="s">
        <v>687</v>
      </c>
    </row>
    <row r="347" spans="4:10" x14ac:dyDescent="0.25">
      <c r="D347" s="4" t="e">
        <f t="shared" si="42"/>
        <v>#N/A</v>
      </c>
      <c r="E347" t="str">
        <f t="shared" si="43"/>
        <v>TowerRedundantHipDiagonalNumBolts2</v>
      </c>
      <c r="F347" s="4" t="str">
        <f t="shared" si="44"/>
        <v>NO</v>
      </c>
      <c r="G347" s="4" t="str">
        <f t="shared" si="45"/>
        <v>NO</v>
      </c>
      <c r="H347" s="4" t="str">
        <f t="shared" si="46"/>
        <v>NO</v>
      </c>
      <c r="I347" s="4" t="str">
        <f t="shared" si="47"/>
        <v>NO</v>
      </c>
      <c r="J347" t="s">
        <v>688</v>
      </c>
    </row>
    <row r="348" spans="4:10" x14ac:dyDescent="0.25">
      <c r="D348" s="4" t="e">
        <f t="shared" si="42"/>
        <v>#N/A</v>
      </c>
      <c r="E348" t="str">
        <f t="shared" si="43"/>
        <v>TowerRedundantHipDiagonalBoltEdgeDistance2</v>
      </c>
      <c r="F348" s="4" t="str">
        <f t="shared" si="44"/>
        <v>NO</v>
      </c>
      <c r="G348" s="4" t="str">
        <f t="shared" si="45"/>
        <v>NO</v>
      </c>
      <c r="H348" s="4" t="str">
        <f t="shared" si="46"/>
        <v>NO</v>
      </c>
      <c r="I348" s="4" t="str">
        <f t="shared" si="47"/>
        <v>NO</v>
      </c>
      <c r="J348" t="s">
        <v>689</v>
      </c>
    </row>
    <row r="349" spans="4:10" x14ac:dyDescent="0.25">
      <c r="D349" s="4" t="e">
        <f t="shared" si="42"/>
        <v>#N/A</v>
      </c>
      <c r="E349" t="str">
        <f t="shared" si="43"/>
        <v>TowerRedundantHipDiagonalGageG1Distance2</v>
      </c>
      <c r="F349" s="4" t="str">
        <f t="shared" si="44"/>
        <v>NO</v>
      </c>
      <c r="G349" s="4" t="str">
        <f t="shared" si="45"/>
        <v>NO</v>
      </c>
      <c r="H349" s="4" t="str">
        <f t="shared" si="46"/>
        <v>NO</v>
      </c>
      <c r="I349" s="4" t="str">
        <f t="shared" si="47"/>
        <v>NO</v>
      </c>
      <c r="J349" t="s">
        <v>690</v>
      </c>
    </row>
    <row r="350" spans="4:10" x14ac:dyDescent="0.25">
      <c r="D350" s="4" t="e">
        <f t="shared" si="42"/>
        <v>#N/A</v>
      </c>
      <c r="E350" t="str">
        <f t="shared" si="43"/>
        <v>TowerRedundantHipDiagonalNetWidthDeduct2</v>
      </c>
      <c r="F350" s="4" t="str">
        <f t="shared" si="44"/>
        <v>NO</v>
      </c>
      <c r="G350" s="4" t="str">
        <f t="shared" si="45"/>
        <v>NO</v>
      </c>
      <c r="H350" s="4" t="str">
        <f t="shared" si="46"/>
        <v>NO</v>
      </c>
      <c r="I350" s="4" t="str">
        <f t="shared" si="47"/>
        <v>NO</v>
      </c>
      <c r="J350" t="s">
        <v>691</v>
      </c>
    </row>
    <row r="351" spans="4:10" x14ac:dyDescent="0.25">
      <c r="D351" s="4" t="e">
        <f t="shared" si="42"/>
        <v>#N/A</v>
      </c>
      <c r="E351" t="str">
        <f t="shared" si="43"/>
        <v>TowerRedundantHipDiagonalUFactor2</v>
      </c>
      <c r="F351" s="4" t="str">
        <f t="shared" si="44"/>
        <v>NO</v>
      </c>
      <c r="G351" s="4" t="str">
        <f t="shared" si="45"/>
        <v>NO</v>
      </c>
      <c r="H351" s="4" t="str">
        <f t="shared" si="46"/>
        <v>NO</v>
      </c>
      <c r="I351" s="4" t="str">
        <f t="shared" si="47"/>
        <v>NO</v>
      </c>
      <c r="J351" t="s">
        <v>692</v>
      </c>
    </row>
    <row r="352" spans="4:10" x14ac:dyDescent="0.25">
      <c r="D352" s="4" t="e">
        <f t="shared" si="42"/>
        <v>#N/A</v>
      </c>
      <c r="E352" t="str">
        <f t="shared" si="43"/>
        <v>TowerRedundantHipDiagonalBoltGrade3</v>
      </c>
      <c r="F352" s="4" t="str">
        <f t="shared" si="44"/>
        <v>NO</v>
      </c>
      <c r="G352" s="4" t="str">
        <f t="shared" si="45"/>
        <v>NO</v>
      </c>
      <c r="H352" s="4" t="str">
        <f t="shared" si="46"/>
        <v>NO</v>
      </c>
      <c r="I352" s="4" t="str">
        <f t="shared" si="47"/>
        <v>NO</v>
      </c>
      <c r="J352" t="s">
        <v>693</v>
      </c>
    </row>
    <row r="353" spans="4:10" x14ac:dyDescent="0.25">
      <c r="D353" s="4" t="e">
        <f t="shared" si="42"/>
        <v>#N/A</v>
      </c>
      <c r="E353" t="str">
        <f t="shared" si="43"/>
        <v>TowerRedundantHipDiagonalBoltSize3</v>
      </c>
      <c r="F353" s="4" t="str">
        <f t="shared" si="44"/>
        <v>NO</v>
      </c>
      <c r="G353" s="4" t="str">
        <f t="shared" si="45"/>
        <v>NO</v>
      </c>
      <c r="H353" s="4" t="str">
        <f t="shared" si="46"/>
        <v>NO</v>
      </c>
      <c r="I353" s="4" t="str">
        <f t="shared" si="47"/>
        <v>NO</v>
      </c>
      <c r="J353" t="s">
        <v>694</v>
      </c>
    </row>
    <row r="354" spans="4:10" x14ac:dyDescent="0.25">
      <c r="D354" s="4" t="e">
        <f t="shared" si="42"/>
        <v>#N/A</v>
      </c>
      <c r="E354" t="str">
        <f t="shared" si="43"/>
        <v>TowerRedundantHipDiagonalNumBolts3</v>
      </c>
      <c r="F354" s="4" t="str">
        <f t="shared" si="44"/>
        <v>NO</v>
      </c>
      <c r="G354" s="4" t="str">
        <f t="shared" si="45"/>
        <v>NO</v>
      </c>
      <c r="H354" s="4" t="str">
        <f t="shared" si="46"/>
        <v>NO</v>
      </c>
      <c r="I354" s="4" t="str">
        <f t="shared" si="47"/>
        <v>NO</v>
      </c>
      <c r="J354" t="s">
        <v>695</v>
      </c>
    </row>
    <row r="355" spans="4:10" x14ac:dyDescent="0.25">
      <c r="D355" s="4" t="e">
        <f t="shared" si="42"/>
        <v>#N/A</v>
      </c>
      <c r="E355" t="str">
        <f t="shared" si="43"/>
        <v>TowerRedundantHipDiagonalBoltEdgeDistance3</v>
      </c>
      <c r="F355" s="4" t="str">
        <f t="shared" si="44"/>
        <v>NO</v>
      </c>
      <c r="G355" s="4" t="str">
        <f t="shared" si="45"/>
        <v>NO</v>
      </c>
      <c r="H355" s="4" t="str">
        <f t="shared" si="46"/>
        <v>NO</v>
      </c>
      <c r="I355" s="4" t="str">
        <f t="shared" si="47"/>
        <v>NO</v>
      </c>
      <c r="J355" t="s">
        <v>696</v>
      </c>
    </row>
    <row r="356" spans="4:10" x14ac:dyDescent="0.25">
      <c r="D356" s="4" t="e">
        <f t="shared" si="42"/>
        <v>#N/A</v>
      </c>
      <c r="E356" t="str">
        <f t="shared" si="43"/>
        <v>TowerRedundantHipDiagonalGageG1Distance3</v>
      </c>
      <c r="F356" s="4" t="str">
        <f t="shared" si="44"/>
        <v>NO</v>
      </c>
      <c r="G356" s="4" t="str">
        <f t="shared" si="45"/>
        <v>NO</v>
      </c>
      <c r="H356" s="4" t="str">
        <f t="shared" si="46"/>
        <v>NO</v>
      </c>
      <c r="I356" s="4" t="str">
        <f t="shared" si="47"/>
        <v>NO</v>
      </c>
      <c r="J356" t="s">
        <v>697</v>
      </c>
    </row>
    <row r="357" spans="4:10" x14ac:dyDescent="0.25">
      <c r="D357" s="4" t="e">
        <f t="shared" si="42"/>
        <v>#N/A</v>
      </c>
      <c r="E357" t="str">
        <f t="shared" si="43"/>
        <v>TowerRedundantHipDiagonalNetWidthDeduct3</v>
      </c>
      <c r="F357" s="4" t="str">
        <f t="shared" si="44"/>
        <v>NO</v>
      </c>
      <c r="G357" s="4" t="str">
        <f t="shared" si="45"/>
        <v>NO</v>
      </c>
      <c r="H357" s="4" t="str">
        <f t="shared" si="46"/>
        <v>NO</v>
      </c>
      <c r="I357" s="4" t="str">
        <f t="shared" si="47"/>
        <v>NO</v>
      </c>
      <c r="J357" t="s">
        <v>698</v>
      </c>
    </row>
    <row r="358" spans="4:10" x14ac:dyDescent="0.25">
      <c r="D358" s="4" t="e">
        <f t="shared" si="42"/>
        <v>#N/A</v>
      </c>
      <c r="E358" t="str">
        <f t="shared" si="43"/>
        <v>TowerRedundantHipDiagonalUFactor3</v>
      </c>
      <c r="F358" s="4" t="str">
        <f t="shared" si="44"/>
        <v>NO</v>
      </c>
      <c r="G358" s="4" t="str">
        <f t="shared" si="45"/>
        <v>NO</v>
      </c>
      <c r="H358" s="4" t="str">
        <f t="shared" si="46"/>
        <v>NO</v>
      </c>
      <c r="I358" s="4" t="str">
        <f t="shared" si="47"/>
        <v>NO</v>
      </c>
      <c r="J358" t="s">
        <v>699</v>
      </c>
    </row>
    <row r="359" spans="4:10" x14ac:dyDescent="0.25">
      <c r="D359" s="4" t="e">
        <f t="shared" si="42"/>
        <v>#N/A</v>
      </c>
      <c r="E359" t="str">
        <f t="shared" si="43"/>
        <v>TowerRedundantHipDiagonalBoltGrade4</v>
      </c>
      <c r="F359" s="4" t="str">
        <f t="shared" si="44"/>
        <v>NO</v>
      </c>
      <c r="G359" s="4" t="str">
        <f t="shared" si="45"/>
        <v>NO</v>
      </c>
      <c r="H359" s="4" t="str">
        <f t="shared" si="46"/>
        <v>NO</v>
      </c>
      <c r="I359" s="4" t="str">
        <f t="shared" si="47"/>
        <v>NO</v>
      </c>
      <c r="J359" t="s">
        <v>700</v>
      </c>
    </row>
    <row r="360" spans="4:10" x14ac:dyDescent="0.25">
      <c r="D360" s="4" t="e">
        <f t="shared" si="42"/>
        <v>#N/A</v>
      </c>
      <c r="E360" t="str">
        <f t="shared" si="43"/>
        <v>TowerRedundantHipDiagonalBoltSize4</v>
      </c>
      <c r="F360" s="4" t="str">
        <f t="shared" si="44"/>
        <v>NO</v>
      </c>
      <c r="G360" s="4" t="str">
        <f t="shared" si="45"/>
        <v>NO</v>
      </c>
      <c r="H360" s="4" t="str">
        <f t="shared" si="46"/>
        <v>NO</v>
      </c>
      <c r="I360" s="4" t="str">
        <f t="shared" si="47"/>
        <v>NO</v>
      </c>
      <c r="J360" t="s">
        <v>701</v>
      </c>
    </row>
    <row r="361" spans="4:10" x14ac:dyDescent="0.25">
      <c r="D361" s="4" t="e">
        <f t="shared" si="42"/>
        <v>#N/A</v>
      </c>
      <c r="E361" t="str">
        <f t="shared" si="43"/>
        <v>TowerRedundantHipDiagonalNumBolts4</v>
      </c>
      <c r="F361" s="4" t="str">
        <f t="shared" si="44"/>
        <v>NO</v>
      </c>
      <c r="G361" s="4" t="str">
        <f t="shared" si="45"/>
        <v>NO</v>
      </c>
      <c r="H361" s="4" t="str">
        <f t="shared" si="46"/>
        <v>NO</v>
      </c>
      <c r="I361" s="4" t="str">
        <f t="shared" si="47"/>
        <v>NO</v>
      </c>
      <c r="J361" t="s">
        <v>702</v>
      </c>
    </row>
    <row r="362" spans="4:10" x14ac:dyDescent="0.25">
      <c r="D362" s="4" t="e">
        <f t="shared" si="42"/>
        <v>#N/A</v>
      </c>
      <c r="E362" t="str">
        <f t="shared" si="43"/>
        <v>TowerRedundantHipDiagonalBoltEdgeDistance4</v>
      </c>
      <c r="F362" s="4" t="str">
        <f t="shared" si="44"/>
        <v>NO</v>
      </c>
      <c r="G362" s="4" t="str">
        <f t="shared" si="45"/>
        <v>NO</v>
      </c>
      <c r="H362" s="4" t="str">
        <f t="shared" si="46"/>
        <v>NO</v>
      </c>
      <c r="I362" s="4" t="str">
        <f t="shared" si="47"/>
        <v>NO</v>
      </c>
      <c r="J362" t="s">
        <v>703</v>
      </c>
    </row>
    <row r="363" spans="4:10" x14ac:dyDescent="0.25">
      <c r="D363" s="4" t="e">
        <f t="shared" si="42"/>
        <v>#N/A</v>
      </c>
      <c r="E363" t="str">
        <f t="shared" si="43"/>
        <v>TowerRedundantHipDiagonalGageG1Distance4</v>
      </c>
      <c r="F363" s="4" t="str">
        <f t="shared" si="44"/>
        <v>NO</v>
      </c>
      <c r="G363" s="4" t="str">
        <f t="shared" si="45"/>
        <v>NO</v>
      </c>
      <c r="H363" s="4" t="str">
        <f t="shared" si="46"/>
        <v>NO</v>
      </c>
      <c r="I363" s="4" t="str">
        <f t="shared" si="47"/>
        <v>NO</v>
      </c>
      <c r="J363" t="s">
        <v>704</v>
      </c>
    </row>
    <row r="364" spans="4:10" x14ac:dyDescent="0.25">
      <c r="D364" s="4" t="e">
        <f t="shared" si="42"/>
        <v>#N/A</v>
      </c>
      <c r="E364" t="str">
        <f t="shared" si="43"/>
        <v>TowerRedundantHipDiagonalNetWidthDeduct4</v>
      </c>
      <c r="F364" s="4" t="str">
        <f t="shared" si="44"/>
        <v>NO</v>
      </c>
      <c r="G364" s="4" t="str">
        <f t="shared" si="45"/>
        <v>NO</v>
      </c>
      <c r="H364" s="4" t="str">
        <f t="shared" si="46"/>
        <v>NO</v>
      </c>
      <c r="I364" s="4" t="str">
        <f t="shared" si="47"/>
        <v>NO</v>
      </c>
      <c r="J364" t="s">
        <v>705</v>
      </c>
    </row>
    <row r="365" spans="4:10" x14ac:dyDescent="0.25">
      <c r="D365" s="4" t="e">
        <f t="shared" si="42"/>
        <v>#N/A</v>
      </c>
      <c r="E365" t="str">
        <f t="shared" si="43"/>
        <v>TowerRedundantHipDiagonalUFactor4</v>
      </c>
      <c r="F365" s="4" t="str">
        <f t="shared" si="44"/>
        <v>NO</v>
      </c>
      <c r="G365" s="4" t="str">
        <f t="shared" si="45"/>
        <v>NO</v>
      </c>
      <c r="H365" s="4" t="str">
        <f t="shared" si="46"/>
        <v>NO</v>
      </c>
      <c r="I365" s="4" t="str">
        <f t="shared" si="47"/>
        <v>NO</v>
      </c>
      <c r="J365" t="s">
        <v>706</v>
      </c>
    </row>
    <row r="366" spans="4:10" hidden="1" x14ac:dyDescent="0.25">
      <c r="D366" s="4" t="e">
        <f t="shared" si="42"/>
        <v>#N/A</v>
      </c>
      <c r="E366" t="str">
        <f t="shared" si="43"/>
        <v>TowerDiagonalOutOfPlaneRestraint</v>
      </c>
      <c r="F366" s="4" t="str">
        <f t="shared" si="44"/>
        <v>YES</v>
      </c>
      <c r="G366" s="4" t="str">
        <f t="shared" si="45"/>
        <v>YES</v>
      </c>
      <c r="H366" s="4" t="str">
        <f t="shared" si="46"/>
        <v>NO</v>
      </c>
      <c r="I366" s="4" t="str">
        <f t="shared" si="47"/>
        <v>YES</v>
      </c>
      <c r="J366" t="s">
        <v>707</v>
      </c>
    </row>
    <row r="367" spans="4:10" hidden="1" x14ac:dyDescent="0.25">
      <c r="D367" s="4" t="e">
        <f t="shared" si="42"/>
        <v>#N/A</v>
      </c>
      <c r="E367" t="str">
        <f t="shared" si="43"/>
        <v>TowerTopGirtOutOfPlaneRestraint</v>
      </c>
      <c r="F367" s="4" t="str">
        <f t="shared" si="44"/>
        <v>YES</v>
      </c>
      <c r="G367" s="4" t="str">
        <f t="shared" si="45"/>
        <v>YES</v>
      </c>
      <c r="H367" s="4" t="str">
        <f t="shared" si="46"/>
        <v>NO</v>
      </c>
      <c r="I367" s="4" t="str">
        <f t="shared" si="47"/>
        <v>YES</v>
      </c>
      <c r="J367" t="s">
        <v>708</v>
      </c>
    </row>
    <row r="368" spans="4:10" hidden="1" x14ac:dyDescent="0.25">
      <c r="D368" s="4" t="e">
        <f t="shared" si="42"/>
        <v>#N/A</v>
      </c>
      <c r="E368" t="str">
        <f t="shared" si="43"/>
        <v>TowerBottomGirtOutOfPlaneRestraint</v>
      </c>
      <c r="F368" s="4" t="str">
        <f t="shared" si="44"/>
        <v>YES</v>
      </c>
      <c r="G368" s="4" t="str">
        <f t="shared" si="45"/>
        <v>YES</v>
      </c>
      <c r="H368" s="4" t="str">
        <f t="shared" si="46"/>
        <v>NO</v>
      </c>
      <c r="I368" s="4" t="str">
        <f t="shared" si="47"/>
        <v>YES</v>
      </c>
      <c r="J368" t="s">
        <v>709</v>
      </c>
    </row>
    <row r="369" spans="4:10" hidden="1" x14ac:dyDescent="0.25">
      <c r="D369" s="4" t="e">
        <f t="shared" si="42"/>
        <v>#N/A</v>
      </c>
      <c r="E369" t="str">
        <f t="shared" si="43"/>
        <v>TowerMidGirtOutOfPlaneRestraint</v>
      </c>
      <c r="F369" s="4" t="str">
        <f t="shared" si="44"/>
        <v>YES</v>
      </c>
      <c r="G369" s="4" t="str">
        <f t="shared" si="45"/>
        <v>YES</v>
      </c>
      <c r="H369" s="4" t="str">
        <f t="shared" si="46"/>
        <v>NO</v>
      </c>
      <c r="I369" s="4" t="str">
        <f t="shared" si="47"/>
        <v>YES</v>
      </c>
      <c r="J369" t="s">
        <v>710</v>
      </c>
    </row>
    <row r="370" spans="4:10" hidden="1" x14ac:dyDescent="0.25">
      <c r="D370" s="4" t="e">
        <f t="shared" si="42"/>
        <v>#N/A</v>
      </c>
      <c r="E370" t="str">
        <f t="shared" si="43"/>
        <v>TowerHorizontalOutOfPlaneRestraint</v>
      </c>
      <c r="F370" s="4" t="str">
        <f t="shared" si="44"/>
        <v>YES</v>
      </c>
      <c r="G370" s="4" t="str">
        <f t="shared" si="45"/>
        <v>YES</v>
      </c>
      <c r="H370" s="4" t="str">
        <f t="shared" si="46"/>
        <v>NO</v>
      </c>
      <c r="I370" s="4" t="str">
        <f t="shared" si="47"/>
        <v>YES</v>
      </c>
      <c r="J370" t="s">
        <v>711</v>
      </c>
    </row>
    <row r="371" spans="4:10" hidden="1" x14ac:dyDescent="0.25">
      <c r="D371" s="4" t="e">
        <f t="shared" si="42"/>
        <v>#N/A</v>
      </c>
      <c r="E371" t="str">
        <f t="shared" si="43"/>
        <v>TowerSecondaryHorizontalOutOfPlaneRestraint</v>
      </c>
      <c r="F371" s="4" t="str">
        <f t="shared" si="44"/>
        <v>YES</v>
      </c>
      <c r="G371" s="4" t="str">
        <f t="shared" si="45"/>
        <v>YES</v>
      </c>
      <c r="H371" s="4" t="str">
        <f t="shared" si="46"/>
        <v>NO</v>
      </c>
      <c r="I371" s="4" t="str">
        <f t="shared" si="47"/>
        <v>YES</v>
      </c>
      <c r="J371" t="s">
        <v>712</v>
      </c>
    </row>
    <row r="372" spans="4:10" hidden="1" x14ac:dyDescent="0.25">
      <c r="D372" s="4" t="e">
        <f t="shared" si="42"/>
        <v>#N/A</v>
      </c>
      <c r="E372" t="str">
        <f t="shared" si="43"/>
        <v>TowerUniqueFlag</v>
      </c>
      <c r="F372" s="4" t="str">
        <f t="shared" si="44"/>
        <v>YES</v>
      </c>
      <c r="G372" s="4" t="str">
        <f t="shared" si="45"/>
        <v>YES</v>
      </c>
      <c r="H372" s="4" t="str">
        <f t="shared" si="46"/>
        <v>YES</v>
      </c>
      <c r="I372" s="4" t="str">
        <f t="shared" si="47"/>
        <v>YES</v>
      </c>
      <c r="J372" t="s">
        <v>713</v>
      </c>
    </row>
    <row r="373" spans="4:10" hidden="1" x14ac:dyDescent="0.25">
      <c r="D373" s="4" t="e">
        <f t="shared" si="42"/>
        <v>#N/A</v>
      </c>
      <c r="E373" t="str">
        <f t="shared" si="43"/>
        <v>TowerDiagOffsetNEY</v>
      </c>
      <c r="F373" s="4" t="str">
        <f t="shared" si="44"/>
        <v>YES</v>
      </c>
      <c r="G373" s="4" t="str">
        <f t="shared" si="45"/>
        <v>YES</v>
      </c>
      <c r="H373" s="4" t="str">
        <f t="shared" si="46"/>
        <v>YES</v>
      </c>
      <c r="I373" s="4" t="str">
        <f t="shared" si="47"/>
        <v>YES</v>
      </c>
      <c r="J373" t="s">
        <v>714</v>
      </c>
    </row>
    <row r="374" spans="4:10" hidden="1" x14ac:dyDescent="0.25">
      <c r="D374" s="4" t="e">
        <f t="shared" si="42"/>
        <v>#N/A</v>
      </c>
      <c r="E374" t="str">
        <f t="shared" si="43"/>
        <v>TowerDiagOffsetNEX</v>
      </c>
      <c r="F374" s="4" t="str">
        <f t="shared" si="44"/>
        <v>YES</v>
      </c>
      <c r="G374" s="4" t="str">
        <f t="shared" si="45"/>
        <v>YES</v>
      </c>
      <c r="H374" s="4" t="str">
        <f t="shared" si="46"/>
        <v>YES</v>
      </c>
      <c r="I374" s="4" t="str">
        <f t="shared" si="47"/>
        <v>YES</v>
      </c>
      <c r="J374" t="s">
        <v>715</v>
      </c>
    </row>
    <row r="375" spans="4:10" hidden="1" x14ac:dyDescent="0.25">
      <c r="D375" s="4" t="e">
        <f t="shared" si="42"/>
        <v>#N/A</v>
      </c>
      <c r="E375" t="str">
        <f t="shared" si="43"/>
        <v>TowerDiagOffsetPEY</v>
      </c>
      <c r="F375" s="4" t="str">
        <f t="shared" si="44"/>
        <v>YES</v>
      </c>
      <c r="G375" s="4" t="str">
        <f t="shared" si="45"/>
        <v>YES</v>
      </c>
      <c r="H375" s="4" t="str">
        <f t="shared" si="46"/>
        <v>YES</v>
      </c>
      <c r="I375" s="4" t="str">
        <f t="shared" si="47"/>
        <v>YES</v>
      </c>
      <c r="J375" t="s">
        <v>716</v>
      </c>
    </row>
    <row r="376" spans="4:10" hidden="1" x14ac:dyDescent="0.25">
      <c r="D376" s="4" t="e">
        <f t="shared" si="42"/>
        <v>#N/A</v>
      </c>
      <c r="E376" t="str">
        <f t="shared" si="43"/>
        <v>TowerDiagOffsetPEX</v>
      </c>
      <c r="F376" s="4" t="str">
        <f t="shared" si="44"/>
        <v>YES</v>
      </c>
      <c r="G376" s="4" t="str">
        <f t="shared" si="45"/>
        <v>YES</v>
      </c>
      <c r="H376" s="4" t="str">
        <f t="shared" si="46"/>
        <v>YES</v>
      </c>
      <c r="I376" s="4" t="str">
        <f t="shared" si="47"/>
        <v>YES</v>
      </c>
      <c r="J376" t="s">
        <v>717</v>
      </c>
    </row>
    <row r="377" spans="4:10" hidden="1" x14ac:dyDescent="0.25">
      <c r="D377" s="4" t="e">
        <f t="shared" si="42"/>
        <v>#N/A</v>
      </c>
      <c r="E377" t="str">
        <f t="shared" si="43"/>
        <v>TowerKbraceOffsetNEY</v>
      </c>
      <c r="F377" s="4" t="str">
        <f t="shared" si="44"/>
        <v>YES</v>
      </c>
      <c r="G377" s="4" t="str">
        <f t="shared" si="45"/>
        <v>YES</v>
      </c>
      <c r="H377" s="4" t="str">
        <f t="shared" si="46"/>
        <v>YES</v>
      </c>
      <c r="I377" s="4" t="str">
        <f t="shared" si="47"/>
        <v>YES</v>
      </c>
      <c r="J377" t="s">
        <v>718</v>
      </c>
    </row>
    <row r="378" spans="4:10" hidden="1" x14ac:dyDescent="0.25">
      <c r="D378" s="4" t="e">
        <f t="shared" si="42"/>
        <v>#N/A</v>
      </c>
      <c r="E378" t="str">
        <f t="shared" si="43"/>
        <v>TowerKbraceOffsetNEX</v>
      </c>
      <c r="F378" s="4" t="str">
        <f t="shared" si="44"/>
        <v>YES</v>
      </c>
      <c r="G378" s="4" t="str">
        <f t="shared" si="45"/>
        <v>YES</v>
      </c>
      <c r="H378" s="4" t="str">
        <f t="shared" si="46"/>
        <v>YES</v>
      </c>
      <c r="I378" s="4" t="str">
        <f t="shared" si="47"/>
        <v>YES</v>
      </c>
      <c r="J378" t="s">
        <v>719</v>
      </c>
    </row>
    <row r="379" spans="4:10" hidden="1" x14ac:dyDescent="0.25">
      <c r="D379" s="4" t="e">
        <f t="shared" si="42"/>
        <v>#N/A</v>
      </c>
      <c r="E379" t="str">
        <f t="shared" si="43"/>
        <v>TowerKbraceOffsetPEY</v>
      </c>
      <c r="F379" s="4" t="str">
        <f t="shared" si="44"/>
        <v>YES</v>
      </c>
      <c r="G379" s="4" t="str">
        <f t="shared" si="45"/>
        <v>YES</v>
      </c>
      <c r="H379" s="4" t="str">
        <f t="shared" si="46"/>
        <v>YES</v>
      </c>
      <c r="I379" s="4" t="str">
        <f t="shared" si="47"/>
        <v>YES</v>
      </c>
      <c r="J379" t="s">
        <v>720</v>
      </c>
    </row>
    <row r="380" spans="4:10" hidden="1" x14ac:dyDescent="0.25">
      <c r="D380" s="4" t="e">
        <f t="shared" si="42"/>
        <v>#N/A</v>
      </c>
      <c r="E380" t="str">
        <f t="shared" si="43"/>
        <v>TowerKbraceOffsetPEX</v>
      </c>
      <c r="F380" s="4" t="str">
        <f t="shared" si="44"/>
        <v>YES</v>
      </c>
      <c r="G380" s="4" t="str">
        <f t="shared" si="45"/>
        <v>YES</v>
      </c>
      <c r="H380" s="4" t="str">
        <f t="shared" si="46"/>
        <v>YES</v>
      </c>
      <c r="I380" s="4" t="str">
        <f t="shared" si="47"/>
        <v>YES</v>
      </c>
      <c r="J380" t="s">
        <v>721</v>
      </c>
    </row>
    <row r="381" spans="4:10" x14ac:dyDescent="0.25">
      <c r="D381" s="4" t="e">
        <f t="shared" si="42"/>
        <v>#N/A</v>
      </c>
      <c r="E381" t="str">
        <f t="shared" si="43"/>
        <v>TowerRedundantHorizontalGradeOverwrite</v>
      </c>
      <c r="F381" s="4" t="str">
        <f t="shared" si="44"/>
        <v>NO</v>
      </c>
      <c r="G381" s="4" t="str">
        <f t="shared" si="45"/>
        <v>NO</v>
      </c>
      <c r="H381" s="4" t="str">
        <f t="shared" si="46"/>
        <v>NO</v>
      </c>
      <c r="I381" s="4" t="str">
        <f t="shared" si="47"/>
        <v>NO</v>
      </c>
      <c r="J381" t="s">
        <v>350</v>
      </c>
    </row>
    <row r="382" spans="4:10" x14ac:dyDescent="0.25">
      <c r="D382" s="4" t="e">
        <f t="shared" si="42"/>
        <v>#N/A</v>
      </c>
      <c r="E382" t="str">
        <f t="shared" si="43"/>
        <v>TowerRedundantHorizontalMatlGradeOverwrite</v>
      </c>
      <c r="F382" s="4" t="str">
        <f t="shared" si="44"/>
        <v>NO</v>
      </c>
      <c r="G382" s="4" t="str">
        <f t="shared" si="45"/>
        <v>NO</v>
      </c>
      <c r="H382" s="4" t="str">
        <f t="shared" si="46"/>
        <v>NO</v>
      </c>
      <c r="I382" s="4" t="str">
        <f t="shared" si="47"/>
        <v>NO</v>
      </c>
      <c r="J382" t="s">
        <v>352</v>
      </c>
    </row>
    <row r="383" spans="4:10" x14ac:dyDescent="0.25">
      <c r="D383" s="4" t="e">
        <f t="shared" si="42"/>
        <v>#N/A</v>
      </c>
      <c r="E383" t="str">
        <f t="shared" si="43"/>
        <v>TowerRedundantHorizontalGrade2Overwrite</v>
      </c>
      <c r="F383" s="4" t="str">
        <f t="shared" si="44"/>
        <v>NO</v>
      </c>
      <c r="G383" s="4" t="str">
        <f t="shared" si="45"/>
        <v>NO</v>
      </c>
      <c r="H383" s="4" t="str">
        <f t="shared" si="46"/>
        <v>NO</v>
      </c>
      <c r="I383" s="4" t="str">
        <f t="shared" si="47"/>
        <v>NO</v>
      </c>
      <c r="J383" t="s">
        <v>354</v>
      </c>
    </row>
    <row r="384" spans="4:10" x14ac:dyDescent="0.25">
      <c r="D384" s="4" t="e">
        <f t="shared" si="42"/>
        <v>#N/A</v>
      </c>
      <c r="E384" t="str">
        <f t="shared" si="43"/>
        <v>TowerRedundantHorizontalMatlGrade2Overwrite</v>
      </c>
      <c r="F384" s="4" t="str">
        <f t="shared" si="44"/>
        <v>NO</v>
      </c>
      <c r="G384" s="4" t="str">
        <f t="shared" si="45"/>
        <v>NO</v>
      </c>
      <c r="H384" s="4" t="str">
        <f t="shared" si="46"/>
        <v>NO</v>
      </c>
      <c r="I384" s="4" t="str">
        <f t="shared" si="47"/>
        <v>NO</v>
      </c>
      <c r="J384" t="s">
        <v>356</v>
      </c>
    </row>
    <row r="385" spans="4:10" x14ac:dyDescent="0.25">
      <c r="D385" s="4" t="e">
        <f t="shared" si="42"/>
        <v>#N/A</v>
      </c>
      <c r="E385" t="str">
        <f t="shared" si="43"/>
        <v>TowerRedundantHorizontalGrade3Overwrite</v>
      </c>
      <c r="F385" s="4" t="str">
        <f t="shared" si="44"/>
        <v>NO</v>
      </c>
      <c r="G385" s="4" t="str">
        <f t="shared" si="45"/>
        <v>NO</v>
      </c>
      <c r="H385" s="4" t="str">
        <f t="shared" si="46"/>
        <v>NO</v>
      </c>
      <c r="I385" s="4" t="str">
        <f t="shared" si="47"/>
        <v>NO</v>
      </c>
      <c r="J385" t="s">
        <v>358</v>
      </c>
    </row>
    <row r="386" spans="4:10" x14ac:dyDescent="0.25">
      <c r="D386" s="4" t="e">
        <f t="shared" si="42"/>
        <v>#N/A</v>
      </c>
      <c r="E386" t="str">
        <f t="shared" si="43"/>
        <v>TowerRedundantHorizontalMatlGrade3Overwrite</v>
      </c>
      <c r="F386" s="4" t="str">
        <f t="shared" si="44"/>
        <v>NO</v>
      </c>
      <c r="G386" s="4" t="str">
        <f t="shared" si="45"/>
        <v>NO</v>
      </c>
      <c r="H386" s="4" t="str">
        <f t="shared" si="46"/>
        <v>NO</v>
      </c>
      <c r="I386" s="4" t="str">
        <f t="shared" si="47"/>
        <v>NO</v>
      </c>
      <c r="J386" t="s">
        <v>360</v>
      </c>
    </row>
    <row r="387" spans="4:10" x14ac:dyDescent="0.25">
      <c r="D387" s="4" t="e">
        <f t="shared" si="42"/>
        <v>#N/A</v>
      </c>
      <c r="E387" t="str">
        <f t="shared" si="43"/>
        <v>TowerRedundantHorizontalGrade4Overwrite</v>
      </c>
      <c r="F387" s="4" t="str">
        <f t="shared" si="44"/>
        <v>NO</v>
      </c>
      <c r="G387" s="4" t="str">
        <f t="shared" si="45"/>
        <v>NO</v>
      </c>
      <c r="H387" s="4" t="str">
        <f t="shared" si="46"/>
        <v>NO</v>
      </c>
      <c r="I387" s="4" t="str">
        <f t="shared" si="47"/>
        <v>NO</v>
      </c>
      <c r="J387" t="s">
        <v>362</v>
      </c>
    </row>
    <row r="388" spans="4:10" x14ac:dyDescent="0.25">
      <c r="D388" s="4" t="e">
        <f t="shared" si="42"/>
        <v>#N/A</v>
      </c>
      <c r="E388" t="str">
        <f t="shared" si="43"/>
        <v>TowerRedundantHorizontalMatlGrade4Overwrite</v>
      </c>
      <c r="F388" s="4" t="str">
        <f t="shared" si="44"/>
        <v>NO</v>
      </c>
      <c r="G388" s="4" t="str">
        <f t="shared" si="45"/>
        <v>NO</v>
      </c>
      <c r="H388" s="4" t="str">
        <f t="shared" si="46"/>
        <v>NO</v>
      </c>
      <c r="I388" s="4" t="str">
        <f t="shared" si="47"/>
        <v>NO</v>
      </c>
      <c r="J388" t="s">
        <v>364</v>
      </c>
    </row>
    <row r="389" spans="4:10" x14ac:dyDescent="0.25">
      <c r="D389" s="4" t="e">
        <f t="shared" ref="D389:D418" si="48">MATCH(C389,E:E,0)</f>
        <v>#N/A</v>
      </c>
      <c r="E389" t="str">
        <f t="shared" ref="E389:E418" si="49">(J389)</f>
        <v>TowerRedundantDiagonalGradeOverwrite</v>
      </c>
      <c r="F389" s="4" t="str">
        <f t="shared" ref="F389:F418" si="50">IFERROR(IF(MATCH(E389,C:C,0)&gt;0,"YES"),"NO")</f>
        <v>NO</v>
      </c>
      <c r="G389" s="4" t="str">
        <f t="shared" ref="G389:G418" si="51">IFERROR(IF(MATCH(E389,N:N,0)&gt;0,"YES"),"NO")</f>
        <v>NO</v>
      </c>
      <c r="H389" s="4" t="str">
        <f t="shared" ref="H389:H418" si="52">IFERROR(IF(MATCH(E389,S:S,0)&gt;0,"YES"),"NO")</f>
        <v>NO</v>
      </c>
      <c r="I389" s="4" t="str">
        <f t="shared" ref="I389:I418" si="53">IF(OR(F389="NO",G389="NO"),"NO","YES")</f>
        <v>NO</v>
      </c>
      <c r="J389" t="s">
        <v>366</v>
      </c>
    </row>
    <row r="390" spans="4:10" x14ac:dyDescent="0.25">
      <c r="D390" s="4" t="e">
        <f t="shared" si="48"/>
        <v>#N/A</v>
      </c>
      <c r="E390" t="str">
        <f t="shared" si="49"/>
        <v>TowerRedundantDiagonalMatlGradeOverwrite</v>
      </c>
      <c r="F390" s="4" t="str">
        <f t="shared" si="50"/>
        <v>NO</v>
      </c>
      <c r="G390" s="4" t="str">
        <f t="shared" si="51"/>
        <v>NO</v>
      </c>
      <c r="H390" s="4" t="str">
        <f t="shared" si="52"/>
        <v>NO</v>
      </c>
      <c r="I390" s="4" t="str">
        <f t="shared" si="53"/>
        <v>NO</v>
      </c>
      <c r="J390" t="s">
        <v>368</v>
      </c>
    </row>
    <row r="391" spans="4:10" x14ac:dyDescent="0.25">
      <c r="D391" s="4" t="e">
        <f t="shared" si="48"/>
        <v>#N/A</v>
      </c>
      <c r="E391" t="str">
        <f t="shared" si="49"/>
        <v>TowerRedundantDiagonalGrade2Overwrite</v>
      </c>
      <c r="F391" s="4" t="str">
        <f t="shared" si="50"/>
        <v>NO</v>
      </c>
      <c r="G391" s="4" t="str">
        <f t="shared" si="51"/>
        <v>NO</v>
      </c>
      <c r="H391" s="4" t="str">
        <f t="shared" si="52"/>
        <v>NO</v>
      </c>
      <c r="I391" s="4" t="str">
        <f t="shared" si="53"/>
        <v>NO</v>
      </c>
      <c r="J391" t="s">
        <v>370</v>
      </c>
    </row>
    <row r="392" spans="4:10" x14ac:dyDescent="0.25">
      <c r="D392" s="4" t="e">
        <f t="shared" si="48"/>
        <v>#N/A</v>
      </c>
      <c r="E392" t="str">
        <f t="shared" si="49"/>
        <v>TowerRedundantDiagonalMatlGrade2Overwrite</v>
      </c>
      <c r="F392" s="4" t="str">
        <f t="shared" si="50"/>
        <v>NO</v>
      </c>
      <c r="G392" s="4" t="str">
        <f t="shared" si="51"/>
        <v>NO</v>
      </c>
      <c r="H392" s="4" t="str">
        <f t="shared" si="52"/>
        <v>NO</v>
      </c>
      <c r="I392" s="4" t="str">
        <f t="shared" si="53"/>
        <v>NO</v>
      </c>
      <c r="J392" t="s">
        <v>372</v>
      </c>
    </row>
    <row r="393" spans="4:10" x14ac:dyDescent="0.25">
      <c r="D393" s="4" t="e">
        <f t="shared" si="48"/>
        <v>#N/A</v>
      </c>
      <c r="E393" t="str">
        <f t="shared" si="49"/>
        <v>TowerRedundantDiagonalGrade3Overwrite</v>
      </c>
      <c r="F393" s="4" t="str">
        <f t="shared" si="50"/>
        <v>NO</v>
      </c>
      <c r="G393" s="4" t="str">
        <f t="shared" si="51"/>
        <v>NO</v>
      </c>
      <c r="H393" s="4" t="str">
        <f t="shared" si="52"/>
        <v>NO</v>
      </c>
      <c r="I393" s="4" t="str">
        <f t="shared" si="53"/>
        <v>NO</v>
      </c>
      <c r="J393" t="s">
        <v>374</v>
      </c>
    </row>
    <row r="394" spans="4:10" x14ac:dyDescent="0.25">
      <c r="D394" s="4" t="e">
        <f t="shared" si="48"/>
        <v>#N/A</v>
      </c>
      <c r="E394" t="str">
        <f t="shared" si="49"/>
        <v>TowerRedundantDiagonalMatlGrade3Overwrite</v>
      </c>
      <c r="F394" s="4" t="str">
        <f t="shared" si="50"/>
        <v>NO</v>
      </c>
      <c r="G394" s="4" t="str">
        <f t="shared" si="51"/>
        <v>NO</v>
      </c>
      <c r="H394" s="4" t="str">
        <f t="shared" si="52"/>
        <v>NO</v>
      </c>
      <c r="I394" s="4" t="str">
        <f t="shared" si="53"/>
        <v>NO</v>
      </c>
      <c r="J394" t="s">
        <v>376</v>
      </c>
    </row>
    <row r="395" spans="4:10" x14ac:dyDescent="0.25">
      <c r="D395" s="4" t="e">
        <f t="shared" si="48"/>
        <v>#N/A</v>
      </c>
      <c r="E395" t="str">
        <f t="shared" si="49"/>
        <v>TowerRedundantDiagonalGrade4Overwrite</v>
      </c>
      <c r="F395" s="4" t="str">
        <f t="shared" si="50"/>
        <v>NO</v>
      </c>
      <c r="G395" s="4" t="str">
        <f t="shared" si="51"/>
        <v>NO</v>
      </c>
      <c r="H395" s="4" t="str">
        <f t="shared" si="52"/>
        <v>NO</v>
      </c>
      <c r="I395" s="4" t="str">
        <f t="shared" si="53"/>
        <v>NO</v>
      </c>
      <c r="J395" t="s">
        <v>378</v>
      </c>
    </row>
    <row r="396" spans="4:10" x14ac:dyDescent="0.25">
      <c r="D396" s="4" t="e">
        <f t="shared" si="48"/>
        <v>#N/A</v>
      </c>
      <c r="E396" t="str">
        <f t="shared" si="49"/>
        <v>TowerRedundantDiagonalMatlGrade4Overwrite</v>
      </c>
      <c r="F396" s="4" t="str">
        <f t="shared" si="50"/>
        <v>NO</v>
      </c>
      <c r="G396" s="4" t="str">
        <f t="shared" si="51"/>
        <v>NO</v>
      </c>
      <c r="H396" s="4" t="str">
        <f t="shared" si="52"/>
        <v>NO</v>
      </c>
      <c r="I396" s="4" t="str">
        <f t="shared" si="53"/>
        <v>NO</v>
      </c>
      <c r="J396" t="s">
        <v>380</v>
      </c>
    </row>
    <row r="397" spans="4:10" x14ac:dyDescent="0.25">
      <c r="D397" s="4" t="e">
        <f t="shared" si="48"/>
        <v>#N/A</v>
      </c>
      <c r="E397" t="str">
        <f t="shared" si="49"/>
        <v>TowerRedundantSubHorizontalGradeOverwrite</v>
      </c>
      <c r="F397" s="4" t="str">
        <f t="shared" si="50"/>
        <v>NO</v>
      </c>
      <c r="G397" s="4" t="str">
        <f t="shared" si="51"/>
        <v>NO</v>
      </c>
      <c r="H397" s="4" t="str">
        <f t="shared" si="52"/>
        <v>NO</v>
      </c>
      <c r="I397" s="4" t="str">
        <f t="shared" si="53"/>
        <v>NO</v>
      </c>
      <c r="J397" t="s">
        <v>382</v>
      </c>
    </row>
    <row r="398" spans="4:10" x14ac:dyDescent="0.25">
      <c r="D398" s="4" t="e">
        <f t="shared" si="48"/>
        <v>#N/A</v>
      </c>
      <c r="E398" t="str">
        <f t="shared" si="49"/>
        <v>TowerRedundantSubHorizontalMatlGradeOverwrite</v>
      </c>
      <c r="F398" s="4" t="str">
        <f t="shared" si="50"/>
        <v>NO</v>
      </c>
      <c r="G398" s="4" t="str">
        <f t="shared" si="51"/>
        <v>NO</v>
      </c>
      <c r="H398" s="4" t="str">
        <f t="shared" si="52"/>
        <v>NO</v>
      </c>
      <c r="I398" s="4" t="str">
        <f t="shared" si="53"/>
        <v>NO</v>
      </c>
      <c r="J398" t="s">
        <v>384</v>
      </c>
    </row>
    <row r="399" spans="4:10" x14ac:dyDescent="0.25">
      <c r="D399" s="4" t="e">
        <f t="shared" si="48"/>
        <v>#N/A</v>
      </c>
      <c r="E399" t="str">
        <f t="shared" si="49"/>
        <v>TowerRedundantSubDiagonalGradeOverwrite</v>
      </c>
      <c r="F399" s="4" t="str">
        <f t="shared" si="50"/>
        <v>NO</v>
      </c>
      <c r="G399" s="4" t="str">
        <f t="shared" si="51"/>
        <v>NO</v>
      </c>
      <c r="H399" s="4" t="str">
        <f t="shared" si="52"/>
        <v>NO</v>
      </c>
      <c r="I399" s="4" t="str">
        <f t="shared" si="53"/>
        <v>NO</v>
      </c>
      <c r="J399" t="s">
        <v>386</v>
      </c>
    </row>
    <row r="400" spans="4:10" x14ac:dyDescent="0.25">
      <c r="D400" s="4" t="e">
        <f t="shared" si="48"/>
        <v>#N/A</v>
      </c>
      <c r="E400" t="str">
        <f t="shared" si="49"/>
        <v>TowerRedundantSubDiagonalMatlGradeOverwrite</v>
      </c>
      <c r="F400" s="4" t="str">
        <f t="shared" si="50"/>
        <v>NO</v>
      </c>
      <c r="G400" s="4" t="str">
        <f t="shared" si="51"/>
        <v>NO</v>
      </c>
      <c r="H400" s="4" t="str">
        <f t="shared" si="52"/>
        <v>NO</v>
      </c>
      <c r="I400" s="4" t="str">
        <f t="shared" si="53"/>
        <v>NO</v>
      </c>
      <c r="J400" t="s">
        <v>388</v>
      </c>
    </row>
    <row r="401" spans="4:10" x14ac:dyDescent="0.25">
      <c r="D401" s="4" t="e">
        <f t="shared" si="48"/>
        <v>#N/A</v>
      </c>
      <c r="E401" t="str">
        <f t="shared" si="49"/>
        <v>TowerRedundantVerticalGradeOverwrite</v>
      </c>
      <c r="F401" s="4" t="str">
        <f t="shared" si="50"/>
        <v>NO</v>
      </c>
      <c r="G401" s="4" t="str">
        <f t="shared" si="51"/>
        <v>NO</v>
      </c>
      <c r="H401" s="4" t="str">
        <f t="shared" si="52"/>
        <v>NO</v>
      </c>
      <c r="I401" s="4" t="str">
        <f t="shared" si="53"/>
        <v>NO</v>
      </c>
      <c r="J401" t="s">
        <v>390</v>
      </c>
    </row>
    <row r="402" spans="4:10" x14ac:dyDescent="0.25">
      <c r="D402" s="4" t="e">
        <f t="shared" si="48"/>
        <v>#N/A</v>
      </c>
      <c r="E402" t="str">
        <f t="shared" si="49"/>
        <v>TowerRedundantVerticalMatlGrade3Overwrite</v>
      </c>
      <c r="F402" s="4" t="str">
        <f t="shared" si="50"/>
        <v>NO</v>
      </c>
      <c r="G402" s="4" t="str">
        <f t="shared" si="51"/>
        <v>NO</v>
      </c>
      <c r="H402" s="4" t="str">
        <f t="shared" si="52"/>
        <v>NO</v>
      </c>
      <c r="I402" s="4" t="str">
        <f t="shared" si="53"/>
        <v>NO</v>
      </c>
      <c r="J402" t="s">
        <v>392</v>
      </c>
    </row>
    <row r="403" spans="4:10" x14ac:dyDescent="0.25">
      <c r="D403" s="4" t="e">
        <f t="shared" si="48"/>
        <v>#N/A</v>
      </c>
      <c r="E403" t="str">
        <f t="shared" si="49"/>
        <v>TowerRedundantHipGradeOverwrite</v>
      </c>
      <c r="F403" s="4" t="str">
        <f t="shared" si="50"/>
        <v>NO</v>
      </c>
      <c r="G403" s="4" t="str">
        <f t="shared" si="51"/>
        <v>NO</v>
      </c>
      <c r="H403" s="4" t="str">
        <f t="shared" si="52"/>
        <v>NO</v>
      </c>
      <c r="I403" s="4" t="str">
        <f t="shared" si="53"/>
        <v>NO</v>
      </c>
      <c r="J403" t="s">
        <v>394</v>
      </c>
    </row>
    <row r="404" spans="4:10" x14ac:dyDescent="0.25">
      <c r="D404" s="4" t="e">
        <f t="shared" si="48"/>
        <v>#N/A</v>
      </c>
      <c r="E404" t="str">
        <f t="shared" si="49"/>
        <v>TowerRedundantHipMatlGradeOverwrite</v>
      </c>
      <c r="F404" s="4" t="str">
        <f t="shared" si="50"/>
        <v>NO</v>
      </c>
      <c r="G404" s="4" t="str">
        <f t="shared" si="51"/>
        <v>NO</v>
      </c>
      <c r="H404" s="4" t="str">
        <f t="shared" si="52"/>
        <v>NO</v>
      </c>
      <c r="I404" s="4" t="str">
        <f t="shared" si="53"/>
        <v>NO</v>
      </c>
      <c r="J404" t="s">
        <v>396</v>
      </c>
    </row>
    <row r="405" spans="4:10" x14ac:dyDescent="0.25">
      <c r="D405" s="4" t="e">
        <f t="shared" si="48"/>
        <v>#N/A</v>
      </c>
      <c r="E405" t="str">
        <f t="shared" si="49"/>
        <v>TowerRedundantHipGrade2Overwrite</v>
      </c>
      <c r="F405" s="4" t="str">
        <f t="shared" si="50"/>
        <v>NO</v>
      </c>
      <c r="G405" s="4" t="str">
        <f t="shared" si="51"/>
        <v>NO</v>
      </c>
      <c r="H405" s="4" t="str">
        <f t="shared" si="52"/>
        <v>NO</v>
      </c>
      <c r="I405" s="4" t="str">
        <f t="shared" si="53"/>
        <v>NO</v>
      </c>
      <c r="J405" t="s">
        <v>398</v>
      </c>
    </row>
    <row r="406" spans="4:10" x14ac:dyDescent="0.25">
      <c r="D406" s="4" t="e">
        <f t="shared" si="48"/>
        <v>#N/A</v>
      </c>
      <c r="E406" t="str">
        <f t="shared" si="49"/>
        <v>TowerRedundantHipMatlGrade2Overwrite</v>
      </c>
      <c r="F406" s="4" t="str">
        <f t="shared" si="50"/>
        <v>NO</v>
      </c>
      <c r="G406" s="4" t="str">
        <f t="shared" si="51"/>
        <v>NO</v>
      </c>
      <c r="H406" s="4" t="str">
        <f t="shared" si="52"/>
        <v>NO</v>
      </c>
      <c r="I406" s="4" t="str">
        <f t="shared" si="53"/>
        <v>NO</v>
      </c>
      <c r="J406" t="s">
        <v>400</v>
      </c>
    </row>
    <row r="407" spans="4:10" x14ac:dyDescent="0.25">
      <c r="D407" s="4" t="e">
        <f t="shared" si="48"/>
        <v>#N/A</v>
      </c>
      <c r="E407" t="str">
        <f t="shared" si="49"/>
        <v>TowerRedundantHipGrade3Overwrite</v>
      </c>
      <c r="F407" s="4" t="str">
        <f t="shared" si="50"/>
        <v>NO</v>
      </c>
      <c r="G407" s="4" t="str">
        <f t="shared" si="51"/>
        <v>NO</v>
      </c>
      <c r="H407" s="4" t="str">
        <f t="shared" si="52"/>
        <v>NO</v>
      </c>
      <c r="I407" s="4" t="str">
        <f t="shared" si="53"/>
        <v>NO</v>
      </c>
      <c r="J407" t="s">
        <v>402</v>
      </c>
    </row>
    <row r="408" spans="4:10" x14ac:dyDescent="0.25">
      <c r="D408" s="4" t="e">
        <f t="shared" si="48"/>
        <v>#N/A</v>
      </c>
      <c r="E408" t="str">
        <f t="shared" si="49"/>
        <v>TowerRedundantHipMatlGrade3Overwrite</v>
      </c>
      <c r="F408" s="4" t="str">
        <f t="shared" si="50"/>
        <v>NO</v>
      </c>
      <c r="G408" s="4" t="str">
        <f t="shared" si="51"/>
        <v>NO</v>
      </c>
      <c r="H408" s="4" t="str">
        <f t="shared" si="52"/>
        <v>NO</v>
      </c>
      <c r="I408" s="4" t="str">
        <f t="shared" si="53"/>
        <v>NO</v>
      </c>
      <c r="J408" t="s">
        <v>404</v>
      </c>
    </row>
    <row r="409" spans="4:10" x14ac:dyDescent="0.25">
      <c r="D409" s="4" t="e">
        <f t="shared" si="48"/>
        <v>#N/A</v>
      </c>
      <c r="E409" t="str">
        <f t="shared" si="49"/>
        <v>TowerRedundantHipGrade4Overwrite</v>
      </c>
      <c r="F409" s="4" t="str">
        <f t="shared" si="50"/>
        <v>NO</v>
      </c>
      <c r="G409" s="4" t="str">
        <f t="shared" si="51"/>
        <v>NO</v>
      </c>
      <c r="H409" s="4" t="str">
        <f t="shared" si="52"/>
        <v>NO</v>
      </c>
      <c r="I409" s="4" t="str">
        <f t="shared" si="53"/>
        <v>NO</v>
      </c>
      <c r="J409" t="s">
        <v>406</v>
      </c>
    </row>
    <row r="410" spans="4:10" x14ac:dyDescent="0.25">
      <c r="D410" s="4" t="e">
        <f t="shared" si="48"/>
        <v>#N/A</v>
      </c>
      <c r="E410" t="str">
        <f t="shared" si="49"/>
        <v>TowerRedundantHipMatlGrade4Overwrite</v>
      </c>
      <c r="F410" s="4" t="str">
        <f t="shared" si="50"/>
        <v>NO</v>
      </c>
      <c r="G410" s="4" t="str">
        <f t="shared" si="51"/>
        <v>NO</v>
      </c>
      <c r="H410" s="4" t="str">
        <f t="shared" si="52"/>
        <v>NO</v>
      </c>
      <c r="I410" s="4" t="str">
        <f t="shared" si="53"/>
        <v>NO</v>
      </c>
      <c r="J410" t="s">
        <v>408</v>
      </c>
    </row>
    <row r="411" spans="4:10" x14ac:dyDescent="0.25">
      <c r="D411" s="4" t="e">
        <f t="shared" si="48"/>
        <v>#N/A</v>
      </c>
      <c r="E411" t="str">
        <f t="shared" si="49"/>
        <v>TowerRedundantHipDiagonalGradeOverwrite</v>
      </c>
      <c r="F411" s="4" t="str">
        <f t="shared" si="50"/>
        <v>NO</v>
      </c>
      <c r="G411" s="4" t="str">
        <f t="shared" si="51"/>
        <v>NO</v>
      </c>
      <c r="H411" s="4" t="str">
        <f t="shared" si="52"/>
        <v>NO</v>
      </c>
      <c r="I411" s="4" t="str">
        <f t="shared" si="53"/>
        <v>NO</v>
      </c>
      <c r="J411" t="s">
        <v>410</v>
      </c>
    </row>
    <row r="412" spans="4:10" x14ac:dyDescent="0.25">
      <c r="D412" s="4" t="e">
        <f t="shared" si="48"/>
        <v>#N/A</v>
      </c>
      <c r="E412" t="str">
        <f t="shared" si="49"/>
        <v>TowerRedundantHipDiagonalMatlGradeOverwrite</v>
      </c>
      <c r="F412" s="4" t="str">
        <f t="shared" si="50"/>
        <v>NO</v>
      </c>
      <c r="G412" s="4" t="str">
        <f t="shared" si="51"/>
        <v>NO</v>
      </c>
      <c r="H412" s="4" t="str">
        <f t="shared" si="52"/>
        <v>NO</v>
      </c>
      <c r="I412" s="4" t="str">
        <f t="shared" si="53"/>
        <v>NO</v>
      </c>
      <c r="J412" t="s">
        <v>412</v>
      </c>
    </row>
    <row r="413" spans="4:10" x14ac:dyDescent="0.25">
      <c r="D413" s="4" t="e">
        <f t="shared" si="48"/>
        <v>#N/A</v>
      </c>
      <c r="E413" t="str">
        <f t="shared" si="49"/>
        <v>TowerRedundantHipDiagonalGrade2Overwrite</v>
      </c>
      <c r="F413" s="4" t="str">
        <f t="shared" si="50"/>
        <v>NO</v>
      </c>
      <c r="G413" s="4" t="str">
        <f t="shared" si="51"/>
        <v>NO</v>
      </c>
      <c r="H413" s="4" t="str">
        <f t="shared" si="52"/>
        <v>NO</v>
      </c>
      <c r="I413" s="4" t="str">
        <f t="shared" si="53"/>
        <v>NO</v>
      </c>
      <c r="J413" t="s">
        <v>414</v>
      </c>
    </row>
    <row r="414" spans="4:10" x14ac:dyDescent="0.25">
      <c r="D414" s="4" t="e">
        <f t="shared" si="48"/>
        <v>#N/A</v>
      </c>
      <c r="E414" t="str">
        <f t="shared" si="49"/>
        <v>TowerRedundantHipDiagonalMatlGrade2Overwrite</v>
      </c>
      <c r="F414" s="4" t="str">
        <f t="shared" si="50"/>
        <v>NO</v>
      </c>
      <c r="G414" s="4" t="str">
        <f t="shared" si="51"/>
        <v>NO</v>
      </c>
      <c r="H414" s="4" t="str">
        <f t="shared" si="52"/>
        <v>NO</v>
      </c>
      <c r="I414" s="4" t="str">
        <f t="shared" si="53"/>
        <v>NO</v>
      </c>
      <c r="J414" t="s">
        <v>416</v>
      </c>
    </row>
    <row r="415" spans="4:10" x14ac:dyDescent="0.25">
      <c r="D415" s="4" t="e">
        <f t="shared" si="48"/>
        <v>#N/A</v>
      </c>
      <c r="E415" t="str">
        <f t="shared" si="49"/>
        <v>TowerRedundantHipDiagonalGrade3Overwrite</v>
      </c>
      <c r="F415" s="4" t="str">
        <f t="shared" si="50"/>
        <v>NO</v>
      </c>
      <c r="G415" s="4" t="str">
        <f t="shared" si="51"/>
        <v>NO</v>
      </c>
      <c r="H415" s="4" t="str">
        <f t="shared" si="52"/>
        <v>NO</v>
      </c>
      <c r="I415" s="4" t="str">
        <f t="shared" si="53"/>
        <v>NO</v>
      </c>
      <c r="J415" t="s">
        <v>418</v>
      </c>
    </row>
    <row r="416" spans="4:10" x14ac:dyDescent="0.25">
      <c r="D416" s="4" t="e">
        <f t="shared" si="48"/>
        <v>#N/A</v>
      </c>
      <c r="E416" t="str">
        <f t="shared" si="49"/>
        <v>TowerRedundantHipDiagonalMatlGrade3Overwrite</v>
      </c>
      <c r="F416" s="4" t="str">
        <f t="shared" si="50"/>
        <v>NO</v>
      </c>
      <c r="G416" s="4" t="str">
        <f t="shared" si="51"/>
        <v>NO</v>
      </c>
      <c r="H416" s="4" t="str">
        <f t="shared" si="52"/>
        <v>NO</v>
      </c>
      <c r="I416" s="4" t="str">
        <f t="shared" si="53"/>
        <v>NO</v>
      </c>
      <c r="J416" t="s">
        <v>420</v>
      </c>
    </row>
    <row r="417" spans="4:10" x14ac:dyDescent="0.25">
      <c r="D417" s="4" t="e">
        <f t="shared" si="48"/>
        <v>#N/A</v>
      </c>
      <c r="E417" t="str">
        <f t="shared" si="49"/>
        <v>TowerRedundantHipDiagonalGrade4Overwrite</v>
      </c>
      <c r="F417" s="4" t="str">
        <f t="shared" si="50"/>
        <v>NO</v>
      </c>
      <c r="G417" s="4" t="str">
        <f t="shared" si="51"/>
        <v>NO</v>
      </c>
      <c r="H417" s="4" t="str">
        <f t="shared" si="52"/>
        <v>NO</v>
      </c>
      <c r="I417" s="4" t="str">
        <f t="shared" si="53"/>
        <v>NO</v>
      </c>
      <c r="J417" t="s">
        <v>422</v>
      </c>
    </row>
    <row r="418" spans="4:10" x14ac:dyDescent="0.25">
      <c r="D418" s="4" t="e">
        <f t="shared" si="48"/>
        <v>#N/A</v>
      </c>
      <c r="E418" t="str">
        <f t="shared" si="49"/>
        <v>TowerRedundantHipDiagonalMatlGrade4Overwrite</v>
      </c>
      <c r="F418" s="4" t="str">
        <f t="shared" si="50"/>
        <v>NO</v>
      </c>
      <c r="G418" s="4" t="str">
        <f t="shared" si="51"/>
        <v>NO</v>
      </c>
      <c r="H418" s="4" t="str">
        <f t="shared" si="52"/>
        <v>NO</v>
      </c>
      <c r="I418" s="4" t="str">
        <f t="shared" si="53"/>
        <v>NO</v>
      </c>
      <c r="J418" t="s">
        <v>424</v>
      </c>
    </row>
  </sheetData>
  <autoFilter ref="E3:I418" xr:uid="{E2F148CD-34D4-4374-AA72-31DCE4D94044}">
    <filterColumn colId="4">
      <filters>
        <filter val="NO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913A1-8108-4C52-9622-AC79983E332D}">
  <sheetPr codeName="Sheet2"/>
  <dimension ref="A2:G488"/>
  <sheetViews>
    <sheetView topLeftCell="A2" workbookViewId="0">
      <selection activeCell="A417" sqref="A3:A417"/>
    </sheetView>
  </sheetViews>
  <sheetFormatPr defaultRowHeight="15" x14ac:dyDescent="0.25"/>
  <cols>
    <col min="1" max="1" width="90.5703125" bestFit="1" customWidth="1"/>
    <col min="2" max="2" width="48.28515625" bestFit="1" customWidth="1"/>
    <col min="7" max="7" width="92" customWidth="1"/>
  </cols>
  <sheetData>
    <row r="2" spans="1:3" x14ac:dyDescent="0.25">
      <c r="A2" t="s">
        <v>1030</v>
      </c>
    </row>
    <row r="3" spans="1:3" x14ac:dyDescent="0.25">
      <c r="A3" t="s">
        <v>288</v>
      </c>
    </row>
    <row r="4" spans="1:3" x14ac:dyDescent="0.25">
      <c r="A4" t="s">
        <v>289</v>
      </c>
      <c r="B4" t="s">
        <v>288</v>
      </c>
      <c r="C4">
        <f>MATCH(B4,A:A,0)</f>
        <v>3</v>
      </c>
    </row>
    <row r="5" spans="1:3" x14ac:dyDescent="0.25">
      <c r="A5" t="s">
        <v>290</v>
      </c>
      <c r="B5" t="s">
        <v>289</v>
      </c>
      <c r="C5">
        <f t="shared" ref="C5:C68" si="0">MATCH(B5,A:A,0)</f>
        <v>4</v>
      </c>
    </row>
    <row r="6" spans="1:3" x14ac:dyDescent="0.25">
      <c r="A6" t="s">
        <v>291</v>
      </c>
      <c r="B6" t="s">
        <v>290</v>
      </c>
      <c r="C6">
        <f t="shared" si="0"/>
        <v>5</v>
      </c>
    </row>
    <row r="7" spans="1:3" x14ac:dyDescent="0.25">
      <c r="A7" t="s">
        <v>292</v>
      </c>
      <c r="B7" t="s">
        <v>291</v>
      </c>
      <c r="C7">
        <f t="shared" si="0"/>
        <v>6</v>
      </c>
    </row>
    <row r="8" spans="1:3" x14ac:dyDescent="0.25">
      <c r="A8" t="s">
        <v>293</v>
      </c>
      <c r="B8" t="s">
        <v>292</v>
      </c>
      <c r="C8">
        <f t="shared" si="0"/>
        <v>7</v>
      </c>
    </row>
    <row r="9" spans="1:3" x14ac:dyDescent="0.25">
      <c r="A9" t="s">
        <v>294</v>
      </c>
      <c r="B9" t="s">
        <v>293</v>
      </c>
      <c r="C9">
        <f t="shared" si="0"/>
        <v>8</v>
      </c>
    </row>
    <row r="10" spans="1:3" x14ac:dyDescent="0.25">
      <c r="A10" t="s">
        <v>295</v>
      </c>
      <c r="B10" t="s">
        <v>294</v>
      </c>
      <c r="C10">
        <f t="shared" si="0"/>
        <v>9</v>
      </c>
    </row>
    <row r="11" spans="1:3" x14ac:dyDescent="0.25">
      <c r="A11" t="s">
        <v>296</v>
      </c>
      <c r="B11" t="s">
        <v>295</v>
      </c>
      <c r="C11">
        <f t="shared" si="0"/>
        <v>10</v>
      </c>
    </row>
    <row r="12" spans="1:3" x14ac:dyDescent="0.25">
      <c r="A12" t="s">
        <v>297</v>
      </c>
      <c r="B12" t="s">
        <v>296</v>
      </c>
      <c r="C12">
        <f t="shared" si="0"/>
        <v>11</v>
      </c>
    </row>
    <row r="13" spans="1:3" x14ac:dyDescent="0.25">
      <c r="A13" t="s">
        <v>299</v>
      </c>
      <c r="B13" t="s">
        <v>297</v>
      </c>
      <c r="C13">
        <f t="shared" si="0"/>
        <v>12</v>
      </c>
    </row>
    <row r="14" spans="1:3" x14ac:dyDescent="0.25">
      <c r="A14" t="s">
        <v>300</v>
      </c>
      <c r="B14" t="s">
        <v>299</v>
      </c>
      <c r="C14">
        <f t="shared" si="0"/>
        <v>13</v>
      </c>
    </row>
    <row r="15" spans="1:3" x14ac:dyDescent="0.25">
      <c r="A15" t="s">
        <v>301</v>
      </c>
      <c r="B15" t="s">
        <v>300</v>
      </c>
      <c r="C15">
        <f t="shared" si="0"/>
        <v>14</v>
      </c>
    </row>
    <row r="16" spans="1:3" x14ac:dyDescent="0.25">
      <c r="A16" t="s">
        <v>302</v>
      </c>
      <c r="B16" t="s">
        <v>301</v>
      </c>
      <c r="C16">
        <f t="shared" si="0"/>
        <v>15</v>
      </c>
    </row>
    <row r="17" spans="1:3" x14ac:dyDescent="0.25">
      <c r="A17" t="s">
        <v>304</v>
      </c>
      <c r="B17" t="s">
        <v>302</v>
      </c>
      <c r="C17">
        <f t="shared" si="0"/>
        <v>16</v>
      </c>
    </row>
    <row r="18" spans="1:3" x14ac:dyDescent="0.25">
      <c r="A18" t="s">
        <v>306</v>
      </c>
      <c r="B18" t="s">
        <v>304</v>
      </c>
      <c r="C18">
        <f t="shared" si="0"/>
        <v>17</v>
      </c>
    </row>
    <row r="19" spans="1:3" x14ac:dyDescent="0.25">
      <c r="A19" t="s">
        <v>308</v>
      </c>
      <c r="B19" t="s">
        <v>306</v>
      </c>
      <c r="C19">
        <f t="shared" si="0"/>
        <v>18</v>
      </c>
    </row>
    <row r="20" spans="1:3" x14ac:dyDescent="0.25">
      <c r="A20" t="s">
        <v>310</v>
      </c>
      <c r="B20" t="s">
        <v>308</v>
      </c>
      <c r="C20">
        <f t="shared" si="0"/>
        <v>19</v>
      </c>
    </row>
    <row r="21" spans="1:3" x14ac:dyDescent="0.25">
      <c r="A21" t="s">
        <v>311</v>
      </c>
      <c r="B21" t="s">
        <v>310</v>
      </c>
      <c r="C21">
        <f t="shared" si="0"/>
        <v>20</v>
      </c>
    </row>
    <row r="22" spans="1:3" x14ac:dyDescent="0.25">
      <c r="A22" t="s">
        <v>313</v>
      </c>
      <c r="B22" t="s">
        <v>311</v>
      </c>
      <c r="C22">
        <f t="shared" si="0"/>
        <v>21</v>
      </c>
    </row>
    <row r="23" spans="1:3" x14ac:dyDescent="0.25">
      <c r="A23" t="s">
        <v>314</v>
      </c>
      <c r="B23" t="s">
        <v>313</v>
      </c>
      <c r="C23">
        <f t="shared" si="0"/>
        <v>22</v>
      </c>
    </row>
    <row r="24" spans="1:3" x14ac:dyDescent="0.25">
      <c r="A24" t="s">
        <v>316</v>
      </c>
      <c r="B24" t="s">
        <v>314</v>
      </c>
      <c r="C24">
        <f t="shared" si="0"/>
        <v>23</v>
      </c>
    </row>
    <row r="25" spans="1:3" x14ac:dyDescent="0.25">
      <c r="A25" t="s">
        <v>317</v>
      </c>
      <c r="B25" t="s">
        <v>316</v>
      </c>
      <c r="C25">
        <f t="shared" si="0"/>
        <v>24</v>
      </c>
    </row>
    <row r="26" spans="1:3" x14ac:dyDescent="0.25">
      <c r="A26" t="s">
        <v>318</v>
      </c>
      <c r="B26" t="s">
        <v>317</v>
      </c>
      <c r="C26">
        <f t="shared" si="0"/>
        <v>25</v>
      </c>
    </row>
    <row r="27" spans="1:3" x14ac:dyDescent="0.25">
      <c r="A27" t="s">
        <v>319</v>
      </c>
      <c r="B27" t="s">
        <v>318</v>
      </c>
      <c r="C27">
        <f t="shared" si="0"/>
        <v>26</v>
      </c>
    </row>
    <row r="28" spans="1:3" x14ac:dyDescent="0.25">
      <c r="A28" t="s">
        <v>321</v>
      </c>
      <c r="B28" t="s">
        <v>319</v>
      </c>
      <c r="C28">
        <f t="shared" si="0"/>
        <v>27</v>
      </c>
    </row>
    <row r="29" spans="1:3" x14ac:dyDescent="0.25">
      <c r="A29" t="s">
        <v>322</v>
      </c>
      <c r="B29" t="s">
        <v>321</v>
      </c>
      <c r="C29">
        <f t="shared" si="0"/>
        <v>28</v>
      </c>
    </row>
    <row r="30" spans="1:3" x14ac:dyDescent="0.25">
      <c r="A30" t="s">
        <v>323</v>
      </c>
      <c r="B30" t="s">
        <v>322</v>
      </c>
      <c r="C30">
        <f t="shared" si="0"/>
        <v>29</v>
      </c>
    </row>
    <row r="31" spans="1:3" x14ac:dyDescent="0.25">
      <c r="A31" t="s">
        <v>324</v>
      </c>
      <c r="B31" t="s">
        <v>323</v>
      </c>
      <c r="C31">
        <f t="shared" si="0"/>
        <v>30</v>
      </c>
    </row>
    <row r="32" spans="1:3" x14ac:dyDescent="0.25">
      <c r="A32" t="s">
        <v>325</v>
      </c>
      <c r="B32" t="s">
        <v>324</v>
      </c>
      <c r="C32">
        <f t="shared" si="0"/>
        <v>31</v>
      </c>
    </row>
    <row r="33" spans="1:7" x14ac:dyDescent="0.25">
      <c r="A33" t="s">
        <v>326</v>
      </c>
      <c r="B33" t="s">
        <v>325</v>
      </c>
      <c r="C33">
        <f t="shared" si="0"/>
        <v>32</v>
      </c>
    </row>
    <row r="34" spans="1:7" x14ac:dyDescent="0.25">
      <c r="A34" t="s">
        <v>327</v>
      </c>
      <c r="B34" t="s">
        <v>326</v>
      </c>
      <c r="C34">
        <f t="shared" si="0"/>
        <v>33</v>
      </c>
    </row>
    <row r="35" spans="1:7" x14ac:dyDescent="0.25">
      <c r="A35" t="s">
        <v>328</v>
      </c>
      <c r="B35" t="s">
        <v>327</v>
      </c>
      <c r="C35">
        <f t="shared" si="0"/>
        <v>34</v>
      </c>
    </row>
    <row r="36" spans="1:7" x14ac:dyDescent="0.25">
      <c r="A36" t="s">
        <v>329</v>
      </c>
      <c r="B36" t="s">
        <v>328</v>
      </c>
      <c r="C36">
        <f t="shared" si="0"/>
        <v>35</v>
      </c>
    </row>
    <row r="37" spans="1:7" x14ac:dyDescent="0.25">
      <c r="A37" t="s">
        <v>330</v>
      </c>
      <c r="B37" t="s">
        <v>329</v>
      </c>
      <c r="C37">
        <f t="shared" si="0"/>
        <v>36</v>
      </c>
    </row>
    <row r="38" spans="1:7" x14ac:dyDescent="0.25">
      <c r="A38" t="s">
        <v>332</v>
      </c>
      <c r="B38" t="s">
        <v>330</v>
      </c>
      <c r="C38">
        <f t="shared" si="0"/>
        <v>37</v>
      </c>
    </row>
    <row r="39" spans="1:7" x14ac:dyDescent="0.25">
      <c r="A39" t="s">
        <v>333</v>
      </c>
      <c r="B39" t="s">
        <v>332</v>
      </c>
      <c r="C39">
        <f t="shared" si="0"/>
        <v>38</v>
      </c>
    </row>
    <row r="40" spans="1:7" x14ac:dyDescent="0.25">
      <c r="A40" t="s">
        <v>335</v>
      </c>
      <c r="B40" t="s">
        <v>333</v>
      </c>
      <c r="C40">
        <f t="shared" si="0"/>
        <v>39</v>
      </c>
    </row>
    <row r="41" spans="1:7" x14ac:dyDescent="0.25">
      <c r="A41" t="s">
        <v>337</v>
      </c>
      <c r="B41" t="s">
        <v>335</v>
      </c>
      <c r="C41">
        <f t="shared" si="0"/>
        <v>40</v>
      </c>
    </row>
    <row r="42" spans="1:7" x14ac:dyDescent="0.25">
      <c r="A42" t="s">
        <v>338</v>
      </c>
      <c r="B42" t="s">
        <v>337</v>
      </c>
      <c r="C42">
        <f t="shared" si="0"/>
        <v>41</v>
      </c>
    </row>
    <row r="43" spans="1:7" x14ac:dyDescent="0.25">
      <c r="A43" t="s">
        <v>339</v>
      </c>
      <c r="B43" t="s">
        <v>338</v>
      </c>
      <c r="C43">
        <f t="shared" si="0"/>
        <v>42</v>
      </c>
    </row>
    <row r="44" spans="1:7" x14ac:dyDescent="0.25">
      <c r="A44" t="s">
        <v>340</v>
      </c>
      <c r="B44" t="s">
        <v>339</v>
      </c>
      <c r="C44">
        <f t="shared" si="0"/>
        <v>43</v>
      </c>
    </row>
    <row r="45" spans="1:7" x14ac:dyDescent="0.25">
      <c r="A45" t="s">
        <v>341</v>
      </c>
      <c r="B45" t="s">
        <v>340</v>
      </c>
      <c r="C45">
        <f t="shared" si="0"/>
        <v>44</v>
      </c>
      <c r="G45" s="8"/>
    </row>
    <row r="46" spans="1:7" x14ac:dyDescent="0.25">
      <c r="A46" t="s">
        <v>343</v>
      </c>
      <c r="B46" t="s">
        <v>341</v>
      </c>
      <c r="C46">
        <f t="shared" si="0"/>
        <v>45</v>
      </c>
    </row>
    <row r="47" spans="1:7" x14ac:dyDescent="0.25">
      <c r="A47" t="s">
        <v>344</v>
      </c>
      <c r="B47" t="s">
        <v>343</v>
      </c>
      <c r="C47">
        <f t="shared" si="0"/>
        <v>46</v>
      </c>
    </row>
    <row r="48" spans="1:7" x14ac:dyDescent="0.25">
      <c r="A48" t="s">
        <v>345</v>
      </c>
      <c r="B48" t="s">
        <v>344</v>
      </c>
      <c r="C48">
        <f t="shared" si="0"/>
        <v>47</v>
      </c>
    </row>
    <row r="49" spans="1:3" x14ac:dyDescent="0.25">
      <c r="A49" t="s">
        <v>347</v>
      </c>
      <c r="B49" t="s">
        <v>345</v>
      </c>
      <c r="C49">
        <f t="shared" si="0"/>
        <v>48</v>
      </c>
    </row>
    <row r="50" spans="1:3" x14ac:dyDescent="0.25">
      <c r="A50" t="s">
        <v>348</v>
      </c>
      <c r="B50" t="s">
        <v>347</v>
      </c>
      <c r="C50">
        <f t="shared" si="0"/>
        <v>49</v>
      </c>
    </row>
    <row r="51" spans="1:3" x14ac:dyDescent="0.25">
      <c r="A51" t="s">
        <v>349</v>
      </c>
      <c r="B51" t="s">
        <v>348</v>
      </c>
      <c r="C51">
        <f t="shared" si="0"/>
        <v>50</v>
      </c>
    </row>
    <row r="52" spans="1:3" x14ac:dyDescent="0.25">
      <c r="A52" t="s">
        <v>351</v>
      </c>
      <c r="B52" t="s">
        <v>349</v>
      </c>
      <c r="C52">
        <f t="shared" si="0"/>
        <v>51</v>
      </c>
    </row>
    <row r="53" spans="1:3" x14ac:dyDescent="0.25">
      <c r="A53" t="s">
        <v>353</v>
      </c>
      <c r="B53" t="s">
        <v>350</v>
      </c>
      <c r="C53">
        <f t="shared" si="0"/>
        <v>380</v>
      </c>
    </row>
    <row r="54" spans="1:3" x14ac:dyDescent="0.25">
      <c r="A54" t="s">
        <v>355</v>
      </c>
      <c r="B54" t="s">
        <v>351</v>
      </c>
      <c r="C54">
        <f t="shared" si="0"/>
        <v>52</v>
      </c>
    </row>
    <row r="55" spans="1:3" x14ac:dyDescent="0.25">
      <c r="A55" t="s">
        <v>357</v>
      </c>
      <c r="B55" t="s">
        <v>352</v>
      </c>
      <c r="C55">
        <f t="shared" si="0"/>
        <v>381</v>
      </c>
    </row>
    <row r="56" spans="1:3" x14ac:dyDescent="0.25">
      <c r="A56" t="s">
        <v>359</v>
      </c>
      <c r="B56" t="s">
        <v>353</v>
      </c>
      <c r="C56">
        <f t="shared" si="0"/>
        <v>53</v>
      </c>
    </row>
    <row r="57" spans="1:3" x14ac:dyDescent="0.25">
      <c r="A57" t="s">
        <v>361</v>
      </c>
      <c r="B57" t="s">
        <v>354</v>
      </c>
      <c r="C57">
        <f t="shared" si="0"/>
        <v>382</v>
      </c>
    </row>
    <row r="58" spans="1:3" x14ac:dyDescent="0.25">
      <c r="A58" t="s">
        <v>363</v>
      </c>
      <c r="B58" t="s">
        <v>355</v>
      </c>
      <c r="C58">
        <f t="shared" si="0"/>
        <v>54</v>
      </c>
    </row>
    <row r="59" spans="1:3" x14ac:dyDescent="0.25">
      <c r="A59" t="s">
        <v>365</v>
      </c>
      <c r="B59" t="s">
        <v>356</v>
      </c>
      <c r="C59">
        <f t="shared" si="0"/>
        <v>383</v>
      </c>
    </row>
    <row r="60" spans="1:3" x14ac:dyDescent="0.25">
      <c r="A60" t="s">
        <v>367</v>
      </c>
      <c r="B60" t="s">
        <v>357</v>
      </c>
      <c r="C60">
        <f t="shared" si="0"/>
        <v>55</v>
      </c>
    </row>
    <row r="61" spans="1:3" x14ac:dyDescent="0.25">
      <c r="A61" t="s">
        <v>369</v>
      </c>
      <c r="B61" t="s">
        <v>358</v>
      </c>
      <c r="C61">
        <f t="shared" si="0"/>
        <v>384</v>
      </c>
    </row>
    <row r="62" spans="1:3" x14ac:dyDescent="0.25">
      <c r="A62" t="s">
        <v>371</v>
      </c>
      <c r="B62" t="s">
        <v>359</v>
      </c>
      <c r="C62">
        <f t="shared" si="0"/>
        <v>56</v>
      </c>
    </row>
    <row r="63" spans="1:3" x14ac:dyDescent="0.25">
      <c r="A63" t="s">
        <v>373</v>
      </c>
      <c r="B63" t="s">
        <v>360</v>
      </c>
      <c r="C63">
        <f t="shared" si="0"/>
        <v>385</v>
      </c>
    </row>
    <row r="64" spans="1:3" x14ac:dyDescent="0.25">
      <c r="A64" t="s">
        <v>375</v>
      </c>
      <c r="B64" t="s">
        <v>361</v>
      </c>
      <c r="C64">
        <f t="shared" si="0"/>
        <v>57</v>
      </c>
    </row>
    <row r="65" spans="1:3" x14ac:dyDescent="0.25">
      <c r="A65" t="s">
        <v>377</v>
      </c>
      <c r="B65" t="s">
        <v>362</v>
      </c>
      <c r="C65">
        <f t="shared" si="0"/>
        <v>386</v>
      </c>
    </row>
    <row r="66" spans="1:3" x14ac:dyDescent="0.25">
      <c r="A66" t="s">
        <v>379</v>
      </c>
      <c r="B66" t="s">
        <v>363</v>
      </c>
      <c r="C66">
        <f t="shared" si="0"/>
        <v>58</v>
      </c>
    </row>
    <row r="67" spans="1:3" x14ac:dyDescent="0.25">
      <c r="A67" t="s">
        <v>381</v>
      </c>
      <c r="B67" t="s">
        <v>364</v>
      </c>
      <c r="C67">
        <f t="shared" si="0"/>
        <v>387</v>
      </c>
    </row>
    <row r="68" spans="1:3" x14ac:dyDescent="0.25">
      <c r="A68" t="s">
        <v>383</v>
      </c>
      <c r="B68" t="s">
        <v>365</v>
      </c>
      <c r="C68">
        <f t="shared" si="0"/>
        <v>59</v>
      </c>
    </row>
    <row r="69" spans="1:3" x14ac:dyDescent="0.25">
      <c r="A69" t="s">
        <v>385</v>
      </c>
      <c r="B69" t="s">
        <v>366</v>
      </c>
      <c r="C69">
        <f t="shared" ref="C69:C132" si="1">MATCH(B69,A:A,0)</f>
        <v>388</v>
      </c>
    </row>
    <row r="70" spans="1:3" x14ac:dyDescent="0.25">
      <c r="A70" t="s">
        <v>387</v>
      </c>
      <c r="B70" t="s">
        <v>367</v>
      </c>
      <c r="C70">
        <f t="shared" si="1"/>
        <v>60</v>
      </c>
    </row>
    <row r="71" spans="1:3" x14ac:dyDescent="0.25">
      <c r="A71" t="s">
        <v>389</v>
      </c>
      <c r="B71" t="s">
        <v>368</v>
      </c>
      <c r="C71">
        <f t="shared" si="1"/>
        <v>389</v>
      </c>
    </row>
    <row r="72" spans="1:3" x14ac:dyDescent="0.25">
      <c r="A72" t="s">
        <v>391</v>
      </c>
      <c r="B72" t="s">
        <v>369</v>
      </c>
      <c r="C72">
        <f t="shared" si="1"/>
        <v>61</v>
      </c>
    </row>
    <row r="73" spans="1:3" x14ac:dyDescent="0.25">
      <c r="A73" t="s">
        <v>393</v>
      </c>
      <c r="B73" t="s">
        <v>370</v>
      </c>
      <c r="C73">
        <f t="shared" si="1"/>
        <v>390</v>
      </c>
    </row>
    <row r="74" spans="1:3" x14ac:dyDescent="0.25">
      <c r="A74" t="s">
        <v>395</v>
      </c>
      <c r="B74" t="s">
        <v>371</v>
      </c>
      <c r="C74">
        <f t="shared" si="1"/>
        <v>62</v>
      </c>
    </row>
    <row r="75" spans="1:3" x14ac:dyDescent="0.25">
      <c r="A75" t="s">
        <v>397</v>
      </c>
      <c r="B75" t="s">
        <v>372</v>
      </c>
      <c r="C75">
        <f t="shared" si="1"/>
        <v>391</v>
      </c>
    </row>
    <row r="76" spans="1:3" x14ac:dyDescent="0.25">
      <c r="A76" t="s">
        <v>399</v>
      </c>
      <c r="B76" t="s">
        <v>373</v>
      </c>
      <c r="C76">
        <f t="shared" si="1"/>
        <v>63</v>
      </c>
    </row>
    <row r="77" spans="1:3" x14ac:dyDescent="0.25">
      <c r="A77" t="s">
        <v>401</v>
      </c>
      <c r="B77" t="s">
        <v>374</v>
      </c>
      <c r="C77">
        <f t="shared" si="1"/>
        <v>392</v>
      </c>
    </row>
    <row r="78" spans="1:3" x14ac:dyDescent="0.25">
      <c r="A78" t="s">
        <v>403</v>
      </c>
      <c r="B78" t="s">
        <v>375</v>
      </c>
      <c r="C78">
        <f t="shared" si="1"/>
        <v>64</v>
      </c>
    </row>
    <row r="79" spans="1:3" x14ac:dyDescent="0.25">
      <c r="A79" t="s">
        <v>405</v>
      </c>
      <c r="B79" t="s">
        <v>376</v>
      </c>
      <c r="C79">
        <f t="shared" si="1"/>
        <v>393</v>
      </c>
    </row>
    <row r="80" spans="1:3" x14ac:dyDescent="0.25">
      <c r="A80" t="s">
        <v>407</v>
      </c>
      <c r="B80" t="s">
        <v>377</v>
      </c>
      <c r="C80">
        <f t="shared" si="1"/>
        <v>65</v>
      </c>
    </row>
    <row r="81" spans="1:3" x14ac:dyDescent="0.25">
      <c r="A81" t="s">
        <v>409</v>
      </c>
      <c r="B81" t="s">
        <v>378</v>
      </c>
      <c r="C81">
        <f t="shared" si="1"/>
        <v>394</v>
      </c>
    </row>
    <row r="82" spans="1:3" x14ac:dyDescent="0.25">
      <c r="A82" t="s">
        <v>411</v>
      </c>
      <c r="B82" t="s">
        <v>379</v>
      </c>
      <c r="C82">
        <f t="shared" si="1"/>
        <v>66</v>
      </c>
    </row>
    <row r="83" spans="1:3" x14ac:dyDescent="0.25">
      <c r="A83" t="s">
        <v>413</v>
      </c>
      <c r="B83" t="s">
        <v>380</v>
      </c>
      <c r="C83">
        <f t="shared" si="1"/>
        <v>395</v>
      </c>
    </row>
    <row r="84" spans="1:3" x14ac:dyDescent="0.25">
      <c r="A84" t="s">
        <v>415</v>
      </c>
      <c r="B84" t="s">
        <v>381</v>
      </c>
      <c r="C84">
        <f t="shared" si="1"/>
        <v>67</v>
      </c>
    </row>
    <row r="85" spans="1:3" x14ac:dyDescent="0.25">
      <c r="A85" t="s">
        <v>417</v>
      </c>
      <c r="B85" t="s">
        <v>382</v>
      </c>
      <c r="C85">
        <f t="shared" si="1"/>
        <v>396</v>
      </c>
    </row>
    <row r="86" spans="1:3" x14ac:dyDescent="0.25">
      <c r="A86" t="s">
        <v>419</v>
      </c>
      <c r="B86" t="s">
        <v>383</v>
      </c>
      <c r="C86">
        <f t="shared" si="1"/>
        <v>68</v>
      </c>
    </row>
    <row r="87" spans="1:3" x14ac:dyDescent="0.25">
      <c r="A87" t="s">
        <v>421</v>
      </c>
      <c r="B87" t="s">
        <v>384</v>
      </c>
      <c r="C87">
        <f t="shared" si="1"/>
        <v>397</v>
      </c>
    </row>
    <row r="88" spans="1:3" x14ac:dyDescent="0.25">
      <c r="A88" t="s">
        <v>423</v>
      </c>
      <c r="B88" t="s">
        <v>385</v>
      </c>
      <c r="C88">
        <f t="shared" si="1"/>
        <v>69</v>
      </c>
    </row>
    <row r="89" spans="1:3" x14ac:dyDescent="0.25">
      <c r="A89" t="s">
        <v>425</v>
      </c>
      <c r="B89" t="s">
        <v>386</v>
      </c>
      <c r="C89">
        <f t="shared" si="1"/>
        <v>398</v>
      </c>
    </row>
    <row r="90" spans="1:3" x14ac:dyDescent="0.25">
      <c r="A90" t="s">
        <v>426</v>
      </c>
      <c r="B90" t="s">
        <v>387</v>
      </c>
      <c r="C90">
        <f t="shared" si="1"/>
        <v>70</v>
      </c>
    </row>
    <row r="91" spans="1:3" x14ac:dyDescent="0.25">
      <c r="A91" t="s">
        <v>427</v>
      </c>
      <c r="B91" t="s">
        <v>388</v>
      </c>
      <c r="C91">
        <f t="shared" si="1"/>
        <v>399</v>
      </c>
    </row>
    <row r="92" spans="1:3" x14ac:dyDescent="0.25">
      <c r="A92" t="s">
        <v>428</v>
      </c>
      <c r="B92" t="s">
        <v>389</v>
      </c>
      <c r="C92">
        <f t="shared" si="1"/>
        <v>71</v>
      </c>
    </row>
    <row r="93" spans="1:3" x14ac:dyDescent="0.25">
      <c r="A93" t="s">
        <v>429</v>
      </c>
      <c r="B93" t="s">
        <v>390</v>
      </c>
      <c r="C93">
        <f t="shared" si="1"/>
        <v>400</v>
      </c>
    </row>
    <row r="94" spans="1:3" x14ac:dyDescent="0.25">
      <c r="A94" t="s">
        <v>430</v>
      </c>
      <c r="B94" t="s">
        <v>391</v>
      </c>
      <c r="C94">
        <f t="shared" si="1"/>
        <v>72</v>
      </c>
    </row>
    <row r="95" spans="1:3" x14ac:dyDescent="0.25">
      <c r="A95" t="s">
        <v>431</v>
      </c>
      <c r="B95" t="s">
        <v>392</v>
      </c>
      <c r="C95">
        <f t="shared" si="1"/>
        <v>401</v>
      </c>
    </row>
    <row r="96" spans="1:3" x14ac:dyDescent="0.25">
      <c r="A96" t="s">
        <v>432</v>
      </c>
      <c r="B96" t="s">
        <v>393</v>
      </c>
      <c r="C96">
        <f t="shared" si="1"/>
        <v>73</v>
      </c>
    </row>
    <row r="97" spans="1:3" x14ac:dyDescent="0.25">
      <c r="A97" t="s">
        <v>433</v>
      </c>
      <c r="B97" t="s">
        <v>394</v>
      </c>
      <c r="C97">
        <f t="shared" si="1"/>
        <v>402</v>
      </c>
    </row>
    <row r="98" spans="1:3" x14ac:dyDescent="0.25">
      <c r="A98" t="s">
        <v>435</v>
      </c>
      <c r="B98" t="s">
        <v>395</v>
      </c>
      <c r="C98">
        <f t="shared" si="1"/>
        <v>74</v>
      </c>
    </row>
    <row r="99" spans="1:3" x14ac:dyDescent="0.25">
      <c r="A99" t="s">
        <v>436</v>
      </c>
      <c r="B99" t="s">
        <v>396</v>
      </c>
      <c r="C99">
        <f t="shared" si="1"/>
        <v>403</v>
      </c>
    </row>
    <row r="100" spans="1:3" x14ac:dyDescent="0.25">
      <c r="A100" t="s">
        <v>437</v>
      </c>
      <c r="B100" t="s">
        <v>397</v>
      </c>
      <c r="C100">
        <f t="shared" si="1"/>
        <v>75</v>
      </c>
    </row>
    <row r="101" spans="1:3" x14ac:dyDescent="0.25">
      <c r="A101" t="s">
        <v>438</v>
      </c>
      <c r="B101" t="s">
        <v>398</v>
      </c>
      <c r="C101">
        <f t="shared" si="1"/>
        <v>404</v>
      </c>
    </row>
    <row r="102" spans="1:3" x14ac:dyDescent="0.25">
      <c r="A102" t="s">
        <v>439</v>
      </c>
      <c r="B102" t="s">
        <v>399</v>
      </c>
      <c r="C102">
        <f t="shared" si="1"/>
        <v>76</v>
      </c>
    </row>
    <row r="103" spans="1:3" x14ac:dyDescent="0.25">
      <c r="A103" t="s">
        <v>440</v>
      </c>
      <c r="B103" t="s">
        <v>400</v>
      </c>
      <c r="C103">
        <f t="shared" si="1"/>
        <v>405</v>
      </c>
    </row>
    <row r="104" spans="1:3" x14ac:dyDescent="0.25">
      <c r="A104" t="s">
        <v>441</v>
      </c>
      <c r="B104" t="s">
        <v>401</v>
      </c>
      <c r="C104">
        <f t="shared" si="1"/>
        <v>77</v>
      </c>
    </row>
    <row r="105" spans="1:3" x14ac:dyDescent="0.25">
      <c r="A105" t="s">
        <v>442</v>
      </c>
      <c r="B105" t="s">
        <v>402</v>
      </c>
      <c r="C105">
        <f t="shared" si="1"/>
        <v>406</v>
      </c>
    </row>
    <row r="106" spans="1:3" x14ac:dyDescent="0.25">
      <c r="A106" t="s">
        <v>443</v>
      </c>
      <c r="B106" t="s">
        <v>403</v>
      </c>
      <c r="C106">
        <f t="shared" si="1"/>
        <v>78</v>
      </c>
    </row>
    <row r="107" spans="1:3" x14ac:dyDescent="0.25">
      <c r="A107" t="s">
        <v>444</v>
      </c>
      <c r="B107" t="s">
        <v>404</v>
      </c>
      <c r="C107">
        <f t="shared" si="1"/>
        <v>407</v>
      </c>
    </row>
    <row r="108" spans="1:3" x14ac:dyDescent="0.25">
      <c r="A108" t="s">
        <v>445</v>
      </c>
      <c r="B108" t="s">
        <v>405</v>
      </c>
      <c r="C108">
        <f t="shared" si="1"/>
        <v>79</v>
      </c>
    </row>
    <row r="109" spans="1:3" x14ac:dyDescent="0.25">
      <c r="A109" t="s">
        <v>447</v>
      </c>
      <c r="B109" t="s">
        <v>406</v>
      </c>
      <c r="C109">
        <f t="shared" si="1"/>
        <v>408</v>
      </c>
    </row>
    <row r="110" spans="1:3" x14ac:dyDescent="0.25">
      <c r="A110" t="s">
        <v>448</v>
      </c>
      <c r="B110" t="s">
        <v>407</v>
      </c>
      <c r="C110">
        <f t="shared" si="1"/>
        <v>80</v>
      </c>
    </row>
    <row r="111" spans="1:3" x14ac:dyDescent="0.25">
      <c r="A111" t="s">
        <v>449</v>
      </c>
      <c r="B111" t="s">
        <v>408</v>
      </c>
      <c r="C111">
        <f t="shared" si="1"/>
        <v>409</v>
      </c>
    </row>
    <row r="112" spans="1:3" x14ac:dyDescent="0.25">
      <c r="A112" t="s">
        <v>450</v>
      </c>
      <c r="B112" t="s">
        <v>409</v>
      </c>
      <c r="C112">
        <f t="shared" si="1"/>
        <v>81</v>
      </c>
    </row>
    <row r="113" spans="1:3" x14ac:dyDescent="0.25">
      <c r="A113" t="s">
        <v>451</v>
      </c>
      <c r="B113" t="s">
        <v>410</v>
      </c>
      <c r="C113">
        <f t="shared" si="1"/>
        <v>410</v>
      </c>
    </row>
    <row r="114" spans="1:3" x14ac:dyDescent="0.25">
      <c r="A114" t="s">
        <v>452</v>
      </c>
      <c r="B114" t="s">
        <v>411</v>
      </c>
      <c r="C114">
        <f t="shared" si="1"/>
        <v>82</v>
      </c>
    </row>
    <row r="115" spans="1:3" x14ac:dyDescent="0.25">
      <c r="A115" t="s">
        <v>453</v>
      </c>
      <c r="B115" t="s">
        <v>412</v>
      </c>
      <c r="C115">
        <f t="shared" si="1"/>
        <v>411</v>
      </c>
    </row>
    <row r="116" spans="1:3" x14ac:dyDescent="0.25">
      <c r="A116" t="s">
        <v>454</v>
      </c>
      <c r="B116" t="s">
        <v>413</v>
      </c>
      <c r="C116">
        <f t="shared" si="1"/>
        <v>83</v>
      </c>
    </row>
    <row r="117" spans="1:3" x14ac:dyDescent="0.25">
      <c r="A117" t="s">
        <v>455</v>
      </c>
      <c r="B117" t="s">
        <v>414</v>
      </c>
      <c r="C117">
        <f t="shared" si="1"/>
        <v>412</v>
      </c>
    </row>
    <row r="118" spans="1:3" x14ac:dyDescent="0.25">
      <c r="A118" t="s">
        <v>456</v>
      </c>
      <c r="B118" t="s">
        <v>415</v>
      </c>
      <c r="C118">
        <f t="shared" si="1"/>
        <v>84</v>
      </c>
    </row>
    <row r="119" spans="1:3" x14ac:dyDescent="0.25">
      <c r="A119" t="s">
        <v>457</v>
      </c>
      <c r="B119" t="s">
        <v>416</v>
      </c>
      <c r="C119">
        <f t="shared" si="1"/>
        <v>413</v>
      </c>
    </row>
    <row r="120" spans="1:3" x14ac:dyDescent="0.25">
      <c r="A120" t="s">
        <v>458</v>
      </c>
      <c r="B120" t="s">
        <v>417</v>
      </c>
      <c r="C120">
        <f t="shared" si="1"/>
        <v>85</v>
      </c>
    </row>
    <row r="121" spans="1:3" x14ac:dyDescent="0.25">
      <c r="A121" t="s">
        <v>459</v>
      </c>
      <c r="B121" t="s">
        <v>418</v>
      </c>
      <c r="C121">
        <f t="shared" si="1"/>
        <v>414</v>
      </c>
    </row>
    <row r="122" spans="1:3" x14ac:dyDescent="0.25">
      <c r="A122" t="s">
        <v>460</v>
      </c>
      <c r="B122" t="s">
        <v>419</v>
      </c>
      <c r="C122">
        <f t="shared" si="1"/>
        <v>86</v>
      </c>
    </row>
    <row r="123" spans="1:3" x14ac:dyDescent="0.25">
      <c r="A123" t="s">
        <v>461</v>
      </c>
      <c r="B123" t="s">
        <v>420</v>
      </c>
      <c r="C123">
        <f t="shared" si="1"/>
        <v>415</v>
      </c>
    </row>
    <row r="124" spans="1:3" x14ac:dyDescent="0.25">
      <c r="A124" t="s">
        <v>462</v>
      </c>
      <c r="B124" t="s">
        <v>421</v>
      </c>
      <c r="C124">
        <f t="shared" si="1"/>
        <v>87</v>
      </c>
    </row>
    <row r="125" spans="1:3" x14ac:dyDescent="0.25">
      <c r="A125" t="s">
        <v>463</v>
      </c>
      <c r="B125" t="s">
        <v>422</v>
      </c>
      <c r="C125">
        <f t="shared" si="1"/>
        <v>416</v>
      </c>
    </row>
    <row r="126" spans="1:3" x14ac:dyDescent="0.25">
      <c r="A126" t="s">
        <v>464</v>
      </c>
      <c r="B126" t="s">
        <v>423</v>
      </c>
      <c r="C126">
        <f t="shared" si="1"/>
        <v>88</v>
      </c>
    </row>
    <row r="127" spans="1:3" x14ac:dyDescent="0.25">
      <c r="A127" t="s">
        <v>465</v>
      </c>
      <c r="B127" t="s">
        <v>424</v>
      </c>
      <c r="C127">
        <f t="shared" si="1"/>
        <v>417</v>
      </c>
    </row>
    <row r="128" spans="1:3" x14ac:dyDescent="0.25">
      <c r="A128" t="s">
        <v>466</v>
      </c>
      <c r="B128" t="s">
        <v>425</v>
      </c>
      <c r="C128">
        <f t="shared" si="1"/>
        <v>89</v>
      </c>
    </row>
    <row r="129" spans="1:3" x14ac:dyDescent="0.25">
      <c r="A129" t="s">
        <v>467</v>
      </c>
      <c r="B129" t="s">
        <v>426</v>
      </c>
      <c r="C129">
        <f t="shared" si="1"/>
        <v>90</v>
      </c>
    </row>
    <row r="130" spans="1:3" x14ac:dyDescent="0.25">
      <c r="A130" t="s">
        <v>468</v>
      </c>
      <c r="B130" t="s">
        <v>427</v>
      </c>
      <c r="C130">
        <f t="shared" si="1"/>
        <v>91</v>
      </c>
    </row>
    <row r="131" spans="1:3" x14ac:dyDescent="0.25">
      <c r="A131" t="s">
        <v>469</v>
      </c>
      <c r="B131" t="s">
        <v>428</v>
      </c>
      <c r="C131">
        <f t="shared" si="1"/>
        <v>92</v>
      </c>
    </row>
    <row r="132" spans="1:3" x14ac:dyDescent="0.25">
      <c r="A132" t="s">
        <v>470</v>
      </c>
      <c r="B132" t="s">
        <v>429</v>
      </c>
      <c r="C132">
        <f t="shared" si="1"/>
        <v>93</v>
      </c>
    </row>
    <row r="133" spans="1:3" x14ac:dyDescent="0.25">
      <c r="A133" t="s">
        <v>471</v>
      </c>
      <c r="B133" t="s">
        <v>430</v>
      </c>
      <c r="C133">
        <f t="shared" ref="C133:C196" si="2">MATCH(B133,A:A,0)</f>
        <v>94</v>
      </c>
    </row>
    <row r="134" spans="1:3" x14ac:dyDescent="0.25">
      <c r="A134" t="s">
        <v>472</v>
      </c>
      <c r="B134" t="s">
        <v>431</v>
      </c>
      <c r="C134">
        <f t="shared" si="2"/>
        <v>95</v>
      </c>
    </row>
    <row r="135" spans="1:3" x14ac:dyDescent="0.25">
      <c r="A135" t="s">
        <v>473</v>
      </c>
      <c r="B135" t="s">
        <v>432</v>
      </c>
      <c r="C135">
        <f t="shared" si="2"/>
        <v>96</v>
      </c>
    </row>
    <row r="136" spans="1:3" x14ac:dyDescent="0.25">
      <c r="A136" t="s">
        <v>474</v>
      </c>
      <c r="B136" t="s">
        <v>433</v>
      </c>
      <c r="C136">
        <f t="shared" si="2"/>
        <v>97</v>
      </c>
    </row>
    <row r="137" spans="1:3" x14ac:dyDescent="0.25">
      <c r="A137" t="s">
        <v>475</v>
      </c>
      <c r="B137" t="s">
        <v>435</v>
      </c>
      <c r="C137">
        <f t="shared" si="2"/>
        <v>98</v>
      </c>
    </row>
    <row r="138" spans="1:3" x14ac:dyDescent="0.25">
      <c r="A138" t="s">
        <v>476</v>
      </c>
      <c r="B138" t="s">
        <v>436</v>
      </c>
      <c r="C138">
        <f t="shared" si="2"/>
        <v>99</v>
      </c>
    </row>
    <row r="139" spans="1:3" x14ac:dyDescent="0.25">
      <c r="A139" t="s">
        <v>477</v>
      </c>
      <c r="B139" t="s">
        <v>437</v>
      </c>
      <c r="C139">
        <f t="shared" si="2"/>
        <v>100</v>
      </c>
    </row>
    <row r="140" spans="1:3" x14ac:dyDescent="0.25">
      <c r="A140" t="s">
        <v>478</v>
      </c>
      <c r="B140" t="s">
        <v>438</v>
      </c>
      <c r="C140">
        <f t="shared" si="2"/>
        <v>101</v>
      </c>
    </row>
    <row r="141" spans="1:3" x14ac:dyDescent="0.25">
      <c r="A141" t="s">
        <v>479</v>
      </c>
      <c r="B141" t="s">
        <v>439</v>
      </c>
      <c r="C141">
        <f t="shared" si="2"/>
        <v>102</v>
      </c>
    </row>
    <row r="142" spans="1:3" x14ac:dyDescent="0.25">
      <c r="A142" t="s">
        <v>480</v>
      </c>
      <c r="B142" t="s">
        <v>440</v>
      </c>
      <c r="C142">
        <f t="shared" si="2"/>
        <v>103</v>
      </c>
    </row>
    <row r="143" spans="1:3" x14ac:dyDescent="0.25">
      <c r="A143" t="s">
        <v>481</v>
      </c>
      <c r="B143" t="s">
        <v>441</v>
      </c>
      <c r="C143">
        <f t="shared" si="2"/>
        <v>104</v>
      </c>
    </row>
    <row r="144" spans="1:3" x14ac:dyDescent="0.25">
      <c r="A144" t="s">
        <v>482</v>
      </c>
      <c r="B144" t="s">
        <v>442</v>
      </c>
      <c r="C144">
        <f t="shared" si="2"/>
        <v>105</v>
      </c>
    </row>
    <row r="145" spans="1:3" x14ac:dyDescent="0.25">
      <c r="A145" t="s">
        <v>483</v>
      </c>
      <c r="B145" t="s">
        <v>443</v>
      </c>
      <c r="C145">
        <f t="shared" si="2"/>
        <v>106</v>
      </c>
    </row>
    <row r="146" spans="1:3" x14ac:dyDescent="0.25">
      <c r="A146" t="s">
        <v>484</v>
      </c>
      <c r="B146" t="s">
        <v>444</v>
      </c>
      <c r="C146">
        <f t="shared" si="2"/>
        <v>107</v>
      </c>
    </row>
    <row r="147" spans="1:3" x14ac:dyDescent="0.25">
      <c r="A147" t="s">
        <v>485</v>
      </c>
      <c r="B147" t="s">
        <v>445</v>
      </c>
      <c r="C147">
        <f t="shared" si="2"/>
        <v>108</v>
      </c>
    </row>
    <row r="148" spans="1:3" x14ac:dyDescent="0.25">
      <c r="A148" t="s">
        <v>486</v>
      </c>
      <c r="B148" t="s">
        <v>447</v>
      </c>
      <c r="C148">
        <f t="shared" si="2"/>
        <v>109</v>
      </c>
    </row>
    <row r="149" spans="1:3" x14ac:dyDescent="0.25">
      <c r="A149" t="s">
        <v>487</v>
      </c>
      <c r="B149" t="s">
        <v>448</v>
      </c>
      <c r="C149">
        <f t="shared" si="2"/>
        <v>110</v>
      </c>
    </row>
    <row r="150" spans="1:3" x14ac:dyDescent="0.25">
      <c r="A150" t="s">
        <v>488</v>
      </c>
      <c r="B150" t="s">
        <v>449</v>
      </c>
      <c r="C150">
        <f t="shared" si="2"/>
        <v>111</v>
      </c>
    </row>
    <row r="151" spans="1:3" x14ac:dyDescent="0.25">
      <c r="A151" t="s">
        <v>489</v>
      </c>
      <c r="B151" t="s">
        <v>450</v>
      </c>
      <c r="C151">
        <f t="shared" si="2"/>
        <v>112</v>
      </c>
    </row>
    <row r="152" spans="1:3" x14ac:dyDescent="0.25">
      <c r="A152" t="s">
        <v>490</v>
      </c>
      <c r="B152" t="s">
        <v>451</v>
      </c>
      <c r="C152">
        <f t="shared" si="2"/>
        <v>113</v>
      </c>
    </row>
    <row r="153" spans="1:3" x14ac:dyDescent="0.25">
      <c r="A153" t="s">
        <v>491</v>
      </c>
      <c r="B153" t="s">
        <v>452</v>
      </c>
      <c r="C153">
        <f t="shared" si="2"/>
        <v>114</v>
      </c>
    </row>
    <row r="154" spans="1:3" x14ac:dyDescent="0.25">
      <c r="A154" t="s">
        <v>492</v>
      </c>
      <c r="B154" t="s">
        <v>453</v>
      </c>
      <c r="C154">
        <f t="shared" si="2"/>
        <v>115</v>
      </c>
    </row>
    <row r="155" spans="1:3" x14ac:dyDescent="0.25">
      <c r="A155" t="s">
        <v>493</v>
      </c>
      <c r="B155" t="s">
        <v>454</v>
      </c>
      <c r="C155">
        <f t="shared" si="2"/>
        <v>116</v>
      </c>
    </row>
    <row r="156" spans="1:3" x14ac:dyDescent="0.25">
      <c r="A156" t="s">
        <v>494</v>
      </c>
      <c r="B156" t="s">
        <v>455</v>
      </c>
      <c r="C156">
        <f t="shared" si="2"/>
        <v>117</v>
      </c>
    </row>
    <row r="157" spans="1:3" x14ac:dyDescent="0.25">
      <c r="A157" t="s">
        <v>495</v>
      </c>
      <c r="B157" t="s">
        <v>456</v>
      </c>
      <c r="C157">
        <f t="shared" si="2"/>
        <v>118</v>
      </c>
    </row>
    <row r="158" spans="1:3" x14ac:dyDescent="0.25">
      <c r="A158" t="s">
        <v>496</v>
      </c>
      <c r="B158" t="s">
        <v>457</v>
      </c>
      <c r="C158">
        <f t="shared" si="2"/>
        <v>119</v>
      </c>
    </row>
    <row r="159" spans="1:3" x14ac:dyDescent="0.25">
      <c r="A159" t="s">
        <v>497</v>
      </c>
      <c r="B159" t="s">
        <v>458</v>
      </c>
      <c r="C159">
        <f t="shared" si="2"/>
        <v>120</v>
      </c>
    </row>
    <row r="160" spans="1:3" x14ac:dyDescent="0.25">
      <c r="A160" t="s">
        <v>498</v>
      </c>
      <c r="B160" t="s">
        <v>459</v>
      </c>
      <c r="C160">
        <f t="shared" si="2"/>
        <v>121</v>
      </c>
    </row>
    <row r="161" spans="1:3" x14ac:dyDescent="0.25">
      <c r="A161" t="s">
        <v>499</v>
      </c>
      <c r="B161" t="s">
        <v>460</v>
      </c>
      <c r="C161">
        <f t="shared" si="2"/>
        <v>122</v>
      </c>
    </row>
    <row r="162" spans="1:3" x14ac:dyDescent="0.25">
      <c r="A162" t="s">
        <v>500</v>
      </c>
      <c r="B162" t="s">
        <v>461</v>
      </c>
      <c r="C162">
        <f t="shared" si="2"/>
        <v>123</v>
      </c>
    </row>
    <row r="163" spans="1:3" x14ac:dyDescent="0.25">
      <c r="A163" t="s">
        <v>501</v>
      </c>
      <c r="B163" t="s">
        <v>462</v>
      </c>
      <c r="C163">
        <f t="shared" si="2"/>
        <v>124</v>
      </c>
    </row>
    <row r="164" spans="1:3" x14ac:dyDescent="0.25">
      <c r="A164" t="s">
        <v>502</v>
      </c>
      <c r="B164" t="s">
        <v>463</v>
      </c>
      <c r="C164">
        <f t="shared" si="2"/>
        <v>125</v>
      </c>
    </row>
    <row r="165" spans="1:3" x14ac:dyDescent="0.25">
      <c r="A165" t="s">
        <v>503</v>
      </c>
      <c r="B165" t="s">
        <v>464</v>
      </c>
      <c r="C165">
        <f t="shared" si="2"/>
        <v>126</v>
      </c>
    </row>
    <row r="166" spans="1:3" x14ac:dyDescent="0.25">
      <c r="A166" t="s">
        <v>504</v>
      </c>
      <c r="B166" t="s">
        <v>465</v>
      </c>
      <c r="C166">
        <f t="shared" si="2"/>
        <v>127</v>
      </c>
    </row>
    <row r="167" spans="1:3" x14ac:dyDescent="0.25">
      <c r="A167" t="s">
        <v>505</v>
      </c>
      <c r="B167" t="s">
        <v>466</v>
      </c>
      <c r="C167">
        <f t="shared" si="2"/>
        <v>128</v>
      </c>
    </row>
    <row r="168" spans="1:3" x14ac:dyDescent="0.25">
      <c r="A168" t="s">
        <v>506</v>
      </c>
      <c r="B168" t="s">
        <v>467</v>
      </c>
      <c r="C168">
        <f t="shared" si="2"/>
        <v>129</v>
      </c>
    </row>
    <row r="169" spans="1:3" x14ac:dyDescent="0.25">
      <c r="A169" t="s">
        <v>507</v>
      </c>
      <c r="B169" t="s">
        <v>468</v>
      </c>
      <c r="C169">
        <f t="shared" si="2"/>
        <v>130</v>
      </c>
    </row>
    <row r="170" spans="1:3" x14ac:dyDescent="0.25">
      <c r="A170" t="s">
        <v>508</v>
      </c>
      <c r="B170" t="s">
        <v>469</v>
      </c>
      <c r="C170">
        <f t="shared" si="2"/>
        <v>131</v>
      </c>
    </row>
    <row r="171" spans="1:3" x14ac:dyDescent="0.25">
      <c r="A171" t="s">
        <v>509</v>
      </c>
      <c r="B171" t="s">
        <v>470</v>
      </c>
      <c r="C171">
        <f t="shared" si="2"/>
        <v>132</v>
      </c>
    </row>
    <row r="172" spans="1:3" x14ac:dyDescent="0.25">
      <c r="A172" t="s">
        <v>510</v>
      </c>
      <c r="B172" t="s">
        <v>471</v>
      </c>
      <c r="C172">
        <f t="shared" si="2"/>
        <v>133</v>
      </c>
    </row>
    <row r="173" spans="1:3" x14ac:dyDescent="0.25">
      <c r="A173" t="s">
        <v>511</v>
      </c>
      <c r="B173" t="s">
        <v>472</v>
      </c>
      <c r="C173">
        <f t="shared" si="2"/>
        <v>134</v>
      </c>
    </row>
    <row r="174" spans="1:3" x14ac:dyDescent="0.25">
      <c r="A174" t="s">
        <v>512</v>
      </c>
      <c r="B174" t="s">
        <v>473</v>
      </c>
      <c r="C174">
        <f t="shared" si="2"/>
        <v>135</v>
      </c>
    </row>
    <row r="175" spans="1:3" x14ac:dyDescent="0.25">
      <c r="A175" t="s">
        <v>513</v>
      </c>
      <c r="B175" t="s">
        <v>474</v>
      </c>
      <c r="C175">
        <f t="shared" si="2"/>
        <v>136</v>
      </c>
    </row>
    <row r="176" spans="1:3" x14ac:dyDescent="0.25">
      <c r="A176" t="s">
        <v>514</v>
      </c>
      <c r="B176" t="s">
        <v>475</v>
      </c>
      <c r="C176">
        <f t="shared" si="2"/>
        <v>137</v>
      </c>
    </row>
    <row r="177" spans="1:3" x14ac:dyDescent="0.25">
      <c r="A177" t="s">
        <v>516</v>
      </c>
      <c r="B177" t="s">
        <v>476</v>
      </c>
      <c r="C177">
        <f t="shared" si="2"/>
        <v>138</v>
      </c>
    </row>
    <row r="178" spans="1:3" x14ac:dyDescent="0.25">
      <c r="A178" t="s">
        <v>517</v>
      </c>
      <c r="B178" t="s">
        <v>477</v>
      </c>
      <c r="C178">
        <f t="shared" si="2"/>
        <v>139</v>
      </c>
    </row>
    <row r="179" spans="1:3" x14ac:dyDescent="0.25">
      <c r="A179" t="s">
        <v>518</v>
      </c>
      <c r="B179" t="s">
        <v>478</v>
      </c>
      <c r="C179">
        <f t="shared" si="2"/>
        <v>140</v>
      </c>
    </row>
    <row r="180" spans="1:3" x14ac:dyDescent="0.25">
      <c r="A180" t="s">
        <v>519</v>
      </c>
      <c r="B180" t="s">
        <v>479</v>
      </c>
      <c r="C180">
        <f t="shared" si="2"/>
        <v>141</v>
      </c>
    </row>
    <row r="181" spans="1:3" x14ac:dyDescent="0.25">
      <c r="A181" t="s">
        <v>520</v>
      </c>
      <c r="B181" t="s">
        <v>480</v>
      </c>
      <c r="C181">
        <f t="shared" si="2"/>
        <v>142</v>
      </c>
    </row>
    <row r="182" spans="1:3" x14ac:dyDescent="0.25">
      <c r="A182" t="s">
        <v>521</v>
      </c>
      <c r="B182" t="s">
        <v>481</v>
      </c>
      <c r="C182">
        <f t="shared" si="2"/>
        <v>143</v>
      </c>
    </row>
    <row r="183" spans="1:3" x14ac:dyDescent="0.25">
      <c r="A183" t="s">
        <v>522</v>
      </c>
      <c r="B183" t="s">
        <v>482</v>
      </c>
      <c r="C183">
        <f t="shared" si="2"/>
        <v>144</v>
      </c>
    </row>
    <row r="184" spans="1:3" x14ac:dyDescent="0.25">
      <c r="A184" t="s">
        <v>523</v>
      </c>
      <c r="B184" t="s">
        <v>483</v>
      </c>
      <c r="C184">
        <f t="shared" si="2"/>
        <v>145</v>
      </c>
    </row>
    <row r="185" spans="1:3" x14ac:dyDescent="0.25">
      <c r="A185" t="s">
        <v>524</v>
      </c>
      <c r="B185" t="s">
        <v>484</v>
      </c>
      <c r="C185">
        <f t="shared" si="2"/>
        <v>146</v>
      </c>
    </row>
    <row r="186" spans="1:3" x14ac:dyDescent="0.25">
      <c r="A186" t="s">
        <v>525</v>
      </c>
      <c r="B186" t="s">
        <v>485</v>
      </c>
      <c r="C186">
        <f t="shared" si="2"/>
        <v>147</v>
      </c>
    </row>
    <row r="187" spans="1:3" x14ac:dyDescent="0.25">
      <c r="A187" t="s">
        <v>526</v>
      </c>
      <c r="B187" t="s">
        <v>486</v>
      </c>
      <c r="C187">
        <f t="shared" si="2"/>
        <v>148</v>
      </c>
    </row>
    <row r="188" spans="1:3" x14ac:dyDescent="0.25">
      <c r="A188" t="s">
        <v>527</v>
      </c>
      <c r="B188" t="s">
        <v>487</v>
      </c>
      <c r="C188">
        <f t="shared" si="2"/>
        <v>149</v>
      </c>
    </row>
    <row r="189" spans="1:3" x14ac:dyDescent="0.25">
      <c r="A189" t="s">
        <v>528</v>
      </c>
      <c r="B189" t="s">
        <v>488</v>
      </c>
      <c r="C189">
        <f t="shared" si="2"/>
        <v>150</v>
      </c>
    </row>
    <row r="190" spans="1:3" x14ac:dyDescent="0.25">
      <c r="A190" t="s">
        <v>529</v>
      </c>
      <c r="B190" t="s">
        <v>489</v>
      </c>
      <c r="C190">
        <f t="shared" si="2"/>
        <v>151</v>
      </c>
    </row>
    <row r="191" spans="1:3" x14ac:dyDescent="0.25">
      <c r="A191" t="s">
        <v>530</v>
      </c>
      <c r="B191" t="s">
        <v>490</v>
      </c>
      <c r="C191">
        <f t="shared" si="2"/>
        <v>152</v>
      </c>
    </row>
    <row r="192" spans="1:3" x14ac:dyDescent="0.25">
      <c r="A192" t="s">
        <v>531</v>
      </c>
      <c r="B192" t="s">
        <v>491</v>
      </c>
      <c r="C192">
        <f t="shared" si="2"/>
        <v>153</v>
      </c>
    </row>
    <row r="193" spans="1:3" x14ac:dyDescent="0.25">
      <c r="A193" t="s">
        <v>532</v>
      </c>
      <c r="B193" t="s">
        <v>492</v>
      </c>
      <c r="C193">
        <f t="shared" si="2"/>
        <v>154</v>
      </c>
    </row>
    <row r="194" spans="1:3" x14ac:dyDescent="0.25">
      <c r="A194" t="s">
        <v>533</v>
      </c>
      <c r="B194" t="s">
        <v>493</v>
      </c>
      <c r="C194">
        <f t="shared" si="2"/>
        <v>155</v>
      </c>
    </row>
    <row r="195" spans="1:3" x14ac:dyDescent="0.25">
      <c r="A195" t="s">
        <v>534</v>
      </c>
      <c r="B195" t="s">
        <v>494</v>
      </c>
      <c r="C195">
        <f t="shared" si="2"/>
        <v>156</v>
      </c>
    </row>
    <row r="196" spans="1:3" x14ac:dyDescent="0.25">
      <c r="A196" t="s">
        <v>535</v>
      </c>
      <c r="B196" t="s">
        <v>495</v>
      </c>
      <c r="C196">
        <f t="shared" si="2"/>
        <v>157</v>
      </c>
    </row>
    <row r="197" spans="1:3" x14ac:dyDescent="0.25">
      <c r="A197" t="s">
        <v>536</v>
      </c>
      <c r="B197" t="s">
        <v>496</v>
      </c>
      <c r="C197">
        <f t="shared" ref="C197:C260" si="3">MATCH(B197,A:A,0)</f>
        <v>158</v>
      </c>
    </row>
    <row r="198" spans="1:3" x14ac:dyDescent="0.25">
      <c r="A198" t="s">
        <v>538</v>
      </c>
      <c r="B198" t="s">
        <v>497</v>
      </c>
      <c r="C198">
        <f t="shared" si="3"/>
        <v>159</v>
      </c>
    </row>
    <row r="199" spans="1:3" x14ac:dyDescent="0.25">
      <c r="A199" t="s">
        <v>539</v>
      </c>
      <c r="B199" t="s">
        <v>498</v>
      </c>
      <c r="C199">
        <f t="shared" si="3"/>
        <v>160</v>
      </c>
    </row>
    <row r="200" spans="1:3" x14ac:dyDescent="0.25">
      <c r="A200" t="s">
        <v>540</v>
      </c>
      <c r="B200" t="s">
        <v>499</v>
      </c>
      <c r="C200">
        <f t="shared" si="3"/>
        <v>161</v>
      </c>
    </row>
    <row r="201" spans="1:3" x14ac:dyDescent="0.25">
      <c r="A201" t="s">
        <v>541</v>
      </c>
      <c r="B201" t="s">
        <v>500</v>
      </c>
      <c r="C201">
        <f t="shared" si="3"/>
        <v>162</v>
      </c>
    </row>
    <row r="202" spans="1:3" x14ac:dyDescent="0.25">
      <c r="A202" t="s">
        <v>542</v>
      </c>
      <c r="B202" t="s">
        <v>501</v>
      </c>
      <c r="C202">
        <f t="shared" si="3"/>
        <v>163</v>
      </c>
    </row>
    <row r="203" spans="1:3" x14ac:dyDescent="0.25">
      <c r="A203" t="s">
        <v>543</v>
      </c>
      <c r="B203" t="s">
        <v>502</v>
      </c>
      <c r="C203">
        <f t="shared" si="3"/>
        <v>164</v>
      </c>
    </row>
    <row r="204" spans="1:3" x14ac:dyDescent="0.25">
      <c r="A204" t="s">
        <v>544</v>
      </c>
      <c r="B204" t="s">
        <v>503</v>
      </c>
      <c r="C204">
        <f t="shared" si="3"/>
        <v>165</v>
      </c>
    </row>
    <row r="205" spans="1:3" x14ac:dyDescent="0.25">
      <c r="A205" t="s">
        <v>545</v>
      </c>
      <c r="B205" t="s">
        <v>504</v>
      </c>
      <c r="C205">
        <f t="shared" si="3"/>
        <v>166</v>
      </c>
    </row>
    <row r="206" spans="1:3" x14ac:dyDescent="0.25">
      <c r="A206" t="s">
        <v>547</v>
      </c>
      <c r="B206" t="s">
        <v>505</v>
      </c>
      <c r="C206">
        <f t="shared" si="3"/>
        <v>167</v>
      </c>
    </row>
    <row r="207" spans="1:3" x14ac:dyDescent="0.25">
      <c r="A207" t="s">
        <v>548</v>
      </c>
      <c r="B207" t="s">
        <v>506</v>
      </c>
      <c r="C207">
        <f t="shared" si="3"/>
        <v>168</v>
      </c>
    </row>
    <row r="208" spans="1:3" x14ac:dyDescent="0.25">
      <c r="A208" t="s">
        <v>549</v>
      </c>
      <c r="B208" t="s">
        <v>507</v>
      </c>
      <c r="C208">
        <f t="shared" si="3"/>
        <v>169</v>
      </c>
    </row>
    <row r="209" spans="1:3" x14ac:dyDescent="0.25">
      <c r="A209" t="s">
        <v>550</v>
      </c>
      <c r="B209" t="s">
        <v>508</v>
      </c>
      <c r="C209">
        <f t="shared" si="3"/>
        <v>170</v>
      </c>
    </row>
    <row r="210" spans="1:3" x14ac:dyDescent="0.25">
      <c r="A210" t="s">
        <v>552</v>
      </c>
      <c r="B210" t="s">
        <v>509</v>
      </c>
      <c r="C210">
        <f t="shared" si="3"/>
        <v>171</v>
      </c>
    </row>
    <row r="211" spans="1:3" x14ac:dyDescent="0.25">
      <c r="A211" t="s">
        <v>553</v>
      </c>
      <c r="B211" t="s">
        <v>510</v>
      </c>
      <c r="C211">
        <f t="shared" si="3"/>
        <v>172</v>
      </c>
    </row>
    <row r="212" spans="1:3" x14ac:dyDescent="0.25">
      <c r="A212" t="s">
        <v>554</v>
      </c>
      <c r="B212" t="s">
        <v>511</v>
      </c>
      <c r="C212">
        <f t="shared" si="3"/>
        <v>173</v>
      </c>
    </row>
    <row r="213" spans="1:3" x14ac:dyDescent="0.25">
      <c r="A213" t="s">
        <v>555</v>
      </c>
      <c r="B213" t="s">
        <v>512</v>
      </c>
      <c r="C213">
        <f t="shared" si="3"/>
        <v>174</v>
      </c>
    </row>
    <row r="214" spans="1:3" x14ac:dyDescent="0.25">
      <c r="A214" t="s">
        <v>556</v>
      </c>
      <c r="B214" t="s">
        <v>513</v>
      </c>
      <c r="C214">
        <f t="shared" si="3"/>
        <v>175</v>
      </c>
    </row>
    <row r="215" spans="1:3" x14ac:dyDescent="0.25">
      <c r="A215" t="s">
        <v>557</v>
      </c>
      <c r="B215" t="s">
        <v>514</v>
      </c>
      <c r="C215">
        <f t="shared" si="3"/>
        <v>176</v>
      </c>
    </row>
    <row r="216" spans="1:3" x14ac:dyDescent="0.25">
      <c r="A216" t="s">
        <v>558</v>
      </c>
      <c r="B216" t="s">
        <v>516</v>
      </c>
      <c r="C216">
        <f t="shared" si="3"/>
        <v>177</v>
      </c>
    </row>
    <row r="217" spans="1:3" x14ac:dyDescent="0.25">
      <c r="A217" t="s">
        <v>559</v>
      </c>
      <c r="B217" t="s">
        <v>517</v>
      </c>
      <c r="C217">
        <f t="shared" si="3"/>
        <v>178</v>
      </c>
    </row>
    <row r="218" spans="1:3" x14ac:dyDescent="0.25">
      <c r="A218" t="s">
        <v>560</v>
      </c>
      <c r="B218" t="s">
        <v>518</v>
      </c>
      <c r="C218">
        <f t="shared" si="3"/>
        <v>179</v>
      </c>
    </row>
    <row r="219" spans="1:3" x14ac:dyDescent="0.25">
      <c r="A219" t="s">
        <v>561</v>
      </c>
      <c r="B219" t="s">
        <v>519</v>
      </c>
      <c r="C219">
        <f t="shared" si="3"/>
        <v>180</v>
      </c>
    </row>
    <row r="220" spans="1:3" x14ac:dyDescent="0.25">
      <c r="A220" t="s">
        <v>562</v>
      </c>
      <c r="B220" t="s">
        <v>520</v>
      </c>
      <c r="C220">
        <f t="shared" si="3"/>
        <v>181</v>
      </c>
    </row>
    <row r="221" spans="1:3" x14ac:dyDescent="0.25">
      <c r="A221" t="s">
        <v>563</v>
      </c>
      <c r="B221" t="s">
        <v>521</v>
      </c>
      <c r="C221">
        <f t="shared" si="3"/>
        <v>182</v>
      </c>
    </row>
    <row r="222" spans="1:3" x14ac:dyDescent="0.25">
      <c r="A222" t="s">
        <v>564</v>
      </c>
      <c r="B222" t="s">
        <v>522</v>
      </c>
      <c r="C222">
        <f t="shared" si="3"/>
        <v>183</v>
      </c>
    </row>
    <row r="223" spans="1:3" x14ac:dyDescent="0.25">
      <c r="A223" t="s">
        <v>565</v>
      </c>
      <c r="B223" t="s">
        <v>523</v>
      </c>
      <c r="C223">
        <f t="shared" si="3"/>
        <v>184</v>
      </c>
    </row>
    <row r="224" spans="1:3" x14ac:dyDescent="0.25">
      <c r="A224" t="s">
        <v>566</v>
      </c>
      <c r="B224" t="s">
        <v>524</v>
      </c>
      <c r="C224">
        <f t="shared" si="3"/>
        <v>185</v>
      </c>
    </row>
    <row r="225" spans="1:3" x14ac:dyDescent="0.25">
      <c r="A225" t="s">
        <v>567</v>
      </c>
      <c r="B225" t="s">
        <v>525</v>
      </c>
      <c r="C225">
        <f t="shared" si="3"/>
        <v>186</v>
      </c>
    </row>
    <row r="226" spans="1:3" x14ac:dyDescent="0.25">
      <c r="A226" t="s">
        <v>568</v>
      </c>
      <c r="B226" t="s">
        <v>526</v>
      </c>
      <c r="C226">
        <f t="shared" si="3"/>
        <v>187</v>
      </c>
    </row>
    <row r="227" spans="1:3" x14ac:dyDescent="0.25">
      <c r="A227" t="s">
        <v>569</v>
      </c>
      <c r="B227" t="s">
        <v>527</v>
      </c>
      <c r="C227">
        <f t="shared" si="3"/>
        <v>188</v>
      </c>
    </row>
    <row r="228" spans="1:3" x14ac:dyDescent="0.25">
      <c r="A228" t="s">
        <v>570</v>
      </c>
      <c r="B228" t="s">
        <v>528</v>
      </c>
      <c r="C228">
        <f t="shared" si="3"/>
        <v>189</v>
      </c>
    </row>
    <row r="229" spans="1:3" x14ac:dyDescent="0.25">
      <c r="A229" t="s">
        <v>571</v>
      </c>
      <c r="B229" t="s">
        <v>529</v>
      </c>
      <c r="C229">
        <f t="shared" si="3"/>
        <v>190</v>
      </c>
    </row>
    <row r="230" spans="1:3" x14ac:dyDescent="0.25">
      <c r="A230" t="s">
        <v>572</v>
      </c>
      <c r="B230" t="s">
        <v>530</v>
      </c>
      <c r="C230">
        <f t="shared" si="3"/>
        <v>191</v>
      </c>
    </row>
    <row r="231" spans="1:3" x14ac:dyDescent="0.25">
      <c r="A231" t="s">
        <v>573</v>
      </c>
      <c r="B231" t="s">
        <v>531</v>
      </c>
      <c r="C231">
        <f t="shared" si="3"/>
        <v>192</v>
      </c>
    </row>
    <row r="232" spans="1:3" x14ac:dyDescent="0.25">
      <c r="A232" t="s">
        <v>574</v>
      </c>
      <c r="B232" t="s">
        <v>532</v>
      </c>
      <c r="C232">
        <f t="shared" si="3"/>
        <v>193</v>
      </c>
    </row>
    <row r="233" spans="1:3" x14ac:dyDescent="0.25">
      <c r="A233" t="s">
        <v>575</v>
      </c>
      <c r="B233" t="s">
        <v>533</v>
      </c>
      <c r="C233">
        <f t="shared" si="3"/>
        <v>194</v>
      </c>
    </row>
    <row r="234" spans="1:3" x14ac:dyDescent="0.25">
      <c r="A234" t="s">
        <v>576</v>
      </c>
      <c r="B234" t="s">
        <v>534</v>
      </c>
      <c r="C234">
        <f t="shared" si="3"/>
        <v>195</v>
      </c>
    </row>
    <row r="235" spans="1:3" x14ac:dyDescent="0.25">
      <c r="A235" t="s">
        <v>577</v>
      </c>
      <c r="B235" t="s">
        <v>535</v>
      </c>
      <c r="C235">
        <f t="shared" si="3"/>
        <v>196</v>
      </c>
    </row>
    <row r="236" spans="1:3" x14ac:dyDescent="0.25">
      <c r="A236" t="s">
        <v>578</v>
      </c>
      <c r="B236" t="s">
        <v>536</v>
      </c>
      <c r="C236">
        <f t="shared" si="3"/>
        <v>197</v>
      </c>
    </row>
    <row r="237" spans="1:3" x14ac:dyDescent="0.25">
      <c r="A237" t="s">
        <v>579</v>
      </c>
      <c r="B237" t="s">
        <v>538</v>
      </c>
      <c r="C237">
        <f t="shared" si="3"/>
        <v>198</v>
      </c>
    </row>
    <row r="238" spans="1:3" x14ac:dyDescent="0.25">
      <c r="A238" t="s">
        <v>580</v>
      </c>
      <c r="B238" t="s">
        <v>539</v>
      </c>
      <c r="C238">
        <f t="shared" si="3"/>
        <v>199</v>
      </c>
    </row>
    <row r="239" spans="1:3" x14ac:dyDescent="0.25">
      <c r="A239" t="s">
        <v>581</v>
      </c>
      <c r="B239" t="s">
        <v>540</v>
      </c>
      <c r="C239">
        <f t="shared" si="3"/>
        <v>200</v>
      </c>
    </row>
    <row r="240" spans="1:3" x14ac:dyDescent="0.25">
      <c r="A240" t="s">
        <v>582</v>
      </c>
      <c r="B240" t="s">
        <v>541</v>
      </c>
      <c r="C240">
        <f t="shared" si="3"/>
        <v>201</v>
      </c>
    </row>
    <row r="241" spans="1:3" x14ac:dyDescent="0.25">
      <c r="A241" t="s">
        <v>583</v>
      </c>
      <c r="B241" t="s">
        <v>542</v>
      </c>
      <c r="C241">
        <f t="shared" si="3"/>
        <v>202</v>
      </c>
    </row>
    <row r="242" spans="1:3" x14ac:dyDescent="0.25">
      <c r="A242" t="s">
        <v>584</v>
      </c>
      <c r="B242" t="s">
        <v>543</v>
      </c>
      <c r="C242">
        <f t="shared" si="3"/>
        <v>203</v>
      </c>
    </row>
    <row r="243" spans="1:3" x14ac:dyDescent="0.25">
      <c r="A243" t="s">
        <v>585</v>
      </c>
      <c r="B243" t="s">
        <v>544</v>
      </c>
      <c r="C243">
        <f t="shared" si="3"/>
        <v>204</v>
      </c>
    </row>
    <row r="244" spans="1:3" x14ac:dyDescent="0.25">
      <c r="A244" t="s">
        <v>586</v>
      </c>
      <c r="B244" t="s">
        <v>545</v>
      </c>
      <c r="C244">
        <f t="shared" si="3"/>
        <v>205</v>
      </c>
    </row>
    <row r="245" spans="1:3" x14ac:dyDescent="0.25">
      <c r="A245" t="s">
        <v>587</v>
      </c>
      <c r="B245" t="s">
        <v>547</v>
      </c>
      <c r="C245">
        <f t="shared" si="3"/>
        <v>206</v>
      </c>
    </row>
    <row r="246" spans="1:3" x14ac:dyDescent="0.25">
      <c r="A246" t="s">
        <v>588</v>
      </c>
      <c r="B246" t="s">
        <v>548</v>
      </c>
      <c r="C246">
        <f t="shared" si="3"/>
        <v>207</v>
      </c>
    </row>
    <row r="247" spans="1:3" x14ac:dyDescent="0.25">
      <c r="A247" t="s">
        <v>589</v>
      </c>
      <c r="B247" t="s">
        <v>549</v>
      </c>
      <c r="C247">
        <f t="shared" si="3"/>
        <v>208</v>
      </c>
    </row>
    <row r="248" spans="1:3" x14ac:dyDescent="0.25">
      <c r="A248" t="s">
        <v>590</v>
      </c>
      <c r="B248" t="s">
        <v>550</v>
      </c>
      <c r="C248">
        <f t="shared" si="3"/>
        <v>209</v>
      </c>
    </row>
    <row r="249" spans="1:3" x14ac:dyDescent="0.25">
      <c r="A249" t="s">
        <v>591</v>
      </c>
      <c r="B249" t="s">
        <v>552</v>
      </c>
      <c r="C249">
        <f t="shared" si="3"/>
        <v>210</v>
      </c>
    </row>
    <row r="250" spans="1:3" x14ac:dyDescent="0.25">
      <c r="A250" t="s">
        <v>592</v>
      </c>
      <c r="B250" t="s">
        <v>553</v>
      </c>
      <c r="C250">
        <f t="shared" si="3"/>
        <v>211</v>
      </c>
    </row>
    <row r="251" spans="1:3" x14ac:dyDescent="0.25">
      <c r="A251" t="s">
        <v>593</v>
      </c>
      <c r="B251" t="s">
        <v>554</v>
      </c>
      <c r="C251">
        <f t="shared" si="3"/>
        <v>212</v>
      </c>
    </row>
    <row r="252" spans="1:3" x14ac:dyDescent="0.25">
      <c r="A252" t="s">
        <v>594</v>
      </c>
      <c r="B252" t="s">
        <v>555</v>
      </c>
      <c r="C252">
        <f t="shared" si="3"/>
        <v>213</v>
      </c>
    </row>
    <row r="253" spans="1:3" x14ac:dyDescent="0.25">
      <c r="A253" t="s">
        <v>595</v>
      </c>
      <c r="B253" t="s">
        <v>556</v>
      </c>
      <c r="C253">
        <f t="shared" si="3"/>
        <v>214</v>
      </c>
    </row>
    <row r="254" spans="1:3" x14ac:dyDescent="0.25">
      <c r="A254" t="s">
        <v>596</v>
      </c>
      <c r="B254" t="s">
        <v>557</v>
      </c>
      <c r="C254">
        <f t="shared" si="3"/>
        <v>215</v>
      </c>
    </row>
    <row r="255" spans="1:3" x14ac:dyDescent="0.25">
      <c r="A255" t="s">
        <v>597</v>
      </c>
      <c r="B255" t="s">
        <v>558</v>
      </c>
      <c r="C255">
        <f t="shared" si="3"/>
        <v>216</v>
      </c>
    </row>
    <row r="256" spans="1:3" x14ac:dyDescent="0.25">
      <c r="A256" t="s">
        <v>598</v>
      </c>
      <c r="B256" t="s">
        <v>559</v>
      </c>
      <c r="C256">
        <f t="shared" si="3"/>
        <v>217</v>
      </c>
    </row>
    <row r="257" spans="1:3" x14ac:dyDescent="0.25">
      <c r="A257" t="s">
        <v>599</v>
      </c>
      <c r="B257" t="s">
        <v>560</v>
      </c>
      <c r="C257">
        <f t="shared" si="3"/>
        <v>218</v>
      </c>
    </row>
    <row r="258" spans="1:3" x14ac:dyDescent="0.25">
      <c r="A258" t="s">
        <v>600</v>
      </c>
      <c r="B258" t="s">
        <v>561</v>
      </c>
      <c r="C258">
        <f t="shared" si="3"/>
        <v>219</v>
      </c>
    </row>
    <row r="259" spans="1:3" x14ac:dyDescent="0.25">
      <c r="A259" t="s">
        <v>601</v>
      </c>
      <c r="B259" t="s">
        <v>562</v>
      </c>
      <c r="C259">
        <f t="shared" si="3"/>
        <v>220</v>
      </c>
    </row>
    <row r="260" spans="1:3" x14ac:dyDescent="0.25">
      <c r="A260" t="s">
        <v>602</v>
      </c>
      <c r="B260" t="s">
        <v>563</v>
      </c>
      <c r="C260">
        <f t="shared" si="3"/>
        <v>221</v>
      </c>
    </row>
    <row r="261" spans="1:3" x14ac:dyDescent="0.25">
      <c r="A261" t="s">
        <v>603</v>
      </c>
      <c r="B261" t="s">
        <v>564</v>
      </c>
      <c r="C261">
        <f t="shared" ref="C261:C324" si="4">MATCH(B261,A:A,0)</f>
        <v>222</v>
      </c>
    </row>
    <row r="262" spans="1:3" x14ac:dyDescent="0.25">
      <c r="A262" t="s">
        <v>604</v>
      </c>
      <c r="B262" t="s">
        <v>565</v>
      </c>
      <c r="C262">
        <f t="shared" si="4"/>
        <v>223</v>
      </c>
    </row>
    <row r="263" spans="1:3" x14ac:dyDescent="0.25">
      <c r="A263" t="s">
        <v>605</v>
      </c>
      <c r="B263" t="s">
        <v>566</v>
      </c>
      <c r="C263">
        <f t="shared" si="4"/>
        <v>224</v>
      </c>
    </row>
    <row r="264" spans="1:3" x14ac:dyDescent="0.25">
      <c r="A264" t="s">
        <v>606</v>
      </c>
      <c r="B264" t="s">
        <v>567</v>
      </c>
      <c r="C264">
        <f t="shared" si="4"/>
        <v>225</v>
      </c>
    </row>
    <row r="265" spans="1:3" x14ac:dyDescent="0.25">
      <c r="A265" t="s">
        <v>607</v>
      </c>
      <c r="B265" t="s">
        <v>568</v>
      </c>
      <c r="C265">
        <f t="shared" si="4"/>
        <v>226</v>
      </c>
    </row>
    <row r="266" spans="1:3" x14ac:dyDescent="0.25">
      <c r="A266" t="s">
        <v>608</v>
      </c>
      <c r="B266" t="s">
        <v>569</v>
      </c>
      <c r="C266">
        <f t="shared" si="4"/>
        <v>227</v>
      </c>
    </row>
    <row r="267" spans="1:3" x14ac:dyDescent="0.25">
      <c r="A267" t="s">
        <v>609</v>
      </c>
      <c r="B267" t="s">
        <v>570</v>
      </c>
      <c r="C267">
        <f t="shared" si="4"/>
        <v>228</v>
      </c>
    </row>
    <row r="268" spans="1:3" x14ac:dyDescent="0.25">
      <c r="A268" t="s">
        <v>610</v>
      </c>
      <c r="B268" t="s">
        <v>571</v>
      </c>
      <c r="C268">
        <f t="shared" si="4"/>
        <v>229</v>
      </c>
    </row>
    <row r="269" spans="1:3" x14ac:dyDescent="0.25">
      <c r="A269" t="s">
        <v>611</v>
      </c>
      <c r="B269" t="s">
        <v>572</v>
      </c>
      <c r="C269">
        <f t="shared" si="4"/>
        <v>230</v>
      </c>
    </row>
    <row r="270" spans="1:3" x14ac:dyDescent="0.25">
      <c r="A270" t="s">
        <v>612</v>
      </c>
      <c r="B270" t="s">
        <v>573</v>
      </c>
      <c r="C270">
        <f t="shared" si="4"/>
        <v>231</v>
      </c>
    </row>
    <row r="271" spans="1:3" x14ac:dyDescent="0.25">
      <c r="A271" t="s">
        <v>613</v>
      </c>
      <c r="B271" t="s">
        <v>574</v>
      </c>
      <c r="C271">
        <f t="shared" si="4"/>
        <v>232</v>
      </c>
    </row>
    <row r="272" spans="1:3" x14ac:dyDescent="0.25">
      <c r="A272" t="s">
        <v>614</v>
      </c>
      <c r="B272" t="s">
        <v>575</v>
      </c>
      <c r="C272">
        <f t="shared" si="4"/>
        <v>233</v>
      </c>
    </row>
    <row r="273" spans="1:3" x14ac:dyDescent="0.25">
      <c r="A273" t="s">
        <v>615</v>
      </c>
      <c r="B273" t="s">
        <v>576</v>
      </c>
      <c r="C273">
        <f t="shared" si="4"/>
        <v>234</v>
      </c>
    </row>
    <row r="274" spans="1:3" x14ac:dyDescent="0.25">
      <c r="A274" t="s">
        <v>616</v>
      </c>
      <c r="B274" t="s">
        <v>577</v>
      </c>
      <c r="C274">
        <f t="shared" si="4"/>
        <v>235</v>
      </c>
    </row>
    <row r="275" spans="1:3" x14ac:dyDescent="0.25">
      <c r="A275" t="s">
        <v>617</v>
      </c>
      <c r="B275" t="s">
        <v>578</v>
      </c>
      <c r="C275">
        <f t="shared" si="4"/>
        <v>236</v>
      </c>
    </row>
    <row r="276" spans="1:3" x14ac:dyDescent="0.25">
      <c r="A276" t="s">
        <v>618</v>
      </c>
      <c r="B276" t="s">
        <v>579</v>
      </c>
      <c r="C276">
        <f t="shared" si="4"/>
        <v>237</v>
      </c>
    </row>
    <row r="277" spans="1:3" x14ac:dyDescent="0.25">
      <c r="A277" t="s">
        <v>619</v>
      </c>
      <c r="B277" t="s">
        <v>580</v>
      </c>
      <c r="C277">
        <f t="shared" si="4"/>
        <v>238</v>
      </c>
    </row>
    <row r="278" spans="1:3" x14ac:dyDescent="0.25">
      <c r="A278" t="s">
        <v>620</v>
      </c>
      <c r="B278" t="s">
        <v>581</v>
      </c>
      <c r="C278">
        <f t="shared" si="4"/>
        <v>239</v>
      </c>
    </row>
    <row r="279" spans="1:3" x14ac:dyDescent="0.25">
      <c r="A279" t="s">
        <v>621</v>
      </c>
      <c r="B279" t="s">
        <v>582</v>
      </c>
      <c r="C279">
        <f t="shared" si="4"/>
        <v>240</v>
      </c>
    </row>
    <row r="280" spans="1:3" x14ac:dyDescent="0.25">
      <c r="A280" t="s">
        <v>622</v>
      </c>
      <c r="B280" t="s">
        <v>583</v>
      </c>
      <c r="C280">
        <f t="shared" si="4"/>
        <v>241</v>
      </c>
    </row>
    <row r="281" spans="1:3" x14ac:dyDescent="0.25">
      <c r="A281" t="s">
        <v>623</v>
      </c>
      <c r="B281" t="s">
        <v>584</v>
      </c>
      <c r="C281">
        <f t="shared" si="4"/>
        <v>242</v>
      </c>
    </row>
    <row r="282" spans="1:3" x14ac:dyDescent="0.25">
      <c r="A282" t="s">
        <v>624</v>
      </c>
      <c r="B282" t="s">
        <v>585</v>
      </c>
      <c r="C282">
        <f t="shared" si="4"/>
        <v>243</v>
      </c>
    </row>
    <row r="283" spans="1:3" x14ac:dyDescent="0.25">
      <c r="A283" t="s">
        <v>625</v>
      </c>
      <c r="B283" t="s">
        <v>586</v>
      </c>
      <c r="C283">
        <f t="shared" si="4"/>
        <v>244</v>
      </c>
    </row>
    <row r="284" spans="1:3" x14ac:dyDescent="0.25">
      <c r="A284" t="s">
        <v>626</v>
      </c>
      <c r="B284" t="s">
        <v>587</v>
      </c>
      <c r="C284">
        <f t="shared" si="4"/>
        <v>245</v>
      </c>
    </row>
    <row r="285" spans="1:3" x14ac:dyDescent="0.25">
      <c r="A285" t="s">
        <v>627</v>
      </c>
      <c r="B285" t="s">
        <v>588</v>
      </c>
      <c r="C285">
        <f t="shared" si="4"/>
        <v>246</v>
      </c>
    </row>
    <row r="286" spans="1:3" x14ac:dyDescent="0.25">
      <c r="A286" t="s">
        <v>628</v>
      </c>
      <c r="B286" t="s">
        <v>589</v>
      </c>
      <c r="C286">
        <f t="shared" si="4"/>
        <v>247</v>
      </c>
    </row>
    <row r="287" spans="1:3" x14ac:dyDescent="0.25">
      <c r="A287" t="s">
        <v>629</v>
      </c>
      <c r="B287" t="s">
        <v>590</v>
      </c>
      <c r="C287">
        <f t="shared" si="4"/>
        <v>248</v>
      </c>
    </row>
    <row r="288" spans="1:3" x14ac:dyDescent="0.25">
      <c r="A288" t="s">
        <v>630</v>
      </c>
      <c r="B288" t="s">
        <v>591</v>
      </c>
      <c r="C288">
        <f t="shared" si="4"/>
        <v>249</v>
      </c>
    </row>
    <row r="289" spans="1:3" x14ac:dyDescent="0.25">
      <c r="A289" t="s">
        <v>631</v>
      </c>
      <c r="B289" t="s">
        <v>592</v>
      </c>
      <c r="C289">
        <f t="shared" si="4"/>
        <v>250</v>
      </c>
    </row>
    <row r="290" spans="1:3" x14ac:dyDescent="0.25">
      <c r="A290" t="s">
        <v>632</v>
      </c>
      <c r="B290" t="s">
        <v>593</v>
      </c>
      <c r="C290">
        <f t="shared" si="4"/>
        <v>251</v>
      </c>
    </row>
    <row r="291" spans="1:3" x14ac:dyDescent="0.25">
      <c r="A291" t="s">
        <v>633</v>
      </c>
      <c r="B291" t="s">
        <v>594</v>
      </c>
      <c r="C291">
        <f t="shared" si="4"/>
        <v>252</v>
      </c>
    </row>
    <row r="292" spans="1:3" x14ac:dyDescent="0.25">
      <c r="A292" t="s">
        <v>634</v>
      </c>
      <c r="B292" t="s">
        <v>595</v>
      </c>
      <c r="C292">
        <f t="shared" si="4"/>
        <v>253</v>
      </c>
    </row>
    <row r="293" spans="1:3" x14ac:dyDescent="0.25">
      <c r="A293" t="s">
        <v>635</v>
      </c>
      <c r="B293" t="s">
        <v>596</v>
      </c>
      <c r="C293">
        <f t="shared" si="4"/>
        <v>254</v>
      </c>
    </row>
    <row r="294" spans="1:3" x14ac:dyDescent="0.25">
      <c r="A294" t="s">
        <v>636</v>
      </c>
      <c r="B294" t="s">
        <v>597</v>
      </c>
      <c r="C294">
        <f t="shared" si="4"/>
        <v>255</v>
      </c>
    </row>
    <row r="295" spans="1:3" x14ac:dyDescent="0.25">
      <c r="A295" t="s">
        <v>637</v>
      </c>
      <c r="B295" t="s">
        <v>598</v>
      </c>
      <c r="C295">
        <f t="shared" si="4"/>
        <v>256</v>
      </c>
    </row>
    <row r="296" spans="1:3" x14ac:dyDescent="0.25">
      <c r="A296" t="s">
        <v>638</v>
      </c>
      <c r="B296" t="s">
        <v>599</v>
      </c>
      <c r="C296">
        <f t="shared" si="4"/>
        <v>257</v>
      </c>
    </row>
    <row r="297" spans="1:3" x14ac:dyDescent="0.25">
      <c r="A297" t="s">
        <v>639</v>
      </c>
      <c r="B297" t="s">
        <v>600</v>
      </c>
      <c r="C297">
        <f t="shared" si="4"/>
        <v>258</v>
      </c>
    </row>
    <row r="298" spans="1:3" x14ac:dyDescent="0.25">
      <c r="A298" t="s">
        <v>640</v>
      </c>
      <c r="B298" t="s">
        <v>601</v>
      </c>
      <c r="C298">
        <f t="shared" si="4"/>
        <v>259</v>
      </c>
    </row>
    <row r="299" spans="1:3" x14ac:dyDescent="0.25">
      <c r="A299" t="s">
        <v>641</v>
      </c>
      <c r="B299" t="s">
        <v>602</v>
      </c>
      <c r="C299">
        <f t="shared" si="4"/>
        <v>260</v>
      </c>
    </row>
    <row r="300" spans="1:3" x14ac:dyDescent="0.25">
      <c r="A300" t="s">
        <v>642</v>
      </c>
      <c r="B300" t="s">
        <v>603</v>
      </c>
      <c r="C300">
        <f t="shared" si="4"/>
        <v>261</v>
      </c>
    </row>
    <row r="301" spans="1:3" x14ac:dyDescent="0.25">
      <c r="A301" t="s">
        <v>643</v>
      </c>
      <c r="B301" t="s">
        <v>604</v>
      </c>
      <c r="C301">
        <f t="shared" si="4"/>
        <v>262</v>
      </c>
    </row>
    <row r="302" spans="1:3" x14ac:dyDescent="0.25">
      <c r="A302" t="s">
        <v>644</v>
      </c>
      <c r="B302" t="s">
        <v>605</v>
      </c>
      <c r="C302">
        <f t="shared" si="4"/>
        <v>263</v>
      </c>
    </row>
    <row r="303" spans="1:3" x14ac:dyDescent="0.25">
      <c r="A303" t="s">
        <v>645</v>
      </c>
      <c r="B303" t="s">
        <v>606</v>
      </c>
      <c r="C303">
        <f t="shared" si="4"/>
        <v>264</v>
      </c>
    </row>
    <row r="304" spans="1:3" x14ac:dyDescent="0.25">
      <c r="A304" t="s">
        <v>646</v>
      </c>
      <c r="B304" t="s">
        <v>607</v>
      </c>
      <c r="C304">
        <f t="shared" si="4"/>
        <v>265</v>
      </c>
    </row>
    <row r="305" spans="1:3" x14ac:dyDescent="0.25">
      <c r="A305" t="s">
        <v>647</v>
      </c>
      <c r="B305" t="s">
        <v>608</v>
      </c>
      <c r="C305">
        <f t="shared" si="4"/>
        <v>266</v>
      </c>
    </row>
    <row r="306" spans="1:3" x14ac:dyDescent="0.25">
      <c r="A306" t="s">
        <v>648</v>
      </c>
      <c r="B306" t="s">
        <v>609</v>
      </c>
      <c r="C306">
        <f t="shared" si="4"/>
        <v>267</v>
      </c>
    </row>
    <row r="307" spans="1:3" x14ac:dyDescent="0.25">
      <c r="A307" t="s">
        <v>649</v>
      </c>
      <c r="B307" t="s">
        <v>610</v>
      </c>
      <c r="C307">
        <f t="shared" si="4"/>
        <v>268</v>
      </c>
    </row>
    <row r="308" spans="1:3" x14ac:dyDescent="0.25">
      <c r="A308" t="s">
        <v>650</v>
      </c>
      <c r="B308" t="s">
        <v>611</v>
      </c>
      <c r="C308">
        <f t="shared" si="4"/>
        <v>269</v>
      </c>
    </row>
    <row r="309" spans="1:3" x14ac:dyDescent="0.25">
      <c r="A309" t="s">
        <v>651</v>
      </c>
      <c r="B309" t="s">
        <v>612</v>
      </c>
      <c r="C309">
        <f t="shared" si="4"/>
        <v>270</v>
      </c>
    </row>
    <row r="310" spans="1:3" x14ac:dyDescent="0.25">
      <c r="A310" t="s">
        <v>652</v>
      </c>
      <c r="B310" t="s">
        <v>613</v>
      </c>
      <c r="C310">
        <f t="shared" si="4"/>
        <v>271</v>
      </c>
    </row>
    <row r="311" spans="1:3" x14ac:dyDescent="0.25">
      <c r="A311" t="s">
        <v>653</v>
      </c>
      <c r="B311" t="s">
        <v>614</v>
      </c>
      <c r="C311">
        <f t="shared" si="4"/>
        <v>272</v>
      </c>
    </row>
    <row r="312" spans="1:3" x14ac:dyDescent="0.25">
      <c r="A312" t="s">
        <v>654</v>
      </c>
      <c r="B312" t="s">
        <v>615</v>
      </c>
      <c r="C312">
        <f t="shared" si="4"/>
        <v>273</v>
      </c>
    </row>
    <row r="313" spans="1:3" x14ac:dyDescent="0.25">
      <c r="A313" t="s">
        <v>655</v>
      </c>
      <c r="B313" t="s">
        <v>616</v>
      </c>
      <c r="C313">
        <f t="shared" si="4"/>
        <v>274</v>
      </c>
    </row>
    <row r="314" spans="1:3" x14ac:dyDescent="0.25">
      <c r="A314" t="s">
        <v>656</v>
      </c>
      <c r="B314" t="s">
        <v>617</v>
      </c>
      <c r="C314">
        <f t="shared" si="4"/>
        <v>275</v>
      </c>
    </row>
    <row r="315" spans="1:3" x14ac:dyDescent="0.25">
      <c r="A315" t="s">
        <v>657</v>
      </c>
      <c r="B315" t="s">
        <v>618</v>
      </c>
      <c r="C315">
        <f t="shared" si="4"/>
        <v>276</v>
      </c>
    </row>
    <row r="316" spans="1:3" x14ac:dyDescent="0.25">
      <c r="A316" t="s">
        <v>658</v>
      </c>
      <c r="B316" t="s">
        <v>619</v>
      </c>
      <c r="C316">
        <f t="shared" si="4"/>
        <v>277</v>
      </c>
    </row>
    <row r="317" spans="1:3" x14ac:dyDescent="0.25">
      <c r="A317" t="s">
        <v>659</v>
      </c>
      <c r="B317" t="s">
        <v>620</v>
      </c>
      <c r="C317">
        <f t="shared" si="4"/>
        <v>278</v>
      </c>
    </row>
    <row r="318" spans="1:3" x14ac:dyDescent="0.25">
      <c r="A318" t="s">
        <v>660</v>
      </c>
      <c r="B318" t="s">
        <v>621</v>
      </c>
      <c r="C318">
        <f t="shared" si="4"/>
        <v>279</v>
      </c>
    </row>
    <row r="319" spans="1:3" x14ac:dyDescent="0.25">
      <c r="A319" t="s">
        <v>661</v>
      </c>
      <c r="B319" t="s">
        <v>622</v>
      </c>
      <c r="C319">
        <f t="shared" si="4"/>
        <v>280</v>
      </c>
    </row>
    <row r="320" spans="1:3" x14ac:dyDescent="0.25">
      <c r="A320" t="s">
        <v>662</v>
      </c>
      <c r="B320" t="s">
        <v>623</v>
      </c>
      <c r="C320">
        <f t="shared" si="4"/>
        <v>281</v>
      </c>
    </row>
    <row r="321" spans="1:3" x14ac:dyDescent="0.25">
      <c r="A321" t="s">
        <v>663</v>
      </c>
      <c r="B321" t="s">
        <v>624</v>
      </c>
      <c r="C321">
        <f t="shared" si="4"/>
        <v>282</v>
      </c>
    </row>
    <row r="322" spans="1:3" x14ac:dyDescent="0.25">
      <c r="A322" t="s">
        <v>664</v>
      </c>
      <c r="B322" t="s">
        <v>625</v>
      </c>
      <c r="C322">
        <f t="shared" si="4"/>
        <v>283</v>
      </c>
    </row>
    <row r="323" spans="1:3" x14ac:dyDescent="0.25">
      <c r="A323" t="s">
        <v>665</v>
      </c>
      <c r="B323" t="s">
        <v>626</v>
      </c>
      <c r="C323">
        <f t="shared" si="4"/>
        <v>284</v>
      </c>
    </row>
    <row r="324" spans="1:3" x14ac:dyDescent="0.25">
      <c r="A324" t="s">
        <v>666</v>
      </c>
      <c r="B324" t="s">
        <v>627</v>
      </c>
      <c r="C324">
        <f t="shared" si="4"/>
        <v>285</v>
      </c>
    </row>
    <row r="325" spans="1:3" x14ac:dyDescent="0.25">
      <c r="A325" t="s">
        <v>667</v>
      </c>
      <c r="B325" t="s">
        <v>628</v>
      </c>
      <c r="C325">
        <f t="shared" ref="C325:C388" si="5">MATCH(B325,A:A,0)</f>
        <v>286</v>
      </c>
    </row>
    <row r="326" spans="1:3" x14ac:dyDescent="0.25">
      <c r="A326" t="s">
        <v>668</v>
      </c>
      <c r="B326" t="s">
        <v>629</v>
      </c>
      <c r="C326">
        <f t="shared" si="5"/>
        <v>287</v>
      </c>
    </row>
    <row r="327" spans="1:3" x14ac:dyDescent="0.25">
      <c r="A327" t="s">
        <v>669</v>
      </c>
      <c r="B327" t="s">
        <v>630</v>
      </c>
      <c r="C327">
        <f t="shared" si="5"/>
        <v>288</v>
      </c>
    </row>
    <row r="328" spans="1:3" x14ac:dyDescent="0.25">
      <c r="A328" t="s">
        <v>670</v>
      </c>
      <c r="B328" t="s">
        <v>631</v>
      </c>
      <c r="C328">
        <f t="shared" si="5"/>
        <v>289</v>
      </c>
    </row>
    <row r="329" spans="1:3" x14ac:dyDescent="0.25">
      <c r="A329" t="s">
        <v>671</v>
      </c>
      <c r="B329" t="s">
        <v>632</v>
      </c>
      <c r="C329">
        <f t="shared" si="5"/>
        <v>290</v>
      </c>
    </row>
    <row r="330" spans="1:3" x14ac:dyDescent="0.25">
      <c r="A330" t="s">
        <v>672</v>
      </c>
      <c r="B330" t="s">
        <v>633</v>
      </c>
      <c r="C330">
        <f t="shared" si="5"/>
        <v>291</v>
      </c>
    </row>
    <row r="331" spans="1:3" x14ac:dyDescent="0.25">
      <c r="A331" t="s">
        <v>673</v>
      </c>
      <c r="B331" t="s">
        <v>634</v>
      </c>
      <c r="C331">
        <f t="shared" si="5"/>
        <v>292</v>
      </c>
    </row>
    <row r="332" spans="1:3" x14ac:dyDescent="0.25">
      <c r="A332" t="s">
        <v>674</v>
      </c>
      <c r="B332" t="s">
        <v>635</v>
      </c>
      <c r="C332">
        <f t="shared" si="5"/>
        <v>293</v>
      </c>
    </row>
    <row r="333" spans="1:3" x14ac:dyDescent="0.25">
      <c r="A333" t="s">
        <v>675</v>
      </c>
      <c r="B333" t="s">
        <v>636</v>
      </c>
      <c r="C333">
        <f t="shared" si="5"/>
        <v>294</v>
      </c>
    </row>
    <row r="334" spans="1:3" x14ac:dyDescent="0.25">
      <c r="A334" t="s">
        <v>676</v>
      </c>
      <c r="B334" t="s">
        <v>637</v>
      </c>
      <c r="C334">
        <f t="shared" si="5"/>
        <v>295</v>
      </c>
    </row>
    <row r="335" spans="1:3" x14ac:dyDescent="0.25">
      <c r="A335" t="s">
        <v>677</v>
      </c>
      <c r="B335" t="s">
        <v>638</v>
      </c>
      <c r="C335">
        <f t="shared" si="5"/>
        <v>296</v>
      </c>
    </row>
    <row r="336" spans="1:3" x14ac:dyDescent="0.25">
      <c r="A336" t="s">
        <v>678</v>
      </c>
      <c r="B336" t="s">
        <v>639</v>
      </c>
      <c r="C336">
        <f t="shared" si="5"/>
        <v>297</v>
      </c>
    </row>
    <row r="337" spans="1:3" x14ac:dyDescent="0.25">
      <c r="A337" t="s">
        <v>679</v>
      </c>
      <c r="B337" t="s">
        <v>640</v>
      </c>
      <c r="C337">
        <f t="shared" si="5"/>
        <v>298</v>
      </c>
    </row>
    <row r="338" spans="1:3" x14ac:dyDescent="0.25">
      <c r="A338" t="s">
        <v>680</v>
      </c>
      <c r="B338" t="s">
        <v>641</v>
      </c>
      <c r="C338">
        <f t="shared" si="5"/>
        <v>299</v>
      </c>
    </row>
    <row r="339" spans="1:3" x14ac:dyDescent="0.25">
      <c r="A339" t="s">
        <v>681</v>
      </c>
      <c r="B339" t="s">
        <v>642</v>
      </c>
      <c r="C339">
        <f t="shared" si="5"/>
        <v>300</v>
      </c>
    </row>
    <row r="340" spans="1:3" x14ac:dyDescent="0.25">
      <c r="A340" t="s">
        <v>682</v>
      </c>
      <c r="B340" t="s">
        <v>643</v>
      </c>
      <c r="C340">
        <f t="shared" si="5"/>
        <v>301</v>
      </c>
    </row>
    <row r="341" spans="1:3" x14ac:dyDescent="0.25">
      <c r="A341" t="s">
        <v>683</v>
      </c>
      <c r="B341" t="s">
        <v>644</v>
      </c>
      <c r="C341">
        <f t="shared" si="5"/>
        <v>302</v>
      </c>
    </row>
    <row r="342" spans="1:3" x14ac:dyDescent="0.25">
      <c r="A342" t="s">
        <v>684</v>
      </c>
      <c r="B342" t="s">
        <v>645</v>
      </c>
      <c r="C342">
        <f t="shared" si="5"/>
        <v>303</v>
      </c>
    </row>
    <row r="343" spans="1:3" x14ac:dyDescent="0.25">
      <c r="A343" t="s">
        <v>685</v>
      </c>
      <c r="B343" t="s">
        <v>646</v>
      </c>
      <c r="C343">
        <f t="shared" si="5"/>
        <v>304</v>
      </c>
    </row>
    <row r="344" spans="1:3" x14ac:dyDescent="0.25">
      <c r="A344" t="s">
        <v>686</v>
      </c>
      <c r="B344" t="s">
        <v>647</v>
      </c>
      <c r="C344">
        <f t="shared" si="5"/>
        <v>305</v>
      </c>
    </row>
    <row r="345" spans="1:3" x14ac:dyDescent="0.25">
      <c r="A345" t="s">
        <v>687</v>
      </c>
      <c r="B345" t="s">
        <v>648</v>
      </c>
      <c r="C345">
        <f t="shared" si="5"/>
        <v>306</v>
      </c>
    </row>
    <row r="346" spans="1:3" x14ac:dyDescent="0.25">
      <c r="A346" t="s">
        <v>688</v>
      </c>
      <c r="B346" t="s">
        <v>649</v>
      </c>
      <c r="C346">
        <f t="shared" si="5"/>
        <v>307</v>
      </c>
    </row>
    <row r="347" spans="1:3" x14ac:dyDescent="0.25">
      <c r="A347" t="s">
        <v>689</v>
      </c>
      <c r="B347" t="s">
        <v>650</v>
      </c>
      <c r="C347">
        <f t="shared" si="5"/>
        <v>308</v>
      </c>
    </row>
    <row r="348" spans="1:3" x14ac:dyDescent="0.25">
      <c r="A348" t="s">
        <v>690</v>
      </c>
      <c r="B348" t="s">
        <v>651</v>
      </c>
      <c r="C348">
        <f t="shared" si="5"/>
        <v>309</v>
      </c>
    </row>
    <row r="349" spans="1:3" x14ac:dyDescent="0.25">
      <c r="A349" t="s">
        <v>691</v>
      </c>
      <c r="B349" t="s">
        <v>652</v>
      </c>
      <c r="C349">
        <f t="shared" si="5"/>
        <v>310</v>
      </c>
    </row>
    <row r="350" spans="1:3" x14ac:dyDescent="0.25">
      <c r="A350" t="s">
        <v>692</v>
      </c>
      <c r="B350" t="s">
        <v>653</v>
      </c>
      <c r="C350">
        <f t="shared" si="5"/>
        <v>311</v>
      </c>
    </row>
    <row r="351" spans="1:3" x14ac:dyDescent="0.25">
      <c r="A351" t="s">
        <v>693</v>
      </c>
      <c r="B351" t="s">
        <v>654</v>
      </c>
      <c r="C351">
        <f t="shared" si="5"/>
        <v>312</v>
      </c>
    </row>
    <row r="352" spans="1:3" x14ac:dyDescent="0.25">
      <c r="A352" t="s">
        <v>694</v>
      </c>
      <c r="B352" t="s">
        <v>655</v>
      </c>
      <c r="C352">
        <f t="shared" si="5"/>
        <v>313</v>
      </c>
    </row>
    <row r="353" spans="1:3" x14ac:dyDescent="0.25">
      <c r="A353" t="s">
        <v>695</v>
      </c>
      <c r="B353" t="s">
        <v>656</v>
      </c>
      <c r="C353">
        <f t="shared" si="5"/>
        <v>314</v>
      </c>
    </row>
    <row r="354" spans="1:3" x14ac:dyDescent="0.25">
      <c r="A354" t="s">
        <v>696</v>
      </c>
      <c r="B354" t="s">
        <v>657</v>
      </c>
      <c r="C354">
        <f t="shared" si="5"/>
        <v>315</v>
      </c>
    </row>
    <row r="355" spans="1:3" x14ac:dyDescent="0.25">
      <c r="A355" t="s">
        <v>697</v>
      </c>
      <c r="B355" t="s">
        <v>658</v>
      </c>
      <c r="C355">
        <f t="shared" si="5"/>
        <v>316</v>
      </c>
    </row>
    <row r="356" spans="1:3" x14ac:dyDescent="0.25">
      <c r="A356" t="s">
        <v>698</v>
      </c>
      <c r="B356" t="s">
        <v>659</v>
      </c>
      <c r="C356">
        <f t="shared" si="5"/>
        <v>317</v>
      </c>
    </row>
    <row r="357" spans="1:3" x14ac:dyDescent="0.25">
      <c r="A357" t="s">
        <v>699</v>
      </c>
      <c r="B357" t="s">
        <v>660</v>
      </c>
      <c r="C357">
        <f t="shared" si="5"/>
        <v>318</v>
      </c>
    </row>
    <row r="358" spans="1:3" x14ac:dyDescent="0.25">
      <c r="A358" t="s">
        <v>700</v>
      </c>
      <c r="B358" t="s">
        <v>661</v>
      </c>
      <c r="C358">
        <f t="shared" si="5"/>
        <v>319</v>
      </c>
    </row>
    <row r="359" spans="1:3" x14ac:dyDescent="0.25">
      <c r="A359" t="s">
        <v>701</v>
      </c>
      <c r="B359" t="s">
        <v>662</v>
      </c>
      <c r="C359">
        <f t="shared" si="5"/>
        <v>320</v>
      </c>
    </row>
    <row r="360" spans="1:3" x14ac:dyDescent="0.25">
      <c r="A360" t="s">
        <v>702</v>
      </c>
      <c r="B360" t="s">
        <v>663</v>
      </c>
      <c r="C360">
        <f t="shared" si="5"/>
        <v>321</v>
      </c>
    </row>
    <row r="361" spans="1:3" x14ac:dyDescent="0.25">
      <c r="A361" t="s">
        <v>703</v>
      </c>
      <c r="B361" t="s">
        <v>664</v>
      </c>
      <c r="C361">
        <f t="shared" si="5"/>
        <v>322</v>
      </c>
    </row>
    <row r="362" spans="1:3" x14ac:dyDescent="0.25">
      <c r="A362" t="s">
        <v>704</v>
      </c>
      <c r="B362" t="s">
        <v>665</v>
      </c>
      <c r="C362">
        <f t="shared" si="5"/>
        <v>323</v>
      </c>
    </row>
    <row r="363" spans="1:3" x14ac:dyDescent="0.25">
      <c r="A363" t="s">
        <v>705</v>
      </c>
      <c r="B363" t="s">
        <v>666</v>
      </c>
      <c r="C363">
        <f t="shared" si="5"/>
        <v>324</v>
      </c>
    </row>
    <row r="364" spans="1:3" x14ac:dyDescent="0.25">
      <c r="A364" t="s">
        <v>706</v>
      </c>
      <c r="B364" t="s">
        <v>667</v>
      </c>
      <c r="C364">
        <f t="shared" si="5"/>
        <v>325</v>
      </c>
    </row>
    <row r="365" spans="1:3" x14ac:dyDescent="0.25">
      <c r="A365" t="s">
        <v>707</v>
      </c>
      <c r="B365" t="s">
        <v>668</v>
      </c>
      <c r="C365">
        <f t="shared" si="5"/>
        <v>326</v>
      </c>
    </row>
    <row r="366" spans="1:3" x14ac:dyDescent="0.25">
      <c r="A366" t="s">
        <v>708</v>
      </c>
      <c r="B366" t="s">
        <v>669</v>
      </c>
      <c r="C366">
        <f t="shared" si="5"/>
        <v>327</v>
      </c>
    </row>
    <row r="367" spans="1:3" x14ac:dyDescent="0.25">
      <c r="A367" t="s">
        <v>709</v>
      </c>
      <c r="B367" t="s">
        <v>670</v>
      </c>
      <c r="C367">
        <f t="shared" si="5"/>
        <v>328</v>
      </c>
    </row>
    <row r="368" spans="1:3" x14ac:dyDescent="0.25">
      <c r="A368" t="s">
        <v>710</v>
      </c>
      <c r="B368" t="s">
        <v>671</v>
      </c>
      <c r="C368">
        <f t="shared" si="5"/>
        <v>329</v>
      </c>
    </row>
    <row r="369" spans="1:3" x14ac:dyDescent="0.25">
      <c r="A369" t="s">
        <v>711</v>
      </c>
      <c r="B369" t="s">
        <v>672</v>
      </c>
      <c r="C369">
        <f t="shared" si="5"/>
        <v>330</v>
      </c>
    </row>
    <row r="370" spans="1:3" x14ac:dyDescent="0.25">
      <c r="A370" t="s">
        <v>712</v>
      </c>
      <c r="B370" t="s">
        <v>673</v>
      </c>
      <c r="C370">
        <f t="shared" si="5"/>
        <v>331</v>
      </c>
    </row>
    <row r="371" spans="1:3" x14ac:dyDescent="0.25">
      <c r="A371" t="s">
        <v>713</v>
      </c>
      <c r="B371" t="s">
        <v>674</v>
      </c>
      <c r="C371">
        <f t="shared" si="5"/>
        <v>332</v>
      </c>
    </row>
    <row r="372" spans="1:3" x14ac:dyDescent="0.25">
      <c r="A372" t="s">
        <v>714</v>
      </c>
      <c r="B372" t="s">
        <v>675</v>
      </c>
      <c r="C372">
        <f t="shared" si="5"/>
        <v>333</v>
      </c>
    </row>
    <row r="373" spans="1:3" x14ac:dyDescent="0.25">
      <c r="A373" t="s">
        <v>715</v>
      </c>
      <c r="B373" t="s">
        <v>676</v>
      </c>
      <c r="C373">
        <f t="shared" si="5"/>
        <v>334</v>
      </c>
    </row>
    <row r="374" spans="1:3" x14ac:dyDescent="0.25">
      <c r="A374" t="s">
        <v>716</v>
      </c>
      <c r="B374" t="s">
        <v>677</v>
      </c>
      <c r="C374">
        <f t="shared" si="5"/>
        <v>335</v>
      </c>
    </row>
    <row r="375" spans="1:3" x14ac:dyDescent="0.25">
      <c r="A375" t="s">
        <v>717</v>
      </c>
      <c r="B375" t="s">
        <v>678</v>
      </c>
      <c r="C375">
        <f t="shared" si="5"/>
        <v>336</v>
      </c>
    </row>
    <row r="376" spans="1:3" x14ac:dyDescent="0.25">
      <c r="A376" t="s">
        <v>718</v>
      </c>
      <c r="B376" t="s">
        <v>679</v>
      </c>
      <c r="C376">
        <f t="shared" si="5"/>
        <v>337</v>
      </c>
    </row>
    <row r="377" spans="1:3" x14ac:dyDescent="0.25">
      <c r="A377" t="s">
        <v>719</v>
      </c>
      <c r="B377" t="s">
        <v>680</v>
      </c>
      <c r="C377">
        <f t="shared" si="5"/>
        <v>338</v>
      </c>
    </row>
    <row r="378" spans="1:3" x14ac:dyDescent="0.25">
      <c r="A378" t="s">
        <v>720</v>
      </c>
      <c r="B378" t="s">
        <v>681</v>
      </c>
      <c r="C378">
        <f t="shared" si="5"/>
        <v>339</v>
      </c>
    </row>
    <row r="379" spans="1:3" x14ac:dyDescent="0.25">
      <c r="A379" t="s">
        <v>721</v>
      </c>
      <c r="B379" t="s">
        <v>682</v>
      </c>
      <c r="C379">
        <f t="shared" si="5"/>
        <v>340</v>
      </c>
    </row>
    <row r="380" spans="1:3" x14ac:dyDescent="0.25">
      <c r="A380" t="s">
        <v>350</v>
      </c>
      <c r="B380" t="s">
        <v>683</v>
      </c>
      <c r="C380">
        <f t="shared" si="5"/>
        <v>341</v>
      </c>
    </row>
    <row r="381" spans="1:3" x14ac:dyDescent="0.25">
      <c r="A381" t="s">
        <v>352</v>
      </c>
      <c r="B381" t="s">
        <v>684</v>
      </c>
      <c r="C381">
        <f t="shared" si="5"/>
        <v>342</v>
      </c>
    </row>
    <row r="382" spans="1:3" x14ac:dyDescent="0.25">
      <c r="A382" t="s">
        <v>354</v>
      </c>
      <c r="B382" t="s">
        <v>685</v>
      </c>
      <c r="C382">
        <f t="shared" si="5"/>
        <v>343</v>
      </c>
    </row>
    <row r="383" spans="1:3" x14ac:dyDescent="0.25">
      <c r="A383" t="s">
        <v>356</v>
      </c>
      <c r="B383" t="s">
        <v>686</v>
      </c>
      <c r="C383">
        <f t="shared" si="5"/>
        <v>344</v>
      </c>
    </row>
    <row r="384" spans="1:3" x14ac:dyDescent="0.25">
      <c r="A384" t="s">
        <v>358</v>
      </c>
      <c r="B384" t="s">
        <v>687</v>
      </c>
      <c r="C384">
        <f t="shared" si="5"/>
        <v>345</v>
      </c>
    </row>
    <row r="385" spans="1:3" x14ac:dyDescent="0.25">
      <c r="A385" t="s">
        <v>360</v>
      </c>
      <c r="B385" t="s">
        <v>688</v>
      </c>
      <c r="C385">
        <f t="shared" si="5"/>
        <v>346</v>
      </c>
    </row>
    <row r="386" spans="1:3" x14ac:dyDescent="0.25">
      <c r="A386" t="s">
        <v>362</v>
      </c>
      <c r="B386" t="s">
        <v>689</v>
      </c>
      <c r="C386">
        <f t="shared" si="5"/>
        <v>347</v>
      </c>
    </row>
    <row r="387" spans="1:3" x14ac:dyDescent="0.25">
      <c r="A387" t="s">
        <v>364</v>
      </c>
      <c r="B387" t="s">
        <v>690</v>
      </c>
      <c r="C387">
        <f t="shared" si="5"/>
        <v>348</v>
      </c>
    </row>
    <row r="388" spans="1:3" x14ac:dyDescent="0.25">
      <c r="A388" t="s">
        <v>366</v>
      </c>
      <c r="B388" t="s">
        <v>691</v>
      </c>
      <c r="C388">
        <f t="shared" si="5"/>
        <v>349</v>
      </c>
    </row>
    <row r="389" spans="1:3" x14ac:dyDescent="0.25">
      <c r="A389" t="s">
        <v>368</v>
      </c>
      <c r="B389" t="s">
        <v>692</v>
      </c>
      <c r="C389">
        <f t="shared" ref="C389:C418" si="6">MATCH(B389,A:A,0)</f>
        <v>350</v>
      </c>
    </row>
    <row r="390" spans="1:3" x14ac:dyDescent="0.25">
      <c r="A390" t="s">
        <v>370</v>
      </c>
      <c r="B390" t="s">
        <v>693</v>
      </c>
      <c r="C390">
        <f t="shared" si="6"/>
        <v>351</v>
      </c>
    </row>
    <row r="391" spans="1:3" x14ac:dyDescent="0.25">
      <c r="A391" t="s">
        <v>372</v>
      </c>
      <c r="B391" t="s">
        <v>694</v>
      </c>
      <c r="C391">
        <f t="shared" si="6"/>
        <v>352</v>
      </c>
    </row>
    <row r="392" spans="1:3" x14ac:dyDescent="0.25">
      <c r="A392" t="s">
        <v>374</v>
      </c>
      <c r="B392" t="s">
        <v>695</v>
      </c>
      <c r="C392">
        <f t="shared" si="6"/>
        <v>353</v>
      </c>
    </row>
    <row r="393" spans="1:3" x14ac:dyDescent="0.25">
      <c r="A393" t="s">
        <v>376</v>
      </c>
      <c r="B393" t="s">
        <v>696</v>
      </c>
      <c r="C393">
        <f t="shared" si="6"/>
        <v>354</v>
      </c>
    </row>
    <row r="394" spans="1:3" x14ac:dyDescent="0.25">
      <c r="A394" t="s">
        <v>378</v>
      </c>
      <c r="B394" t="s">
        <v>697</v>
      </c>
      <c r="C394">
        <f t="shared" si="6"/>
        <v>355</v>
      </c>
    </row>
    <row r="395" spans="1:3" x14ac:dyDescent="0.25">
      <c r="A395" t="s">
        <v>380</v>
      </c>
      <c r="B395" t="s">
        <v>698</v>
      </c>
      <c r="C395">
        <f t="shared" si="6"/>
        <v>356</v>
      </c>
    </row>
    <row r="396" spans="1:3" x14ac:dyDescent="0.25">
      <c r="A396" t="s">
        <v>382</v>
      </c>
      <c r="B396" t="s">
        <v>699</v>
      </c>
      <c r="C396">
        <f t="shared" si="6"/>
        <v>357</v>
      </c>
    </row>
    <row r="397" spans="1:3" x14ac:dyDescent="0.25">
      <c r="A397" t="s">
        <v>384</v>
      </c>
      <c r="B397" t="s">
        <v>700</v>
      </c>
      <c r="C397">
        <f t="shared" si="6"/>
        <v>358</v>
      </c>
    </row>
    <row r="398" spans="1:3" x14ac:dyDescent="0.25">
      <c r="A398" t="s">
        <v>386</v>
      </c>
      <c r="B398" t="s">
        <v>701</v>
      </c>
      <c r="C398">
        <f t="shared" si="6"/>
        <v>359</v>
      </c>
    </row>
    <row r="399" spans="1:3" x14ac:dyDescent="0.25">
      <c r="A399" t="s">
        <v>388</v>
      </c>
      <c r="B399" t="s">
        <v>702</v>
      </c>
      <c r="C399">
        <f t="shared" si="6"/>
        <v>360</v>
      </c>
    </row>
    <row r="400" spans="1:3" x14ac:dyDescent="0.25">
      <c r="A400" t="s">
        <v>390</v>
      </c>
      <c r="B400" t="s">
        <v>703</v>
      </c>
      <c r="C400">
        <f t="shared" si="6"/>
        <v>361</v>
      </c>
    </row>
    <row r="401" spans="1:3" x14ac:dyDescent="0.25">
      <c r="A401" t="s">
        <v>392</v>
      </c>
      <c r="B401" t="s">
        <v>704</v>
      </c>
      <c r="C401">
        <f t="shared" si="6"/>
        <v>362</v>
      </c>
    </row>
    <row r="402" spans="1:3" x14ac:dyDescent="0.25">
      <c r="A402" t="s">
        <v>394</v>
      </c>
      <c r="B402" t="s">
        <v>705</v>
      </c>
      <c r="C402">
        <f t="shared" si="6"/>
        <v>363</v>
      </c>
    </row>
    <row r="403" spans="1:3" x14ac:dyDescent="0.25">
      <c r="A403" t="s">
        <v>396</v>
      </c>
      <c r="B403" t="s">
        <v>706</v>
      </c>
      <c r="C403">
        <f t="shared" si="6"/>
        <v>364</v>
      </c>
    </row>
    <row r="404" spans="1:3" x14ac:dyDescent="0.25">
      <c r="A404" t="s">
        <v>398</v>
      </c>
      <c r="B404" t="s">
        <v>707</v>
      </c>
      <c r="C404">
        <f t="shared" si="6"/>
        <v>365</v>
      </c>
    </row>
    <row r="405" spans="1:3" x14ac:dyDescent="0.25">
      <c r="A405" t="s">
        <v>400</v>
      </c>
      <c r="B405" t="s">
        <v>708</v>
      </c>
      <c r="C405">
        <f t="shared" si="6"/>
        <v>366</v>
      </c>
    </row>
    <row r="406" spans="1:3" x14ac:dyDescent="0.25">
      <c r="A406" t="s">
        <v>402</v>
      </c>
      <c r="B406" t="s">
        <v>709</v>
      </c>
      <c r="C406">
        <f t="shared" si="6"/>
        <v>367</v>
      </c>
    </row>
    <row r="407" spans="1:3" x14ac:dyDescent="0.25">
      <c r="A407" t="s">
        <v>404</v>
      </c>
      <c r="B407" t="s">
        <v>710</v>
      </c>
      <c r="C407">
        <f t="shared" si="6"/>
        <v>368</v>
      </c>
    </row>
    <row r="408" spans="1:3" x14ac:dyDescent="0.25">
      <c r="A408" t="s">
        <v>406</v>
      </c>
      <c r="B408" t="s">
        <v>711</v>
      </c>
      <c r="C408">
        <f t="shared" si="6"/>
        <v>369</v>
      </c>
    </row>
    <row r="409" spans="1:3" x14ac:dyDescent="0.25">
      <c r="A409" t="s">
        <v>408</v>
      </c>
      <c r="B409" t="s">
        <v>712</v>
      </c>
      <c r="C409">
        <f t="shared" si="6"/>
        <v>370</v>
      </c>
    </row>
    <row r="410" spans="1:3" x14ac:dyDescent="0.25">
      <c r="A410" t="s">
        <v>410</v>
      </c>
      <c r="B410" t="s">
        <v>713</v>
      </c>
      <c r="C410">
        <f t="shared" si="6"/>
        <v>371</v>
      </c>
    </row>
    <row r="411" spans="1:3" x14ac:dyDescent="0.25">
      <c r="A411" t="s">
        <v>412</v>
      </c>
      <c r="B411" t="s">
        <v>714</v>
      </c>
      <c r="C411">
        <f t="shared" si="6"/>
        <v>372</v>
      </c>
    </row>
    <row r="412" spans="1:3" x14ac:dyDescent="0.25">
      <c r="A412" t="s">
        <v>414</v>
      </c>
      <c r="B412" t="s">
        <v>715</v>
      </c>
      <c r="C412">
        <f t="shared" si="6"/>
        <v>373</v>
      </c>
    </row>
    <row r="413" spans="1:3" x14ac:dyDescent="0.25">
      <c r="A413" t="s">
        <v>416</v>
      </c>
      <c r="B413" t="s">
        <v>716</v>
      </c>
      <c r="C413">
        <f t="shared" si="6"/>
        <v>374</v>
      </c>
    </row>
    <row r="414" spans="1:3" x14ac:dyDescent="0.25">
      <c r="A414" t="s">
        <v>418</v>
      </c>
      <c r="B414" t="s">
        <v>717</v>
      </c>
      <c r="C414">
        <f t="shared" si="6"/>
        <v>375</v>
      </c>
    </row>
    <row r="415" spans="1:3" x14ac:dyDescent="0.25">
      <c r="A415" t="s">
        <v>420</v>
      </c>
      <c r="B415" t="s">
        <v>718</v>
      </c>
      <c r="C415">
        <f t="shared" si="6"/>
        <v>376</v>
      </c>
    </row>
    <row r="416" spans="1:3" x14ac:dyDescent="0.25">
      <c r="A416" t="s">
        <v>422</v>
      </c>
      <c r="B416" t="s">
        <v>719</v>
      </c>
      <c r="C416">
        <f t="shared" si="6"/>
        <v>377</v>
      </c>
    </row>
    <row r="417" spans="1:3" x14ac:dyDescent="0.25">
      <c r="A417" t="s">
        <v>424</v>
      </c>
      <c r="B417" t="s">
        <v>720</v>
      </c>
      <c r="C417">
        <f t="shared" si="6"/>
        <v>378</v>
      </c>
    </row>
    <row r="418" spans="1:3" x14ac:dyDescent="0.25">
      <c r="B418" t="s">
        <v>721</v>
      </c>
      <c r="C418">
        <f t="shared" si="6"/>
        <v>379</v>
      </c>
    </row>
    <row r="488" spans="3:3" x14ac:dyDescent="0.25">
      <c r="C48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9EDBD-7DC4-4FCA-A016-26E15C673724}">
  <sheetPr codeName="Sheet3" filterMode="1"/>
  <dimension ref="A3:W418"/>
  <sheetViews>
    <sheetView topLeftCell="A356" zoomScale="70" zoomScaleNormal="70" workbookViewId="0">
      <selection activeCell="E48" sqref="E48:E390"/>
    </sheetView>
  </sheetViews>
  <sheetFormatPr defaultRowHeight="15" x14ac:dyDescent="0.25"/>
  <cols>
    <col min="1" max="1" width="48.42578125" style="1" bestFit="1" customWidth="1"/>
    <col min="2" max="2" width="14.5703125" bestFit="1" customWidth="1"/>
    <col min="3" max="3" width="44.28515625" bestFit="1" customWidth="1"/>
    <col min="4" max="4" width="14.5703125" customWidth="1"/>
    <col min="5" max="5" width="46.7109375" bestFit="1" customWidth="1"/>
    <col min="6" max="6" width="22.85546875" bestFit="1" customWidth="1"/>
    <col min="7" max="7" width="12.7109375" bestFit="1" customWidth="1"/>
    <col min="8" max="8" width="22.85546875" customWidth="1"/>
    <col min="9" max="9" width="52" bestFit="1" customWidth="1"/>
  </cols>
  <sheetData>
    <row r="3" spans="1:23" x14ac:dyDescent="0.25">
      <c r="A3" t="s">
        <v>725</v>
      </c>
      <c r="B3" s="2" t="s">
        <v>287</v>
      </c>
      <c r="C3" s="3"/>
      <c r="D3" s="3" t="b">
        <f>IF(C4=E4,TRUE,FALSE)</f>
        <v>1</v>
      </c>
      <c r="E3" t="s">
        <v>722</v>
      </c>
      <c r="F3" t="s">
        <v>761</v>
      </c>
      <c r="G3" t="s">
        <v>762</v>
      </c>
      <c r="H3" t="s">
        <v>770</v>
      </c>
      <c r="U3" t="s">
        <v>763</v>
      </c>
      <c r="V3" t="s">
        <v>724</v>
      </c>
      <c r="W3" t="s">
        <v>764</v>
      </c>
    </row>
    <row r="4" spans="1:23" hidden="1" x14ac:dyDescent="0.25">
      <c r="A4" t="s">
        <v>771</v>
      </c>
      <c r="B4" s="2" t="s">
        <v>247</v>
      </c>
      <c r="C4" s="3" t="str">
        <f>TRIM(LOWER(SUBSTITUTE(SUBSTITUTE(A4,",","")," ","")))</f>
        <v>antennarec</v>
      </c>
      <c r="D4" s="4">
        <f>MATCH(C4,E:E,0)</f>
        <v>4</v>
      </c>
      <c r="E4" t="str">
        <f>TRIM((SUBSTITUTE(SUBSTITUTE(I4,",","")," ","")))</f>
        <v>AntennaRec</v>
      </c>
      <c r="F4" s="4" t="str">
        <f>IFERROR(IF(MATCH(E4,C:C,0)&gt;0,"YES"),"NO")</f>
        <v>YES</v>
      </c>
      <c r="G4" s="4" t="str">
        <f>IFERROR(IF(MATCH(E4,M:M,0)&gt;0,"YES"),"NO")</f>
        <v>YES</v>
      </c>
      <c r="H4" s="4" t="str">
        <f>IFERROR(IF(MATCH(E4,T:T,0)&gt;0,"YES"),"NO")</f>
        <v>YES</v>
      </c>
      <c r="I4" t="s">
        <v>771</v>
      </c>
      <c r="J4">
        <v>12</v>
      </c>
      <c r="M4" t="str">
        <f>TRIM(LOWER(N4))</f>
        <v>antennarec</v>
      </c>
      <c r="N4" t="s">
        <v>771</v>
      </c>
      <c r="O4" t="s">
        <v>724</v>
      </c>
      <c r="P4" t="s">
        <v>248</v>
      </c>
      <c r="T4" t="str">
        <f>TRIM(LOWER(U4))</f>
        <v>tnxid</v>
      </c>
      <c r="U4" t="s">
        <v>765</v>
      </c>
      <c r="V4" t="s">
        <v>724</v>
      </c>
      <c r="W4" t="s">
        <v>766</v>
      </c>
    </row>
    <row r="5" spans="1:23" hidden="1" x14ac:dyDescent="0.25">
      <c r="A5" t="s">
        <v>772</v>
      </c>
      <c r="B5" s="2" t="s">
        <v>248</v>
      </c>
      <c r="C5" s="3" t="str">
        <f t="shared" ref="C5:C68" si="0">TRIM(LOWER(SUBSTITUTE(SUBSTITUTE(A5,",","")," ","")))</f>
        <v>antennabracetype</v>
      </c>
      <c r="D5" s="4">
        <f t="shared" ref="D5:D68" si="1">MATCH(C5,E:E,0)</f>
        <v>5</v>
      </c>
      <c r="E5" t="str">
        <f t="shared" ref="E5:E68" si="2">TRIM((SUBSTITUTE(SUBSTITUTE(I5,",","")," ","")))</f>
        <v>AntennaBraceType</v>
      </c>
      <c r="F5" s="4" t="str">
        <f t="shared" ref="F5:F68" si="3">IFERROR(IF(MATCH(E5,C:C,0)&gt;0,"YES"),"NO")</f>
        <v>YES</v>
      </c>
      <c r="G5" s="4" t="str">
        <f t="shared" ref="G5:G68" si="4">IFERROR(IF(MATCH(E5,M:M,0)&gt;0,"YES"),"NO")</f>
        <v>YES</v>
      </c>
      <c r="H5" s="4" t="str">
        <f t="shared" ref="H5:H68" si="5">IFERROR(IF(MATCH(E5,T:T,0)&gt;0,"YES"),"NO")</f>
        <v>YES</v>
      </c>
      <c r="I5" t="s">
        <v>772</v>
      </c>
      <c r="M5" t="str">
        <f t="shared" ref="M5:M68" si="6">TRIM(LOWER(N5))</f>
        <v>antennabracetype</v>
      </c>
      <c r="N5" t="s">
        <v>772</v>
      </c>
      <c r="O5" t="s">
        <v>969</v>
      </c>
      <c r="P5" t="s">
        <v>248</v>
      </c>
      <c r="T5" t="str">
        <f t="shared" ref="T5:T68" si="7">TRIM(LOWER(U5))</f>
        <v>antennarec</v>
      </c>
      <c r="U5" t="s">
        <v>771</v>
      </c>
      <c r="V5" t="s">
        <v>767</v>
      </c>
      <c r="W5" t="s">
        <v>766</v>
      </c>
    </row>
    <row r="6" spans="1:23" hidden="1" x14ac:dyDescent="0.25">
      <c r="A6" t="s">
        <v>773</v>
      </c>
      <c r="B6" s="2" t="s">
        <v>248</v>
      </c>
      <c r="C6" s="3" t="str">
        <f t="shared" si="0"/>
        <v>antennaheight</v>
      </c>
      <c r="D6" s="4">
        <f t="shared" si="1"/>
        <v>6</v>
      </c>
      <c r="E6" t="str">
        <f t="shared" si="2"/>
        <v>AntennaHeight</v>
      </c>
      <c r="F6" s="4" t="str">
        <f t="shared" si="3"/>
        <v>YES</v>
      </c>
      <c r="G6" s="4" t="str">
        <f t="shared" si="4"/>
        <v>YES</v>
      </c>
      <c r="H6" s="4" t="str">
        <f t="shared" si="5"/>
        <v>YES</v>
      </c>
      <c r="I6" t="s">
        <v>773</v>
      </c>
      <c r="M6" t="str">
        <f t="shared" si="6"/>
        <v>antennaheight</v>
      </c>
      <c r="N6" t="s">
        <v>773</v>
      </c>
      <c r="O6" t="s">
        <v>727</v>
      </c>
      <c r="P6" t="s">
        <v>723</v>
      </c>
      <c r="Q6" t="s">
        <v>248</v>
      </c>
      <c r="T6" t="str">
        <f t="shared" si="7"/>
        <v>antennabracetype</v>
      </c>
      <c r="U6" t="s">
        <v>772</v>
      </c>
      <c r="V6" t="s">
        <v>768</v>
      </c>
      <c r="W6" t="s">
        <v>766</v>
      </c>
    </row>
    <row r="7" spans="1:23" hidden="1" x14ac:dyDescent="0.25">
      <c r="A7" t="s">
        <v>774</v>
      </c>
      <c r="B7" s="2" t="s">
        <v>249</v>
      </c>
      <c r="C7" s="3" t="str">
        <f t="shared" si="0"/>
        <v>antennadiagonalspacing</v>
      </c>
      <c r="D7" s="4">
        <f t="shared" si="1"/>
        <v>7</v>
      </c>
      <c r="E7" t="str">
        <f t="shared" si="2"/>
        <v>AntennaDiagonalSpacing</v>
      </c>
      <c r="F7" s="4" t="str">
        <f t="shared" si="3"/>
        <v>YES</v>
      </c>
      <c r="G7" s="4" t="str">
        <f t="shared" si="4"/>
        <v>YES</v>
      </c>
      <c r="H7" s="4" t="str">
        <f t="shared" si="5"/>
        <v>YES</v>
      </c>
      <c r="I7" t="s">
        <v>774</v>
      </c>
      <c r="J7">
        <v>20</v>
      </c>
      <c r="M7" t="str">
        <f t="shared" si="6"/>
        <v>antennadiagonalspacing</v>
      </c>
      <c r="N7" t="s">
        <v>774</v>
      </c>
      <c r="O7" t="s">
        <v>727</v>
      </c>
      <c r="P7" t="s">
        <v>723</v>
      </c>
      <c r="Q7" t="s">
        <v>248</v>
      </c>
      <c r="T7" t="str">
        <f t="shared" si="7"/>
        <v>antennaheight</v>
      </c>
      <c r="U7" t="s">
        <v>773</v>
      </c>
      <c r="V7" t="s">
        <v>767</v>
      </c>
      <c r="W7" t="s">
        <v>766</v>
      </c>
    </row>
    <row r="8" spans="1:23" hidden="1" x14ac:dyDescent="0.25">
      <c r="A8" t="s">
        <v>775</v>
      </c>
      <c r="B8" s="2" t="s">
        <v>250</v>
      </c>
      <c r="C8" s="3" t="str">
        <f t="shared" si="0"/>
        <v>antennadiagonalspacingex</v>
      </c>
      <c r="D8" s="4">
        <f t="shared" si="1"/>
        <v>8</v>
      </c>
      <c r="E8" t="str">
        <f t="shared" si="2"/>
        <v>AntennaDiagonalSpacingEx</v>
      </c>
      <c r="F8" s="4" t="str">
        <f t="shared" si="3"/>
        <v>YES</v>
      </c>
      <c r="G8" s="4" t="str">
        <f t="shared" si="4"/>
        <v>YES</v>
      </c>
      <c r="H8" s="4" t="str">
        <f t="shared" si="5"/>
        <v>YES</v>
      </c>
      <c r="I8" t="s">
        <v>775</v>
      </c>
      <c r="J8">
        <v>300.46875</v>
      </c>
      <c r="M8" t="str">
        <f t="shared" si="6"/>
        <v>antennadiagonalspacingex</v>
      </c>
      <c r="N8" t="s">
        <v>775</v>
      </c>
      <c r="O8" t="s">
        <v>727</v>
      </c>
      <c r="P8" t="s">
        <v>723</v>
      </c>
      <c r="Q8" t="s">
        <v>248</v>
      </c>
      <c r="T8" t="str">
        <f t="shared" si="7"/>
        <v>antennadiagonalspacing</v>
      </c>
      <c r="U8" t="s">
        <v>774</v>
      </c>
      <c r="V8" t="s">
        <v>767</v>
      </c>
      <c r="W8" t="s">
        <v>766</v>
      </c>
    </row>
    <row r="9" spans="1:23" hidden="1" x14ac:dyDescent="0.25">
      <c r="A9" t="s">
        <v>776</v>
      </c>
      <c r="B9" s="2" t="s">
        <v>251</v>
      </c>
      <c r="C9" s="3" t="str">
        <f t="shared" si="0"/>
        <v>antennanumsections</v>
      </c>
      <c r="D9" s="4">
        <f t="shared" si="1"/>
        <v>9</v>
      </c>
      <c r="E9" t="str">
        <f t="shared" si="2"/>
        <v>AntennaNumSections</v>
      </c>
      <c r="F9" s="4" t="str">
        <f t="shared" si="3"/>
        <v>YES</v>
      </c>
      <c r="G9" s="4" t="str">
        <f t="shared" si="4"/>
        <v>YES</v>
      </c>
      <c r="H9" s="4" t="str">
        <f t="shared" si="5"/>
        <v>YES</v>
      </c>
      <c r="I9" t="s">
        <v>776</v>
      </c>
      <c r="J9">
        <v>1</v>
      </c>
      <c r="M9" t="str">
        <f t="shared" si="6"/>
        <v>antennanumsections</v>
      </c>
      <c r="N9" t="s">
        <v>776</v>
      </c>
      <c r="O9" t="s">
        <v>724</v>
      </c>
      <c r="P9" t="s">
        <v>248</v>
      </c>
      <c r="T9" t="str">
        <f t="shared" si="7"/>
        <v>antennadiagonalspacingex</v>
      </c>
      <c r="U9" t="s">
        <v>775</v>
      </c>
      <c r="V9" t="s">
        <v>767</v>
      </c>
      <c r="W9" t="s">
        <v>766</v>
      </c>
    </row>
    <row r="10" spans="1:23" hidden="1" x14ac:dyDescent="0.25">
      <c r="A10" t="s">
        <v>777</v>
      </c>
      <c r="B10" s="2" t="s">
        <v>249</v>
      </c>
      <c r="C10" s="3" t="str">
        <f t="shared" si="0"/>
        <v>antennanumsesctions</v>
      </c>
      <c r="D10" s="4">
        <f t="shared" si="1"/>
        <v>10</v>
      </c>
      <c r="E10" t="str">
        <f t="shared" si="2"/>
        <v>AntennaNumSesctions</v>
      </c>
      <c r="F10" s="4" t="str">
        <f t="shared" si="3"/>
        <v>YES</v>
      </c>
      <c r="G10" s="4" t="str">
        <f t="shared" si="4"/>
        <v>YES</v>
      </c>
      <c r="H10" s="4" t="str">
        <f t="shared" si="5"/>
        <v>YES</v>
      </c>
      <c r="I10" t="s">
        <v>777</v>
      </c>
      <c r="J10">
        <v>20</v>
      </c>
      <c r="M10" t="str">
        <f t="shared" si="6"/>
        <v>antennanumsesctions</v>
      </c>
      <c r="N10" t="s">
        <v>777</v>
      </c>
      <c r="O10" t="s">
        <v>724</v>
      </c>
      <c r="P10" t="s">
        <v>248</v>
      </c>
      <c r="T10" t="str">
        <f t="shared" si="7"/>
        <v>antennanumsections</v>
      </c>
      <c r="U10" t="s">
        <v>776</v>
      </c>
      <c r="V10" t="s">
        <v>767</v>
      </c>
      <c r="W10" t="s">
        <v>766</v>
      </c>
    </row>
    <row r="11" spans="1:23" hidden="1" x14ac:dyDescent="0.25">
      <c r="A11" t="s">
        <v>778</v>
      </c>
      <c r="B11" s="2" t="s">
        <v>249</v>
      </c>
      <c r="C11" s="3" t="str">
        <f t="shared" si="0"/>
        <v>antennasectionlength</v>
      </c>
      <c r="D11" s="4">
        <f t="shared" si="1"/>
        <v>11</v>
      </c>
      <c r="E11" t="str">
        <f t="shared" si="2"/>
        <v>AntennaSectionLength</v>
      </c>
      <c r="F11" s="4" t="str">
        <f t="shared" si="3"/>
        <v>YES</v>
      </c>
      <c r="G11" s="4" t="str">
        <f t="shared" si="4"/>
        <v>YES</v>
      </c>
      <c r="H11" s="4" t="str">
        <f t="shared" si="5"/>
        <v>YES</v>
      </c>
      <c r="I11" t="s">
        <v>778</v>
      </c>
      <c r="J11">
        <v>240</v>
      </c>
      <c r="M11" t="str">
        <f t="shared" si="6"/>
        <v>antennasectionlength</v>
      </c>
      <c r="N11" t="s">
        <v>778</v>
      </c>
      <c r="O11" t="s">
        <v>727</v>
      </c>
      <c r="P11" t="s">
        <v>723</v>
      </c>
      <c r="Q11" t="s">
        <v>248</v>
      </c>
      <c r="T11" t="str">
        <f t="shared" si="7"/>
        <v>antennanumsesctions</v>
      </c>
      <c r="U11" t="s">
        <v>777</v>
      </c>
      <c r="V11" t="s">
        <v>767</v>
      </c>
      <c r="W11" t="s">
        <v>766</v>
      </c>
    </row>
    <row r="12" spans="1:23" hidden="1" x14ac:dyDescent="0.25">
      <c r="A12" t="s">
        <v>779</v>
      </c>
      <c r="B12" s="2" t="s">
        <v>249</v>
      </c>
      <c r="C12" s="3" t="str">
        <f t="shared" si="0"/>
        <v>antennalegtype</v>
      </c>
      <c r="D12" s="4">
        <f t="shared" si="1"/>
        <v>12</v>
      </c>
      <c r="E12" t="str">
        <f t="shared" si="2"/>
        <v>AntennaLegType</v>
      </c>
      <c r="F12" s="4" t="str">
        <f t="shared" si="3"/>
        <v>YES</v>
      </c>
      <c r="G12" s="4" t="str">
        <f t="shared" si="4"/>
        <v>YES</v>
      </c>
      <c r="H12" s="4" t="str">
        <f t="shared" si="5"/>
        <v>YES</v>
      </c>
      <c r="I12" t="s">
        <v>779</v>
      </c>
      <c r="J12">
        <v>240</v>
      </c>
      <c r="M12" t="str">
        <f t="shared" si="6"/>
        <v>antennalegtype</v>
      </c>
      <c r="N12" t="s">
        <v>779</v>
      </c>
      <c r="O12" t="s">
        <v>728</v>
      </c>
      <c r="P12" t="s">
        <v>248</v>
      </c>
      <c r="T12" t="str">
        <f t="shared" si="7"/>
        <v>antennasectionlength</v>
      </c>
      <c r="U12" t="s">
        <v>778</v>
      </c>
      <c r="V12" t="s">
        <v>767</v>
      </c>
      <c r="W12" t="s">
        <v>766</v>
      </c>
    </row>
    <row r="13" spans="1:23" hidden="1" x14ac:dyDescent="0.25">
      <c r="A13" t="s">
        <v>780</v>
      </c>
      <c r="B13" s="2" t="s">
        <v>252</v>
      </c>
      <c r="C13" s="3" t="str">
        <f t="shared" si="0"/>
        <v>antennalegsize</v>
      </c>
      <c r="D13" s="4">
        <f t="shared" si="1"/>
        <v>13</v>
      </c>
      <c r="E13" t="str">
        <f t="shared" si="2"/>
        <v>AntennaLegSize</v>
      </c>
      <c r="F13" s="4" t="str">
        <f t="shared" si="3"/>
        <v>YES</v>
      </c>
      <c r="G13" s="4" t="str">
        <f t="shared" si="4"/>
        <v>YES</v>
      </c>
      <c r="H13" s="4" t="str">
        <f t="shared" si="5"/>
        <v>YES</v>
      </c>
      <c r="I13" t="s">
        <v>780</v>
      </c>
      <c r="J13" t="s">
        <v>298</v>
      </c>
      <c r="M13" t="str">
        <f t="shared" si="6"/>
        <v>antennalegsize</v>
      </c>
      <c r="N13" t="s">
        <v>780</v>
      </c>
      <c r="O13" t="s">
        <v>726</v>
      </c>
      <c r="P13" t="s">
        <v>248</v>
      </c>
      <c r="T13" t="str">
        <f t="shared" si="7"/>
        <v>antennalegtype</v>
      </c>
      <c r="U13" t="s">
        <v>779</v>
      </c>
      <c r="V13" t="s">
        <v>768</v>
      </c>
      <c r="W13" t="s">
        <v>766</v>
      </c>
    </row>
    <row r="14" spans="1:23" hidden="1" x14ac:dyDescent="0.25">
      <c r="A14" t="s">
        <v>781</v>
      </c>
      <c r="B14" s="2" t="s">
        <v>253</v>
      </c>
      <c r="C14" s="3" t="str">
        <f t="shared" si="0"/>
        <v>antennaleggrade</v>
      </c>
      <c r="D14" s="4">
        <f t="shared" si="1"/>
        <v>14</v>
      </c>
      <c r="E14" t="str">
        <f t="shared" si="2"/>
        <v>AntennaLegGrade</v>
      </c>
      <c r="F14" s="4" t="str">
        <f t="shared" si="3"/>
        <v>YES</v>
      </c>
      <c r="G14" s="4" t="str">
        <f t="shared" si="4"/>
        <v>YES</v>
      </c>
      <c r="H14" s="4" t="str">
        <f t="shared" si="5"/>
        <v>YES</v>
      </c>
      <c r="I14" t="s">
        <v>781</v>
      </c>
      <c r="J14">
        <v>8.3805999999999994</v>
      </c>
      <c r="M14" t="str">
        <f t="shared" si="6"/>
        <v>antennaleggrade</v>
      </c>
      <c r="N14" t="s">
        <v>781</v>
      </c>
      <c r="O14" t="s">
        <v>727</v>
      </c>
      <c r="P14" t="s">
        <v>723</v>
      </c>
      <c r="Q14" t="s">
        <v>248</v>
      </c>
      <c r="T14" t="str">
        <f t="shared" si="7"/>
        <v>antennalegsize</v>
      </c>
      <c r="U14" t="s">
        <v>780</v>
      </c>
      <c r="V14" t="s">
        <v>768</v>
      </c>
      <c r="W14" t="s">
        <v>766</v>
      </c>
    </row>
    <row r="15" spans="1:23" hidden="1" x14ac:dyDescent="0.25">
      <c r="A15" t="s">
        <v>782</v>
      </c>
      <c r="B15" s="2" t="s">
        <v>254</v>
      </c>
      <c r="C15" s="3" t="str">
        <f t="shared" si="0"/>
        <v>antennalegmatlgrade</v>
      </c>
      <c r="D15" s="4">
        <f t="shared" si="1"/>
        <v>15</v>
      </c>
      <c r="E15" t="str">
        <f t="shared" si="2"/>
        <v>AntennaLegMatlGrade</v>
      </c>
      <c r="F15" s="4" t="str">
        <f t="shared" si="3"/>
        <v>YES</v>
      </c>
      <c r="G15" s="4" t="str">
        <f t="shared" si="4"/>
        <v>YES</v>
      </c>
      <c r="H15" s="4" t="str">
        <f t="shared" si="5"/>
        <v>YES</v>
      </c>
      <c r="I15" t="s">
        <v>782</v>
      </c>
      <c r="J15">
        <v>0</v>
      </c>
      <c r="M15" t="str">
        <f t="shared" si="6"/>
        <v>antennalegmatlgrade</v>
      </c>
      <c r="N15" t="s">
        <v>782</v>
      </c>
      <c r="O15" t="s">
        <v>728</v>
      </c>
      <c r="P15" t="s">
        <v>248</v>
      </c>
      <c r="T15" t="str">
        <f t="shared" si="7"/>
        <v>antennaleggrade</v>
      </c>
      <c r="U15" t="s">
        <v>781</v>
      </c>
      <c r="V15" t="s">
        <v>767</v>
      </c>
      <c r="W15" t="s">
        <v>766</v>
      </c>
    </row>
    <row r="16" spans="1:23" hidden="1" x14ac:dyDescent="0.25">
      <c r="A16" t="s">
        <v>783</v>
      </c>
      <c r="B16" s="2" t="s">
        <v>254</v>
      </c>
      <c r="C16" s="3" t="str">
        <f t="shared" si="0"/>
        <v>antennadiagonalgrade</v>
      </c>
      <c r="D16" s="4">
        <f t="shared" si="1"/>
        <v>16</v>
      </c>
      <c r="E16" t="str">
        <f t="shared" si="2"/>
        <v>AntennaDiagonalGrade</v>
      </c>
      <c r="F16" s="4" t="str">
        <f t="shared" si="3"/>
        <v>YES</v>
      </c>
      <c r="G16" s="4" t="str">
        <f t="shared" si="4"/>
        <v>YES</v>
      </c>
      <c r="H16" s="4" t="str">
        <f t="shared" si="5"/>
        <v>YES</v>
      </c>
      <c r="I16" t="s">
        <v>783</v>
      </c>
      <c r="J16">
        <v>0</v>
      </c>
      <c r="M16" t="str">
        <f t="shared" si="6"/>
        <v>antennadiagonalgrade</v>
      </c>
      <c r="N16" t="s">
        <v>783</v>
      </c>
      <c r="O16" t="s">
        <v>727</v>
      </c>
      <c r="P16" t="s">
        <v>723</v>
      </c>
      <c r="Q16" t="s">
        <v>248</v>
      </c>
      <c r="T16" t="str">
        <f t="shared" si="7"/>
        <v>antennalegmatlgrade</v>
      </c>
      <c r="U16" t="s">
        <v>782</v>
      </c>
      <c r="V16" t="s">
        <v>769</v>
      </c>
      <c r="W16" t="s">
        <v>766</v>
      </c>
    </row>
    <row r="17" spans="1:23" hidden="1" x14ac:dyDescent="0.25">
      <c r="A17" t="s">
        <v>784</v>
      </c>
      <c r="B17" s="2" t="s">
        <v>255</v>
      </c>
      <c r="C17" s="3" t="str">
        <f t="shared" si="0"/>
        <v>antennadiagonalmatlgrade</v>
      </c>
      <c r="D17" s="4">
        <f t="shared" si="1"/>
        <v>17</v>
      </c>
      <c r="E17" t="str">
        <f t="shared" si="2"/>
        <v>AntennaDiagonalMatlGrade</v>
      </c>
      <c r="F17" s="4" t="str">
        <f t="shared" si="3"/>
        <v>YES</v>
      </c>
      <c r="G17" s="4" t="str">
        <f t="shared" si="4"/>
        <v>YES</v>
      </c>
      <c r="H17" s="4" t="str">
        <f t="shared" si="5"/>
        <v>YES</v>
      </c>
      <c r="I17" t="s">
        <v>784</v>
      </c>
      <c r="J17" t="s">
        <v>303</v>
      </c>
      <c r="M17" t="str">
        <f t="shared" si="6"/>
        <v>antennadiagonalmatlgrade</v>
      </c>
      <c r="N17" t="s">
        <v>784</v>
      </c>
      <c r="O17" t="s">
        <v>728</v>
      </c>
      <c r="P17" t="s">
        <v>248</v>
      </c>
      <c r="T17" t="str">
        <f t="shared" si="7"/>
        <v>antennadiagonalgrade</v>
      </c>
      <c r="U17" t="s">
        <v>783</v>
      </c>
      <c r="V17" t="s">
        <v>767</v>
      </c>
      <c r="W17" t="s">
        <v>766</v>
      </c>
    </row>
    <row r="18" spans="1:23" hidden="1" x14ac:dyDescent="0.25">
      <c r="A18" t="s">
        <v>785</v>
      </c>
      <c r="B18" s="2" t="s">
        <v>256</v>
      </c>
      <c r="C18" s="3" t="str">
        <f t="shared" si="0"/>
        <v>antennainnerbracinggrade</v>
      </c>
      <c r="D18" s="4">
        <f t="shared" si="1"/>
        <v>18</v>
      </c>
      <c r="E18" t="str">
        <f t="shared" si="2"/>
        <v>AntennaInnerBracingGrade</v>
      </c>
      <c r="F18" s="4" t="str">
        <f t="shared" si="3"/>
        <v>YES</v>
      </c>
      <c r="G18" s="4" t="str">
        <f t="shared" si="4"/>
        <v>YES</v>
      </c>
      <c r="H18" s="4" t="str">
        <f t="shared" si="5"/>
        <v>YES</v>
      </c>
      <c r="I18" t="s">
        <v>785</v>
      </c>
      <c r="J18" t="s">
        <v>305</v>
      </c>
      <c r="M18" t="str">
        <f t="shared" si="6"/>
        <v>antennainnerbracinggrade</v>
      </c>
      <c r="N18" t="s">
        <v>785</v>
      </c>
      <c r="O18" t="s">
        <v>727</v>
      </c>
      <c r="P18" t="s">
        <v>723</v>
      </c>
      <c r="Q18" t="s">
        <v>248</v>
      </c>
      <c r="T18" t="str">
        <f t="shared" si="7"/>
        <v>antennadiagonalmatlgrade</v>
      </c>
      <c r="U18" t="s">
        <v>784</v>
      </c>
      <c r="V18" t="s">
        <v>769</v>
      </c>
      <c r="W18" t="s">
        <v>766</v>
      </c>
    </row>
    <row r="19" spans="1:23" hidden="1" x14ac:dyDescent="0.25">
      <c r="A19" t="s">
        <v>786</v>
      </c>
      <c r="B19" s="2" t="s">
        <v>257</v>
      </c>
      <c r="C19" s="3" t="str">
        <f t="shared" si="0"/>
        <v>antennainnerbracingmatlgrade</v>
      </c>
      <c r="D19" s="4">
        <f t="shared" si="1"/>
        <v>19</v>
      </c>
      <c r="E19" t="str">
        <f t="shared" si="2"/>
        <v>AntennaInnerBracingMatlGrade</v>
      </c>
      <c r="F19" s="4" t="str">
        <f t="shared" si="3"/>
        <v>YES</v>
      </c>
      <c r="G19" s="4" t="str">
        <f t="shared" si="4"/>
        <v>YES</v>
      </c>
      <c r="H19" s="4" t="str">
        <f t="shared" si="5"/>
        <v>YES</v>
      </c>
      <c r="I19" t="s">
        <v>786</v>
      </c>
      <c r="J19" t="s">
        <v>307</v>
      </c>
      <c r="M19" t="str">
        <f t="shared" si="6"/>
        <v>antennainnerbracingmatlgrade</v>
      </c>
      <c r="N19" t="s">
        <v>786</v>
      </c>
      <c r="O19" t="s">
        <v>728</v>
      </c>
      <c r="P19" t="s">
        <v>248</v>
      </c>
      <c r="T19" t="str">
        <f t="shared" si="7"/>
        <v>antennainnerbracinggrade</v>
      </c>
      <c r="U19" t="s">
        <v>785</v>
      </c>
      <c r="V19" t="s">
        <v>767</v>
      </c>
      <c r="W19" t="s">
        <v>766</v>
      </c>
    </row>
    <row r="20" spans="1:23" hidden="1" x14ac:dyDescent="0.25">
      <c r="A20" t="s">
        <v>787</v>
      </c>
      <c r="B20" s="2" t="s">
        <v>258</v>
      </c>
      <c r="C20" s="3" t="str">
        <f t="shared" si="0"/>
        <v>antennatopgirtgrade</v>
      </c>
      <c r="D20" s="4">
        <f t="shared" si="1"/>
        <v>20</v>
      </c>
      <c r="E20" t="str">
        <f t="shared" si="2"/>
        <v>AntennaTopGirtGrade</v>
      </c>
      <c r="F20" s="4" t="str">
        <f t="shared" si="3"/>
        <v>YES</v>
      </c>
      <c r="G20" s="4" t="str">
        <f t="shared" si="4"/>
        <v>YES</v>
      </c>
      <c r="H20" s="4" t="str">
        <f t="shared" si="5"/>
        <v>YES</v>
      </c>
      <c r="I20" t="s">
        <v>787</v>
      </c>
      <c r="J20" t="s">
        <v>309</v>
      </c>
      <c r="M20" t="str">
        <f t="shared" si="6"/>
        <v>antennatopgirtgrade</v>
      </c>
      <c r="N20" t="s">
        <v>787</v>
      </c>
      <c r="O20" t="s">
        <v>727</v>
      </c>
      <c r="P20" t="s">
        <v>723</v>
      </c>
      <c r="Q20" t="s">
        <v>248</v>
      </c>
      <c r="T20" t="str">
        <f t="shared" si="7"/>
        <v>antennainnerbracingmatlgrade</v>
      </c>
      <c r="U20" t="s">
        <v>786</v>
      </c>
      <c r="V20" t="s">
        <v>769</v>
      </c>
      <c r="W20" t="s">
        <v>766</v>
      </c>
    </row>
    <row r="21" spans="1:23" hidden="1" x14ac:dyDescent="0.25">
      <c r="A21" t="s">
        <v>788</v>
      </c>
      <c r="B21" s="2" t="s">
        <v>259</v>
      </c>
      <c r="C21" s="3" t="str">
        <f t="shared" si="0"/>
        <v>antennatopgirtmatlgrade</v>
      </c>
      <c r="D21" s="4">
        <f t="shared" si="1"/>
        <v>21</v>
      </c>
      <c r="E21" t="str">
        <f t="shared" si="2"/>
        <v>AntennaTopGirtMatlGrade</v>
      </c>
      <c r="F21" s="4" t="str">
        <f t="shared" si="3"/>
        <v>YES</v>
      </c>
      <c r="G21" s="4" t="str">
        <f t="shared" si="4"/>
        <v>YES</v>
      </c>
      <c r="H21" s="4" t="str">
        <f t="shared" si="5"/>
        <v>YES</v>
      </c>
      <c r="I21" t="s">
        <v>788</v>
      </c>
      <c r="J21">
        <v>50</v>
      </c>
      <c r="M21" t="str">
        <f t="shared" si="6"/>
        <v>antennatopgirtmatlgrade</v>
      </c>
      <c r="N21" t="s">
        <v>788</v>
      </c>
      <c r="O21" t="s">
        <v>728</v>
      </c>
      <c r="P21" t="s">
        <v>248</v>
      </c>
      <c r="T21" t="str">
        <f t="shared" si="7"/>
        <v>antennatopgirtgrade</v>
      </c>
      <c r="U21" t="s">
        <v>787</v>
      </c>
      <c r="V21" t="s">
        <v>767</v>
      </c>
      <c r="W21" t="s">
        <v>766</v>
      </c>
    </row>
    <row r="22" spans="1:23" hidden="1" x14ac:dyDescent="0.25">
      <c r="A22" t="s">
        <v>789</v>
      </c>
      <c r="B22" s="2" t="s">
        <v>260</v>
      </c>
      <c r="C22" s="3" t="str">
        <f t="shared" si="0"/>
        <v>antennabotgirtgrade</v>
      </c>
      <c r="D22" s="4">
        <f t="shared" si="1"/>
        <v>22</v>
      </c>
      <c r="E22" t="str">
        <f t="shared" si="2"/>
        <v>AntennaBotGirtGrade</v>
      </c>
      <c r="F22" s="4" t="str">
        <f t="shared" si="3"/>
        <v>YES</v>
      </c>
      <c r="G22" s="4" t="str">
        <f t="shared" si="4"/>
        <v>YES</v>
      </c>
      <c r="H22" s="4" t="str">
        <f t="shared" si="5"/>
        <v>YES</v>
      </c>
      <c r="I22" t="s">
        <v>789</v>
      </c>
      <c r="J22" t="s">
        <v>312</v>
      </c>
      <c r="M22" t="str">
        <f t="shared" si="6"/>
        <v>antennabotgirtgrade</v>
      </c>
      <c r="N22" t="s">
        <v>789</v>
      </c>
      <c r="O22" t="s">
        <v>727</v>
      </c>
      <c r="P22" t="s">
        <v>723</v>
      </c>
      <c r="Q22" t="s">
        <v>248</v>
      </c>
      <c r="T22" t="str">
        <f t="shared" si="7"/>
        <v>antennatopgirtmatlgrade</v>
      </c>
      <c r="U22" t="s">
        <v>788</v>
      </c>
      <c r="V22" t="s">
        <v>769</v>
      </c>
      <c r="W22" t="s">
        <v>766</v>
      </c>
    </row>
    <row r="23" spans="1:23" hidden="1" x14ac:dyDescent="0.25">
      <c r="A23" t="s">
        <v>790</v>
      </c>
      <c r="B23" s="2" t="s">
        <v>261</v>
      </c>
      <c r="C23" s="3" t="str">
        <f t="shared" si="0"/>
        <v>antennabotgirtmatlgrade</v>
      </c>
      <c r="D23" s="4">
        <f t="shared" si="1"/>
        <v>23</v>
      </c>
      <c r="E23" t="str">
        <f t="shared" si="2"/>
        <v>AntennaBotGirtMatlGrade</v>
      </c>
      <c r="F23" s="4" t="str">
        <f t="shared" si="3"/>
        <v>YES</v>
      </c>
      <c r="G23" s="4" t="str">
        <f t="shared" si="4"/>
        <v>YES</v>
      </c>
      <c r="H23" s="4" t="str">
        <f t="shared" si="5"/>
        <v>YES</v>
      </c>
      <c r="I23" t="s">
        <v>790</v>
      </c>
      <c r="J23">
        <v>35</v>
      </c>
      <c r="M23" t="str">
        <f t="shared" si="6"/>
        <v>antennabotgirtmatlgrade</v>
      </c>
      <c r="N23" t="s">
        <v>790</v>
      </c>
      <c r="O23" t="s">
        <v>728</v>
      </c>
      <c r="P23" t="s">
        <v>248</v>
      </c>
      <c r="T23" t="str">
        <f t="shared" si="7"/>
        <v>antennabotgirtgrade</v>
      </c>
      <c r="U23" t="s">
        <v>789</v>
      </c>
      <c r="V23" t="s">
        <v>767</v>
      </c>
      <c r="W23" t="s">
        <v>766</v>
      </c>
    </row>
    <row r="24" spans="1:23" hidden="1" x14ac:dyDescent="0.25">
      <c r="A24" t="s">
        <v>791</v>
      </c>
      <c r="B24" s="2" t="s">
        <v>262</v>
      </c>
      <c r="C24" s="3" t="str">
        <f t="shared" si="0"/>
        <v>antennainnergirtgrade</v>
      </c>
      <c r="D24" s="4">
        <f t="shared" si="1"/>
        <v>24</v>
      </c>
      <c r="E24" t="str">
        <f t="shared" si="2"/>
        <v>AntennaInnerGirtGrade</v>
      </c>
      <c r="F24" s="4" t="str">
        <f t="shared" si="3"/>
        <v>YES</v>
      </c>
      <c r="G24" s="4" t="str">
        <f t="shared" si="4"/>
        <v>YES</v>
      </c>
      <c r="H24" s="4" t="str">
        <f t="shared" si="5"/>
        <v>YES</v>
      </c>
      <c r="I24" t="s">
        <v>791</v>
      </c>
      <c r="J24" t="s">
        <v>315</v>
      </c>
      <c r="M24" t="str">
        <f t="shared" si="6"/>
        <v>antennainnergirtgrade</v>
      </c>
      <c r="N24" t="s">
        <v>791</v>
      </c>
      <c r="O24" t="s">
        <v>727</v>
      </c>
      <c r="P24" t="s">
        <v>723</v>
      </c>
      <c r="Q24" t="s">
        <v>248</v>
      </c>
      <c r="T24" t="str">
        <f t="shared" si="7"/>
        <v>antennabotgirtmatlgrade</v>
      </c>
      <c r="U24" t="s">
        <v>790</v>
      </c>
      <c r="V24" t="s">
        <v>769</v>
      </c>
      <c r="W24" t="s">
        <v>766</v>
      </c>
    </row>
    <row r="25" spans="1:23" hidden="1" x14ac:dyDescent="0.25">
      <c r="A25" t="s">
        <v>792</v>
      </c>
      <c r="B25" s="2" t="s">
        <v>259</v>
      </c>
      <c r="C25" s="3" t="str">
        <f t="shared" si="0"/>
        <v>antennainnergirtmatlgrade</v>
      </c>
      <c r="D25" s="4">
        <f t="shared" si="1"/>
        <v>25</v>
      </c>
      <c r="E25" t="str">
        <f t="shared" si="2"/>
        <v>AntennaInnerGirtMatlGrade</v>
      </c>
      <c r="F25" s="4" t="str">
        <f t="shared" si="3"/>
        <v>YES</v>
      </c>
      <c r="G25" s="4" t="str">
        <f t="shared" si="4"/>
        <v>YES</v>
      </c>
      <c r="H25" s="4" t="str">
        <f t="shared" si="5"/>
        <v>YES</v>
      </c>
      <c r="I25" t="s">
        <v>792</v>
      </c>
      <c r="J25">
        <v>50</v>
      </c>
      <c r="M25" t="str">
        <f t="shared" si="6"/>
        <v>antennainnergirtmatlgrade</v>
      </c>
      <c r="N25" t="s">
        <v>792</v>
      </c>
      <c r="O25" t="s">
        <v>728</v>
      </c>
      <c r="P25" t="s">
        <v>248</v>
      </c>
      <c r="T25" t="str">
        <f t="shared" si="7"/>
        <v>antennainnergirtgrade</v>
      </c>
      <c r="U25" t="s">
        <v>791</v>
      </c>
      <c r="V25" t="s">
        <v>767</v>
      </c>
      <c r="W25" t="s">
        <v>766</v>
      </c>
    </row>
    <row r="26" spans="1:23" hidden="1" x14ac:dyDescent="0.25">
      <c r="A26" t="s">
        <v>793</v>
      </c>
      <c r="B26" s="2" t="s">
        <v>260</v>
      </c>
      <c r="C26" s="3" t="str">
        <f t="shared" si="0"/>
        <v>antennalonghorizontalgrade</v>
      </c>
      <c r="D26" s="4">
        <f t="shared" si="1"/>
        <v>26</v>
      </c>
      <c r="E26" t="str">
        <f t="shared" si="2"/>
        <v>AntennaLongHorizontalGrade</v>
      </c>
      <c r="F26" s="4" t="str">
        <f t="shared" si="3"/>
        <v>YES</v>
      </c>
      <c r="G26" s="4" t="str">
        <f t="shared" si="4"/>
        <v>YES</v>
      </c>
      <c r="H26" s="4" t="str">
        <f t="shared" si="5"/>
        <v>YES</v>
      </c>
      <c r="I26" t="s">
        <v>793</v>
      </c>
      <c r="J26" t="s">
        <v>312</v>
      </c>
      <c r="M26" t="str">
        <f t="shared" si="6"/>
        <v>antennalonghorizontalgrade</v>
      </c>
      <c r="N26" t="s">
        <v>793</v>
      </c>
      <c r="O26" t="s">
        <v>727</v>
      </c>
      <c r="P26" t="s">
        <v>723</v>
      </c>
      <c r="Q26" t="s">
        <v>248</v>
      </c>
      <c r="T26" t="str">
        <f t="shared" si="7"/>
        <v>antennainnergirtmatlgrade</v>
      </c>
      <c r="U26" t="s">
        <v>792</v>
      </c>
      <c r="V26" t="s">
        <v>769</v>
      </c>
      <c r="W26" t="s">
        <v>766</v>
      </c>
    </row>
    <row r="27" spans="1:23" hidden="1" x14ac:dyDescent="0.25">
      <c r="A27" t="s">
        <v>794</v>
      </c>
      <c r="B27" s="2" t="s">
        <v>263</v>
      </c>
      <c r="C27" s="3" t="str">
        <f t="shared" si="0"/>
        <v>antennalonghorizontalmatlgrade</v>
      </c>
      <c r="D27" s="4">
        <f t="shared" si="1"/>
        <v>27</v>
      </c>
      <c r="E27" t="str">
        <f t="shared" si="2"/>
        <v>AntennaLongHorizontalMatlGrade</v>
      </c>
      <c r="F27" s="4" t="str">
        <f t="shared" si="3"/>
        <v>YES</v>
      </c>
      <c r="G27" s="4" t="str">
        <f t="shared" si="4"/>
        <v>YES</v>
      </c>
      <c r="H27" s="4" t="str">
        <f t="shared" si="5"/>
        <v>YES</v>
      </c>
      <c r="I27" t="s">
        <v>794</v>
      </c>
      <c r="J27">
        <v>36</v>
      </c>
      <c r="M27" t="str">
        <f t="shared" si="6"/>
        <v>antennalonghorizontalmatlgrade</v>
      </c>
      <c r="N27" t="s">
        <v>794</v>
      </c>
      <c r="O27" t="s">
        <v>728</v>
      </c>
      <c r="P27" t="s">
        <v>248</v>
      </c>
      <c r="T27" t="str">
        <f t="shared" si="7"/>
        <v>antennalonghorizontalgrade</v>
      </c>
      <c r="U27" t="s">
        <v>793</v>
      </c>
      <c r="V27" t="s">
        <v>767</v>
      </c>
      <c r="W27" t="s">
        <v>766</v>
      </c>
    </row>
    <row r="28" spans="1:23" hidden="1" x14ac:dyDescent="0.25">
      <c r="A28" t="s">
        <v>795</v>
      </c>
      <c r="B28" s="2" t="s">
        <v>264</v>
      </c>
      <c r="C28" s="3" t="str">
        <f t="shared" si="0"/>
        <v>antennashorthorizontalgrade</v>
      </c>
      <c r="D28" s="4">
        <f t="shared" si="1"/>
        <v>28</v>
      </c>
      <c r="E28" t="str">
        <f t="shared" si="2"/>
        <v>AntennaShortHorizontalGrade</v>
      </c>
      <c r="F28" s="4" t="str">
        <f t="shared" si="3"/>
        <v>YES</v>
      </c>
      <c r="G28" s="4" t="str">
        <f t="shared" si="4"/>
        <v>YES</v>
      </c>
      <c r="H28" s="4" t="str">
        <f t="shared" si="5"/>
        <v>YES</v>
      </c>
      <c r="I28" t="s">
        <v>795</v>
      </c>
      <c r="J28" t="s">
        <v>320</v>
      </c>
      <c r="M28" t="str">
        <f t="shared" si="6"/>
        <v>antennashorthorizontalgrade</v>
      </c>
      <c r="N28" t="s">
        <v>795</v>
      </c>
      <c r="O28" t="s">
        <v>727</v>
      </c>
      <c r="P28" t="s">
        <v>723</v>
      </c>
      <c r="Q28" t="s">
        <v>248</v>
      </c>
      <c r="T28" t="str">
        <f t="shared" si="7"/>
        <v>antennalonghorizontalmatlgrade</v>
      </c>
      <c r="U28" t="s">
        <v>794</v>
      </c>
      <c r="V28" t="s">
        <v>769</v>
      </c>
      <c r="W28" t="s">
        <v>766</v>
      </c>
    </row>
    <row r="29" spans="1:23" hidden="1" x14ac:dyDescent="0.25">
      <c r="A29" t="s">
        <v>796</v>
      </c>
      <c r="B29" s="2" t="s">
        <v>263</v>
      </c>
      <c r="C29" s="3" t="str">
        <f t="shared" si="0"/>
        <v>antennashorthorizontalmatlgrade</v>
      </c>
      <c r="D29" s="4">
        <f t="shared" si="1"/>
        <v>29</v>
      </c>
      <c r="E29" t="str">
        <f t="shared" si="2"/>
        <v>AntennaShortHorizontalMatlGrade</v>
      </c>
      <c r="F29" s="4" t="str">
        <f t="shared" si="3"/>
        <v>YES</v>
      </c>
      <c r="G29" s="4" t="str">
        <f t="shared" si="4"/>
        <v>YES</v>
      </c>
      <c r="H29" s="4" t="str">
        <f t="shared" si="5"/>
        <v>YES</v>
      </c>
      <c r="I29" t="s">
        <v>796</v>
      </c>
      <c r="J29">
        <v>36</v>
      </c>
      <c r="M29" t="str">
        <f t="shared" si="6"/>
        <v>antennashorthorizontalmatlgrade</v>
      </c>
      <c r="N29" t="s">
        <v>796</v>
      </c>
      <c r="O29" t="s">
        <v>728</v>
      </c>
      <c r="P29" t="s">
        <v>248</v>
      </c>
      <c r="T29" t="str">
        <f t="shared" si="7"/>
        <v>antennashorthorizontalgrade</v>
      </c>
      <c r="U29" t="s">
        <v>795</v>
      </c>
      <c r="V29" t="s">
        <v>767</v>
      </c>
      <c r="W29" t="s">
        <v>766</v>
      </c>
    </row>
    <row r="30" spans="1:23" hidden="1" x14ac:dyDescent="0.25">
      <c r="A30" t="s">
        <v>797</v>
      </c>
      <c r="B30" s="2" t="s">
        <v>264</v>
      </c>
      <c r="C30" s="3" t="str">
        <f t="shared" si="0"/>
        <v>antennadiagonaltype</v>
      </c>
      <c r="D30" s="4">
        <f t="shared" si="1"/>
        <v>30</v>
      </c>
      <c r="E30" t="str">
        <f t="shared" si="2"/>
        <v>AntennaDiagonalType</v>
      </c>
      <c r="F30" s="4" t="str">
        <f t="shared" si="3"/>
        <v>YES</v>
      </c>
      <c r="G30" s="4" t="str">
        <f t="shared" si="4"/>
        <v>YES</v>
      </c>
      <c r="H30" s="4" t="str">
        <f t="shared" si="5"/>
        <v>YES</v>
      </c>
      <c r="I30" t="s">
        <v>797</v>
      </c>
      <c r="J30" t="s">
        <v>320</v>
      </c>
      <c r="M30" t="str">
        <f t="shared" si="6"/>
        <v>antennadiagonaltype</v>
      </c>
      <c r="N30" t="s">
        <v>797</v>
      </c>
      <c r="O30" t="s">
        <v>728</v>
      </c>
      <c r="P30" t="s">
        <v>248</v>
      </c>
      <c r="T30" t="str">
        <f t="shared" si="7"/>
        <v>antennashorthorizontalmatlgrade</v>
      </c>
      <c r="U30" t="s">
        <v>796</v>
      </c>
      <c r="V30" t="s">
        <v>769</v>
      </c>
      <c r="W30" t="s">
        <v>766</v>
      </c>
    </row>
    <row r="31" spans="1:23" hidden="1" x14ac:dyDescent="0.25">
      <c r="A31" t="s">
        <v>798</v>
      </c>
      <c r="B31" s="2" t="s">
        <v>263</v>
      </c>
      <c r="C31" s="3" t="str">
        <f t="shared" si="0"/>
        <v>antennadiagonalsize</v>
      </c>
      <c r="D31" s="4">
        <f t="shared" si="1"/>
        <v>31</v>
      </c>
      <c r="E31" t="str">
        <f t="shared" si="2"/>
        <v>AntennaDiagonalSize</v>
      </c>
      <c r="F31" s="4" t="str">
        <f t="shared" si="3"/>
        <v>YES</v>
      </c>
      <c r="G31" s="4" t="str">
        <f t="shared" si="4"/>
        <v>YES</v>
      </c>
      <c r="H31" s="4" t="str">
        <f t="shared" si="5"/>
        <v>YES</v>
      </c>
      <c r="I31" t="s">
        <v>798</v>
      </c>
      <c r="J31">
        <v>36</v>
      </c>
      <c r="M31" t="str">
        <f t="shared" si="6"/>
        <v>antennadiagonalsize</v>
      </c>
      <c r="N31" t="s">
        <v>798</v>
      </c>
      <c r="O31" t="s">
        <v>726</v>
      </c>
      <c r="P31" t="s">
        <v>248</v>
      </c>
      <c r="T31" t="str">
        <f t="shared" si="7"/>
        <v>antennadiagonaltype</v>
      </c>
      <c r="U31" t="s">
        <v>797</v>
      </c>
      <c r="V31" t="s">
        <v>768</v>
      </c>
      <c r="W31" t="s">
        <v>766</v>
      </c>
    </row>
    <row r="32" spans="1:23" hidden="1" x14ac:dyDescent="0.25">
      <c r="A32" t="s">
        <v>799</v>
      </c>
      <c r="B32" s="2" t="s">
        <v>264</v>
      </c>
      <c r="C32" s="3" t="str">
        <f t="shared" si="0"/>
        <v>antennainnerbracingtype</v>
      </c>
      <c r="D32" s="4">
        <f t="shared" si="1"/>
        <v>32</v>
      </c>
      <c r="E32" t="str">
        <f t="shared" si="2"/>
        <v>AntennaInnerBracingType</v>
      </c>
      <c r="F32" s="4" t="str">
        <f t="shared" si="3"/>
        <v>YES</v>
      </c>
      <c r="G32" s="4" t="str">
        <f t="shared" si="4"/>
        <v>YES</v>
      </c>
      <c r="H32" s="4" t="str">
        <f t="shared" si="5"/>
        <v>YES</v>
      </c>
      <c r="I32" t="s">
        <v>799</v>
      </c>
      <c r="J32" t="s">
        <v>320</v>
      </c>
      <c r="M32" t="str">
        <f t="shared" si="6"/>
        <v>antennainnerbracingtype</v>
      </c>
      <c r="N32" t="s">
        <v>799</v>
      </c>
      <c r="O32" t="s">
        <v>728</v>
      </c>
      <c r="P32" t="s">
        <v>248</v>
      </c>
      <c r="T32" t="str">
        <f t="shared" si="7"/>
        <v>antennadiagonalsize</v>
      </c>
      <c r="U32" t="s">
        <v>798</v>
      </c>
      <c r="V32" t="s">
        <v>768</v>
      </c>
      <c r="W32" t="s">
        <v>766</v>
      </c>
    </row>
    <row r="33" spans="1:23" hidden="1" x14ac:dyDescent="0.25">
      <c r="A33" t="s">
        <v>800</v>
      </c>
      <c r="B33" s="2" t="s">
        <v>259</v>
      </c>
      <c r="C33" s="3" t="str">
        <f t="shared" si="0"/>
        <v>antennainnerbracingsize</v>
      </c>
      <c r="D33" s="4">
        <f t="shared" si="1"/>
        <v>33</v>
      </c>
      <c r="E33" t="str">
        <f t="shared" si="2"/>
        <v>AntennaInnerBracingSize</v>
      </c>
      <c r="F33" s="4" t="str">
        <f t="shared" si="3"/>
        <v>YES</v>
      </c>
      <c r="G33" s="4" t="str">
        <f t="shared" si="4"/>
        <v>YES</v>
      </c>
      <c r="H33" s="4" t="str">
        <f t="shared" si="5"/>
        <v>YES</v>
      </c>
      <c r="I33" t="s">
        <v>800</v>
      </c>
      <c r="J33">
        <v>50</v>
      </c>
      <c r="M33" t="str">
        <f t="shared" si="6"/>
        <v>antennainnerbracingsize</v>
      </c>
      <c r="N33" t="s">
        <v>800</v>
      </c>
      <c r="O33" t="s">
        <v>726</v>
      </c>
      <c r="P33" t="s">
        <v>248</v>
      </c>
      <c r="T33" t="str">
        <f t="shared" si="7"/>
        <v>antennainnerbracingtype</v>
      </c>
      <c r="U33" t="s">
        <v>799</v>
      </c>
      <c r="V33" t="s">
        <v>768</v>
      </c>
      <c r="W33" t="s">
        <v>766</v>
      </c>
    </row>
    <row r="34" spans="1:23" hidden="1" x14ac:dyDescent="0.25">
      <c r="A34" t="s">
        <v>801</v>
      </c>
      <c r="B34" s="2" t="s">
        <v>260</v>
      </c>
      <c r="C34" s="3" t="str">
        <f t="shared" si="0"/>
        <v>antennatopgirttype</v>
      </c>
      <c r="D34" s="4">
        <f t="shared" si="1"/>
        <v>34</v>
      </c>
      <c r="E34" t="str">
        <f t="shared" si="2"/>
        <v>AntennaTopGirtType</v>
      </c>
      <c r="F34" s="4" t="str">
        <f t="shared" si="3"/>
        <v>YES</v>
      </c>
      <c r="G34" s="4" t="str">
        <f t="shared" si="4"/>
        <v>YES</v>
      </c>
      <c r="H34" s="4" t="str">
        <f t="shared" si="5"/>
        <v>YES</v>
      </c>
      <c r="I34" t="s">
        <v>801</v>
      </c>
      <c r="J34" t="s">
        <v>312</v>
      </c>
      <c r="M34" t="str">
        <f t="shared" si="6"/>
        <v>antennatopgirttype</v>
      </c>
      <c r="N34" t="s">
        <v>801</v>
      </c>
      <c r="O34" t="s">
        <v>728</v>
      </c>
      <c r="P34" t="s">
        <v>248</v>
      </c>
      <c r="T34" t="str">
        <f t="shared" si="7"/>
        <v>antennainnerbracingsize</v>
      </c>
      <c r="U34" t="s">
        <v>800</v>
      </c>
      <c r="V34" t="s">
        <v>768</v>
      </c>
      <c r="W34" t="s">
        <v>766</v>
      </c>
    </row>
    <row r="35" spans="1:23" hidden="1" x14ac:dyDescent="0.25">
      <c r="A35" t="s">
        <v>802</v>
      </c>
      <c r="B35" s="2" t="s">
        <v>263</v>
      </c>
      <c r="C35" s="3" t="str">
        <f t="shared" si="0"/>
        <v>antennatopgirtsize</v>
      </c>
      <c r="D35" s="4">
        <f t="shared" si="1"/>
        <v>35</v>
      </c>
      <c r="E35" t="str">
        <f t="shared" si="2"/>
        <v>AntennaTopGirtSize</v>
      </c>
      <c r="F35" s="4" t="str">
        <f t="shared" si="3"/>
        <v>YES</v>
      </c>
      <c r="G35" s="4" t="str">
        <f t="shared" si="4"/>
        <v>YES</v>
      </c>
      <c r="H35" s="4" t="str">
        <f t="shared" si="5"/>
        <v>YES</v>
      </c>
      <c r="I35" t="s">
        <v>802</v>
      </c>
      <c r="J35">
        <v>36</v>
      </c>
      <c r="M35" t="str">
        <f t="shared" si="6"/>
        <v>antennatopgirtsize</v>
      </c>
      <c r="N35" t="s">
        <v>802</v>
      </c>
      <c r="O35" t="s">
        <v>726</v>
      </c>
      <c r="P35" t="s">
        <v>248</v>
      </c>
      <c r="T35" t="str">
        <f t="shared" si="7"/>
        <v>antennatopgirttype</v>
      </c>
      <c r="U35" t="s">
        <v>801</v>
      </c>
      <c r="V35" t="s">
        <v>768</v>
      </c>
      <c r="W35" t="s">
        <v>766</v>
      </c>
    </row>
    <row r="36" spans="1:23" hidden="1" x14ac:dyDescent="0.25">
      <c r="A36" t="s">
        <v>803</v>
      </c>
      <c r="B36" s="2" t="s">
        <v>264</v>
      </c>
      <c r="C36" s="3" t="str">
        <f t="shared" si="0"/>
        <v>antennabotgirttype</v>
      </c>
      <c r="D36" s="4">
        <f t="shared" si="1"/>
        <v>36</v>
      </c>
      <c r="E36" t="str">
        <f t="shared" si="2"/>
        <v>AntennaBotGirtType</v>
      </c>
      <c r="F36" s="4" t="str">
        <f t="shared" si="3"/>
        <v>YES</v>
      </c>
      <c r="G36" s="4" t="str">
        <f t="shared" si="4"/>
        <v>YES</v>
      </c>
      <c r="H36" s="4" t="str">
        <f t="shared" si="5"/>
        <v>YES</v>
      </c>
      <c r="I36" t="s">
        <v>803</v>
      </c>
      <c r="J36" t="s">
        <v>320</v>
      </c>
      <c r="M36" t="str">
        <f t="shared" si="6"/>
        <v>antennabotgirttype</v>
      </c>
      <c r="N36" t="s">
        <v>803</v>
      </c>
      <c r="O36" t="s">
        <v>728</v>
      </c>
      <c r="P36" t="s">
        <v>248</v>
      </c>
      <c r="T36" t="str">
        <f t="shared" si="7"/>
        <v>antennatopgirtsize</v>
      </c>
      <c r="U36" t="s">
        <v>802</v>
      </c>
      <c r="V36" t="s">
        <v>768</v>
      </c>
      <c r="W36" t="s">
        <v>766</v>
      </c>
    </row>
    <row r="37" spans="1:23" hidden="1" x14ac:dyDescent="0.25">
      <c r="A37" t="s">
        <v>804</v>
      </c>
      <c r="B37" s="2" t="s">
        <v>257</v>
      </c>
      <c r="C37" s="3" t="str">
        <f t="shared" si="0"/>
        <v>antennabotgirtsize</v>
      </c>
      <c r="D37" s="4">
        <f t="shared" si="1"/>
        <v>37</v>
      </c>
      <c r="E37" t="str">
        <f t="shared" si="2"/>
        <v>AntennaBotGirtSize</v>
      </c>
      <c r="F37" s="4" t="str">
        <f t="shared" si="3"/>
        <v>YES</v>
      </c>
      <c r="G37" s="4" t="str">
        <f t="shared" si="4"/>
        <v>YES</v>
      </c>
      <c r="H37" s="4" t="str">
        <f t="shared" si="5"/>
        <v>YES</v>
      </c>
      <c r="I37" t="s">
        <v>804</v>
      </c>
      <c r="J37" t="s">
        <v>307</v>
      </c>
      <c r="M37" t="str">
        <f t="shared" si="6"/>
        <v>antennabotgirtsize</v>
      </c>
      <c r="N37" t="s">
        <v>804</v>
      </c>
      <c r="O37" t="s">
        <v>726</v>
      </c>
      <c r="P37" t="s">
        <v>248</v>
      </c>
      <c r="T37" t="str">
        <f t="shared" si="7"/>
        <v>antennabotgirttype</v>
      </c>
      <c r="U37" t="s">
        <v>803</v>
      </c>
      <c r="V37" t="s">
        <v>768</v>
      </c>
      <c r="W37" t="s">
        <v>766</v>
      </c>
    </row>
    <row r="38" spans="1:23" hidden="1" x14ac:dyDescent="0.25">
      <c r="A38" t="s">
        <v>805</v>
      </c>
      <c r="B38" s="2" t="s">
        <v>265</v>
      </c>
      <c r="C38" s="3" t="str">
        <f t="shared" si="0"/>
        <v>antennatopgirtoffset</v>
      </c>
      <c r="D38" s="4">
        <f t="shared" si="1"/>
        <v>38</v>
      </c>
      <c r="E38" t="str">
        <f t="shared" si="2"/>
        <v>AntennaTopGirtOffset</v>
      </c>
      <c r="F38" s="4" t="str">
        <f t="shared" si="3"/>
        <v>YES</v>
      </c>
      <c r="G38" s="4" t="str">
        <f t="shared" si="4"/>
        <v>YES</v>
      </c>
      <c r="H38" s="4" t="str">
        <f t="shared" si="5"/>
        <v>YES</v>
      </c>
      <c r="I38" t="s">
        <v>805</v>
      </c>
      <c r="J38" t="s">
        <v>331</v>
      </c>
      <c r="M38" t="str">
        <f t="shared" si="6"/>
        <v>antennatopgirtoffset</v>
      </c>
      <c r="N38" t="s">
        <v>805</v>
      </c>
      <c r="O38" t="s">
        <v>727</v>
      </c>
      <c r="P38" t="s">
        <v>723</v>
      </c>
      <c r="Q38" t="s">
        <v>248</v>
      </c>
      <c r="T38" t="str">
        <f t="shared" si="7"/>
        <v>antennabotgirtsize</v>
      </c>
      <c r="U38" t="s">
        <v>804</v>
      </c>
      <c r="V38" t="s">
        <v>768</v>
      </c>
      <c r="W38" t="s">
        <v>766</v>
      </c>
    </row>
    <row r="39" spans="1:23" hidden="1" x14ac:dyDescent="0.25">
      <c r="A39" t="s">
        <v>806</v>
      </c>
      <c r="B39" s="2" t="s">
        <v>257</v>
      </c>
      <c r="C39" s="3" t="str">
        <f t="shared" si="0"/>
        <v>antennabotgirtoffset</v>
      </c>
      <c r="D39" s="4">
        <f t="shared" si="1"/>
        <v>39</v>
      </c>
      <c r="E39" t="str">
        <f t="shared" si="2"/>
        <v>AntennaBotGirtOffset</v>
      </c>
      <c r="F39" s="4" t="str">
        <f t="shared" si="3"/>
        <v>YES</v>
      </c>
      <c r="G39" s="4" t="str">
        <f t="shared" si="4"/>
        <v>YES</v>
      </c>
      <c r="H39" s="4" t="str">
        <f t="shared" si="5"/>
        <v>YES</v>
      </c>
      <c r="I39" t="s">
        <v>806</v>
      </c>
      <c r="J39" t="s">
        <v>307</v>
      </c>
      <c r="M39" t="str">
        <f t="shared" si="6"/>
        <v>antennabotgirtoffset</v>
      </c>
      <c r="N39" t="s">
        <v>806</v>
      </c>
      <c r="O39" t="s">
        <v>727</v>
      </c>
      <c r="P39" t="s">
        <v>723</v>
      </c>
      <c r="Q39" t="s">
        <v>248</v>
      </c>
      <c r="T39" t="str">
        <f t="shared" si="7"/>
        <v>antennatopgirtoffset</v>
      </c>
      <c r="U39" t="s">
        <v>805</v>
      </c>
      <c r="V39" t="s">
        <v>768</v>
      </c>
      <c r="W39" t="s">
        <v>766</v>
      </c>
    </row>
    <row r="40" spans="1:23" hidden="1" x14ac:dyDescent="0.25">
      <c r="A40" t="s">
        <v>807</v>
      </c>
      <c r="B40" s="2" t="s">
        <v>266</v>
      </c>
      <c r="C40" s="3" t="str">
        <f t="shared" si="0"/>
        <v>antennahaskbraceendpanels</v>
      </c>
      <c r="D40" s="4">
        <f t="shared" si="1"/>
        <v>40</v>
      </c>
      <c r="E40" t="str">
        <f t="shared" si="2"/>
        <v>AntennaHasKBraceEndPanels</v>
      </c>
      <c r="F40" s="4" t="str">
        <f t="shared" si="3"/>
        <v>YES</v>
      </c>
      <c r="G40" s="4" t="str">
        <f t="shared" si="4"/>
        <v>YES</v>
      </c>
      <c r="H40" s="4" t="str">
        <f t="shared" si="5"/>
        <v>YES</v>
      </c>
      <c r="I40" t="s">
        <v>807</v>
      </c>
      <c r="J40" t="s">
        <v>334</v>
      </c>
      <c r="M40" t="str">
        <f t="shared" si="6"/>
        <v>antennahaskbraceendpanels</v>
      </c>
      <c r="N40" t="s">
        <v>807</v>
      </c>
      <c r="O40" t="s">
        <v>729</v>
      </c>
      <c r="P40" t="s">
        <v>248</v>
      </c>
      <c r="T40" t="str">
        <f t="shared" si="7"/>
        <v>antennabotgirtoffset</v>
      </c>
      <c r="U40" t="s">
        <v>806</v>
      </c>
      <c r="V40" t="s">
        <v>768</v>
      </c>
      <c r="W40" t="s">
        <v>766</v>
      </c>
    </row>
    <row r="41" spans="1:23" hidden="1" x14ac:dyDescent="0.25">
      <c r="A41" t="s">
        <v>808</v>
      </c>
      <c r="B41" s="2" t="s">
        <v>267</v>
      </c>
      <c r="C41" s="3" t="str">
        <f t="shared" si="0"/>
        <v>antennahashorizontals</v>
      </c>
      <c r="D41" s="4">
        <f t="shared" si="1"/>
        <v>41</v>
      </c>
      <c r="E41" t="str">
        <f t="shared" si="2"/>
        <v>AntennaHasHorizontals</v>
      </c>
      <c r="F41" s="4" t="str">
        <f t="shared" si="3"/>
        <v>YES</v>
      </c>
      <c r="G41" s="4" t="str">
        <f t="shared" si="4"/>
        <v>YES</v>
      </c>
      <c r="H41" s="4" t="str">
        <f t="shared" si="5"/>
        <v>YES</v>
      </c>
      <c r="I41" t="s">
        <v>808</v>
      </c>
      <c r="J41" t="s">
        <v>336</v>
      </c>
      <c r="M41" t="str">
        <f t="shared" si="6"/>
        <v>antennahashorizontals</v>
      </c>
      <c r="N41" t="s">
        <v>808</v>
      </c>
      <c r="O41" t="s">
        <v>729</v>
      </c>
      <c r="P41" t="s">
        <v>248</v>
      </c>
      <c r="T41" t="str">
        <f t="shared" si="7"/>
        <v>antennahaskbraceendpanels</v>
      </c>
      <c r="U41" t="s">
        <v>807</v>
      </c>
      <c r="V41" t="s">
        <v>768</v>
      </c>
      <c r="W41" t="s">
        <v>766</v>
      </c>
    </row>
    <row r="42" spans="1:23" hidden="1" x14ac:dyDescent="0.25">
      <c r="A42" t="s">
        <v>809</v>
      </c>
      <c r="B42" s="2" t="s">
        <v>248</v>
      </c>
      <c r="C42" s="3" t="str">
        <f t="shared" si="0"/>
        <v>antennalonghorizontaltype</v>
      </c>
      <c r="D42" s="4">
        <f t="shared" si="1"/>
        <v>42</v>
      </c>
      <c r="E42" t="str">
        <f t="shared" si="2"/>
        <v>AntennaLongHorizontalType</v>
      </c>
      <c r="F42" s="4" t="str">
        <f t="shared" si="3"/>
        <v>YES</v>
      </c>
      <c r="G42" s="4" t="str">
        <f t="shared" si="4"/>
        <v>YES</v>
      </c>
      <c r="H42" s="4" t="str">
        <f t="shared" si="5"/>
        <v>YES</v>
      </c>
      <c r="I42" t="s">
        <v>809</v>
      </c>
      <c r="M42" t="str">
        <f t="shared" si="6"/>
        <v>antennalonghorizontaltype</v>
      </c>
      <c r="N42" t="s">
        <v>809</v>
      </c>
      <c r="O42" t="s">
        <v>728</v>
      </c>
      <c r="P42" t="s">
        <v>248</v>
      </c>
      <c r="T42" t="str">
        <f t="shared" si="7"/>
        <v>antennahashorizontals</v>
      </c>
      <c r="U42" t="s">
        <v>808</v>
      </c>
      <c r="V42" t="s">
        <v>768</v>
      </c>
      <c r="W42" t="s">
        <v>766</v>
      </c>
    </row>
    <row r="43" spans="1:23" hidden="1" x14ac:dyDescent="0.25">
      <c r="A43" t="s">
        <v>810</v>
      </c>
      <c r="B43" s="2" t="s">
        <v>267</v>
      </c>
      <c r="C43" s="3" t="str">
        <f t="shared" si="0"/>
        <v>antennalonghorizontalsize</v>
      </c>
      <c r="D43" s="4">
        <f t="shared" si="1"/>
        <v>43</v>
      </c>
      <c r="E43" t="str">
        <f t="shared" si="2"/>
        <v>AntennaLongHorizontalSize</v>
      </c>
      <c r="F43" s="4" t="str">
        <f t="shared" si="3"/>
        <v>YES</v>
      </c>
      <c r="G43" s="4" t="str">
        <f t="shared" si="4"/>
        <v>YES</v>
      </c>
      <c r="H43" s="4" t="str">
        <f t="shared" si="5"/>
        <v>YES</v>
      </c>
      <c r="I43" t="s">
        <v>810</v>
      </c>
      <c r="J43" t="s">
        <v>336</v>
      </c>
      <c r="M43" t="str">
        <f t="shared" si="6"/>
        <v>antennalonghorizontalsize</v>
      </c>
      <c r="N43" t="s">
        <v>810</v>
      </c>
      <c r="O43" t="s">
        <v>726</v>
      </c>
      <c r="P43" t="s">
        <v>248</v>
      </c>
      <c r="T43" t="str">
        <f t="shared" si="7"/>
        <v>antennalonghorizontaltype</v>
      </c>
      <c r="U43" t="s">
        <v>809</v>
      </c>
      <c r="V43" t="s">
        <v>768</v>
      </c>
      <c r="W43" t="s">
        <v>766</v>
      </c>
    </row>
    <row r="44" spans="1:23" hidden="1" x14ac:dyDescent="0.25">
      <c r="A44" t="s">
        <v>811</v>
      </c>
      <c r="B44" s="2" t="s">
        <v>248</v>
      </c>
      <c r="C44" s="3" t="str">
        <f t="shared" si="0"/>
        <v>antennashorthorizontaltype</v>
      </c>
      <c r="D44" s="4">
        <f t="shared" si="1"/>
        <v>44</v>
      </c>
      <c r="E44" t="str">
        <f t="shared" si="2"/>
        <v>AntennaShortHorizontalType</v>
      </c>
      <c r="F44" s="4" t="str">
        <f t="shared" si="3"/>
        <v>YES</v>
      </c>
      <c r="G44" s="4" t="str">
        <f t="shared" si="4"/>
        <v>YES</v>
      </c>
      <c r="H44" s="4" t="str">
        <f t="shared" si="5"/>
        <v>YES</v>
      </c>
      <c r="I44" t="s">
        <v>811</v>
      </c>
      <c r="M44" t="str">
        <f t="shared" si="6"/>
        <v>antennashorthorizontaltype</v>
      </c>
      <c r="N44" t="s">
        <v>811</v>
      </c>
      <c r="O44" t="s">
        <v>728</v>
      </c>
      <c r="P44" t="s">
        <v>248</v>
      </c>
      <c r="T44" t="str">
        <f t="shared" si="7"/>
        <v>antennalonghorizontalsize</v>
      </c>
      <c r="U44" t="s">
        <v>810</v>
      </c>
      <c r="V44" t="s">
        <v>768</v>
      </c>
      <c r="W44" t="s">
        <v>766</v>
      </c>
    </row>
    <row r="45" spans="1:23" hidden="1" x14ac:dyDescent="0.25">
      <c r="A45" t="s">
        <v>812</v>
      </c>
      <c r="B45" s="2" t="s">
        <v>254</v>
      </c>
      <c r="C45" s="3" t="str">
        <f t="shared" si="0"/>
        <v>antennashorthorizontalsize</v>
      </c>
      <c r="D45" s="4">
        <f t="shared" si="1"/>
        <v>45</v>
      </c>
      <c r="E45" t="str">
        <f t="shared" si="2"/>
        <v>AntennaShortHorizontalSize</v>
      </c>
      <c r="F45" s="4" t="str">
        <f t="shared" si="3"/>
        <v>YES</v>
      </c>
      <c r="G45" s="4" t="str">
        <f t="shared" si="4"/>
        <v>YES</v>
      </c>
      <c r="H45" s="4" t="str">
        <f t="shared" si="5"/>
        <v>YES</v>
      </c>
      <c r="I45" t="s">
        <v>812</v>
      </c>
      <c r="J45">
        <v>0</v>
      </c>
      <c r="M45" t="str">
        <f t="shared" si="6"/>
        <v>antennashorthorizontalsize</v>
      </c>
      <c r="N45" t="s">
        <v>812</v>
      </c>
      <c r="O45" t="s">
        <v>726</v>
      </c>
      <c r="P45" t="s">
        <v>248</v>
      </c>
      <c r="T45" t="str">
        <f t="shared" si="7"/>
        <v>antennashorthorizontaltype</v>
      </c>
      <c r="U45" t="s">
        <v>811</v>
      </c>
      <c r="V45" t="s">
        <v>768</v>
      </c>
      <c r="W45" t="s">
        <v>766</v>
      </c>
    </row>
    <row r="46" spans="1:23" hidden="1" x14ac:dyDescent="0.25">
      <c r="A46" t="s">
        <v>813</v>
      </c>
      <c r="B46" s="2" t="s">
        <v>268</v>
      </c>
      <c r="C46" s="3" t="str">
        <f t="shared" si="0"/>
        <v>antennaredundantgrade</v>
      </c>
      <c r="D46" s="4">
        <f t="shared" si="1"/>
        <v>46</v>
      </c>
      <c r="E46" t="str">
        <f t="shared" si="2"/>
        <v>AntennaRedundantGrade</v>
      </c>
      <c r="F46" s="4" t="str">
        <f t="shared" si="3"/>
        <v>YES</v>
      </c>
      <c r="G46" s="4" t="str">
        <f t="shared" si="4"/>
        <v>YES</v>
      </c>
      <c r="H46" s="4" t="str">
        <f t="shared" si="5"/>
        <v>YES</v>
      </c>
      <c r="I46" t="s">
        <v>813</v>
      </c>
      <c r="J46" t="s">
        <v>342</v>
      </c>
      <c r="M46" t="str">
        <f t="shared" si="6"/>
        <v>antennaredundantgrade</v>
      </c>
      <c r="N46" t="s">
        <v>813</v>
      </c>
      <c r="O46" t="s">
        <v>727</v>
      </c>
      <c r="P46" t="s">
        <v>723</v>
      </c>
      <c r="Q46" t="s">
        <v>248</v>
      </c>
      <c r="T46" t="str">
        <f t="shared" si="7"/>
        <v>antennashorthorizontalsize</v>
      </c>
      <c r="U46" t="s">
        <v>812</v>
      </c>
      <c r="V46" t="s">
        <v>768</v>
      </c>
      <c r="W46" t="s">
        <v>766</v>
      </c>
    </row>
    <row r="47" spans="1:23" hidden="1" x14ac:dyDescent="0.25">
      <c r="A47" t="s">
        <v>814</v>
      </c>
      <c r="B47" s="2" t="s">
        <v>248</v>
      </c>
      <c r="C47" s="3" t="str">
        <f t="shared" si="0"/>
        <v>antennaredundantmatlgrade</v>
      </c>
      <c r="D47" s="4">
        <f t="shared" si="1"/>
        <v>47</v>
      </c>
      <c r="E47" t="str">
        <f t="shared" si="2"/>
        <v>AntennaRedundantMatlGrade</v>
      </c>
      <c r="F47" s="4" t="str">
        <f t="shared" si="3"/>
        <v>YES</v>
      </c>
      <c r="G47" s="4" t="str">
        <f t="shared" si="4"/>
        <v>YES</v>
      </c>
      <c r="H47" s="4" t="str">
        <f t="shared" si="5"/>
        <v>YES</v>
      </c>
      <c r="I47" t="s">
        <v>814</v>
      </c>
      <c r="M47" t="str">
        <f t="shared" si="6"/>
        <v>antennaredundantmatlgrade</v>
      </c>
      <c r="N47" t="s">
        <v>814</v>
      </c>
      <c r="O47" t="s">
        <v>728</v>
      </c>
      <c r="P47" t="s">
        <v>248</v>
      </c>
      <c r="T47" t="str">
        <f t="shared" si="7"/>
        <v>antennaredundantgrade</v>
      </c>
      <c r="U47" t="s">
        <v>813</v>
      </c>
      <c r="V47" t="s">
        <v>768</v>
      </c>
      <c r="W47" t="s">
        <v>766</v>
      </c>
    </row>
    <row r="48" spans="1:23" x14ac:dyDescent="0.25">
      <c r="A48" t="s">
        <v>815</v>
      </c>
      <c r="B48" s="2" t="s">
        <v>257</v>
      </c>
      <c r="C48" s="3" t="str">
        <f t="shared" si="0"/>
        <v>antennaredundanttype</v>
      </c>
      <c r="D48" s="4">
        <f t="shared" si="1"/>
        <v>86</v>
      </c>
      <c r="E48" t="str">
        <f t="shared" si="2"/>
        <v>AntennaRedundantHorizontalGrade</v>
      </c>
      <c r="F48" s="4" t="str">
        <f t="shared" si="3"/>
        <v>NO</v>
      </c>
      <c r="G48" s="4" t="str">
        <f t="shared" si="4"/>
        <v>NO</v>
      </c>
      <c r="H48" s="4" t="str">
        <f t="shared" si="5"/>
        <v>NO</v>
      </c>
      <c r="I48" t="s">
        <v>1040</v>
      </c>
      <c r="J48" t="s">
        <v>307</v>
      </c>
      <c r="M48" t="str">
        <f t="shared" si="6"/>
        <v>antennaredundanttype</v>
      </c>
      <c r="N48" t="s">
        <v>815</v>
      </c>
      <c r="O48" t="s">
        <v>728</v>
      </c>
      <c r="P48" t="s">
        <v>248</v>
      </c>
      <c r="T48" t="str">
        <f t="shared" si="7"/>
        <v>antennaredundantmatlgrade</v>
      </c>
      <c r="U48" t="s">
        <v>814</v>
      </c>
      <c r="V48" t="s">
        <v>768</v>
      </c>
      <c r="W48" t="s">
        <v>766</v>
      </c>
    </row>
    <row r="49" spans="1:23" x14ac:dyDescent="0.25">
      <c r="A49" t="s">
        <v>816</v>
      </c>
      <c r="B49" s="2" t="s">
        <v>269</v>
      </c>
      <c r="C49" s="3" t="str">
        <f t="shared" si="0"/>
        <v>antennaredundantdiagtype</v>
      </c>
      <c r="D49" s="4">
        <f t="shared" si="1"/>
        <v>91</v>
      </c>
      <c r="E49" t="str">
        <f t="shared" si="2"/>
        <v>AntennaRedundantHorizontalMatlGrade</v>
      </c>
      <c r="F49" s="4" t="str">
        <f t="shared" si="3"/>
        <v>NO</v>
      </c>
      <c r="G49" s="4" t="str">
        <f t="shared" si="4"/>
        <v>NO</v>
      </c>
      <c r="H49" s="4" t="str">
        <f t="shared" si="5"/>
        <v>NO</v>
      </c>
      <c r="I49" t="s">
        <v>1041</v>
      </c>
      <c r="J49" t="s">
        <v>346</v>
      </c>
      <c r="M49" t="str">
        <f t="shared" si="6"/>
        <v>antennaredundantdiagtype</v>
      </c>
      <c r="N49" t="s">
        <v>816</v>
      </c>
      <c r="O49" t="s">
        <v>728</v>
      </c>
      <c r="P49" t="s">
        <v>248</v>
      </c>
      <c r="T49" t="str">
        <f t="shared" si="7"/>
        <v>antennaredundanttype</v>
      </c>
      <c r="U49" t="s">
        <v>815</v>
      </c>
      <c r="V49" t="s">
        <v>768</v>
      </c>
      <c r="W49" t="s">
        <v>766</v>
      </c>
    </row>
    <row r="50" spans="1:23" x14ac:dyDescent="0.25">
      <c r="A50" t="s">
        <v>817</v>
      </c>
      <c r="B50" s="2" t="s">
        <v>268</v>
      </c>
      <c r="C50" s="3" t="str">
        <f t="shared" si="0"/>
        <v>antennaredundantsubdiagonaltype</v>
      </c>
      <c r="D50" s="4">
        <f t="shared" si="1"/>
        <v>95</v>
      </c>
      <c r="E50" t="str">
        <f t="shared" si="2"/>
        <v>AntennaRedundantHorizontalGrade2</v>
      </c>
      <c r="F50" s="4" t="str">
        <f t="shared" si="3"/>
        <v>NO</v>
      </c>
      <c r="G50" s="4" t="str">
        <f t="shared" si="4"/>
        <v>NO</v>
      </c>
      <c r="H50" s="4" t="str">
        <f t="shared" si="5"/>
        <v>NO</v>
      </c>
      <c r="I50" t="s">
        <v>1042</v>
      </c>
      <c r="J50" t="s">
        <v>342</v>
      </c>
      <c r="M50" t="str">
        <f t="shared" si="6"/>
        <v>antennaredundantsubdiagonaltype</v>
      </c>
      <c r="N50" t="s">
        <v>817</v>
      </c>
      <c r="O50" t="s">
        <v>728</v>
      </c>
      <c r="P50" t="s">
        <v>248</v>
      </c>
      <c r="T50" t="str">
        <f t="shared" si="7"/>
        <v>antennaredundantdiagtype</v>
      </c>
      <c r="U50" t="s">
        <v>816</v>
      </c>
      <c r="V50" t="s">
        <v>768</v>
      </c>
      <c r="W50" t="s">
        <v>766</v>
      </c>
    </row>
    <row r="51" spans="1:23" x14ac:dyDescent="0.25">
      <c r="A51" t="s">
        <v>818</v>
      </c>
      <c r="B51" s="2" t="s">
        <v>248</v>
      </c>
      <c r="C51" s="3" t="str">
        <f t="shared" si="0"/>
        <v>antennaredundantsubhorizontaltype</v>
      </c>
      <c r="D51" s="4">
        <f t="shared" si="1"/>
        <v>96</v>
      </c>
      <c r="E51" t="str">
        <f t="shared" si="2"/>
        <v>AntennaRedundantHorizontalMatlGrade2</v>
      </c>
      <c r="F51" s="4" t="str">
        <f t="shared" si="3"/>
        <v>NO</v>
      </c>
      <c r="G51" s="4" t="str">
        <f t="shared" si="4"/>
        <v>NO</v>
      </c>
      <c r="H51" s="4" t="str">
        <f t="shared" si="5"/>
        <v>NO</v>
      </c>
      <c r="I51" t="s">
        <v>1043</v>
      </c>
      <c r="M51" t="str">
        <f t="shared" si="6"/>
        <v>antennaredundantsubhorizontaltype</v>
      </c>
      <c r="N51" t="s">
        <v>818</v>
      </c>
      <c r="O51" t="s">
        <v>728</v>
      </c>
      <c r="P51" t="s">
        <v>248</v>
      </c>
      <c r="T51" t="str">
        <f t="shared" si="7"/>
        <v>antennaredundantsubdiagonaltype</v>
      </c>
      <c r="U51" t="s">
        <v>817</v>
      </c>
      <c r="V51" t="s">
        <v>768</v>
      </c>
      <c r="W51" t="s">
        <v>766</v>
      </c>
    </row>
    <row r="52" spans="1:23" x14ac:dyDescent="0.25">
      <c r="A52" t="s">
        <v>819</v>
      </c>
      <c r="B52" s="2" t="s">
        <v>248</v>
      </c>
      <c r="C52" s="3" t="str">
        <f t="shared" si="0"/>
        <v>antennaredundantverticaltype</v>
      </c>
      <c r="D52" s="4">
        <f t="shared" si="1"/>
        <v>97</v>
      </c>
      <c r="E52" t="str">
        <f t="shared" si="2"/>
        <v>AntennaRedundantHorizontalGrade3</v>
      </c>
      <c r="F52" s="4" t="str">
        <f t="shared" si="3"/>
        <v>NO</v>
      </c>
      <c r="G52" s="4" t="str">
        <f t="shared" si="4"/>
        <v>NO</v>
      </c>
      <c r="H52" s="4" t="str">
        <f t="shared" si="5"/>
        <v>NO</v>
      </c>
      <c r="I52" t="s">
        <v>1044</v>
      </c>
      <c r="J52">
        <v>36</v>
      </c>
      <c r="M52" t="str">
        <f t="shared" si="6"/>
        <v>antennaredundantverticaltype</v>
      </c>
      <c r="N52" t="s">
        <v>819</v>
      </c>
      <c r="O52" t="s">
        <v>728</v>
      </c>
      <c r="P52" t="s">
        <v>248</v>
      </c>
      <c r="T52" t="str">
        <f t="shared" si="7"/>
        <v>antennaredundantsubhorizontaltype</v>
      </c>
      <c r="U52" t="s">
        <v>818</v>
      </c>
      <c r="V52" t="s">
        <v>768</v>
      </c>
      <c r="W52" t="s">
        <v>766</v>
      </c>
    </row>
    <row r="53" spans="1:23" x14ac:dyDescent="0.25">
      <c r="A53" t="s">
        <v>820</v>
      </c>
      <c r="B53" s="2" t="s">
        <v>248</v>
      </c>
      <c r="C53" s="3" t="str">
        <f t="shared" si="0"/>
        <v>antennaredundanthiptype</v>
      </c>
      <c r="D53" s="4">
        <f t="shared" si="1"/>
        <v>98</v>
      </c>
      <c r="E53" t="str">
        <f t="shared" si="2"/>
        <v>AntennaRedundantHorizontalMatlGrade3</v>
      </c>
      <c r="F53" s="4" t="str">
        <f t="shared" si="3"/>
        <v>NO</v>
      </c>
      <c r="G53" s="4" t="str">
        <f t="shared" si="4"/>
        <v>NO</v>
      </c>
      <c r="H53" s="4" t="str">
        <f t="shared" si="5"/>
        <v>NO</v>
      </c>
      <c r="I53" t="s">
        <v>1045</v>
      </c>
      <c r="J53">
        <v>36</v>
      </c>
      <c r="M53" t="str">
        <f t="shared" si="6"/>
        <v>antennaredundanthiptype</v>
      </c>
      <c r="N53" t="s">
        <v>820</v>
      </c>
      <c r="O53" t="s">
        <v>728</v>
      </c>
      <c r="P53" t="s">
        <v>248</v>
      </c>
      <c r="T53" t="str">
        <f t="shared" si="7"/>
        <v>antennaredundantverticaltype</v>
      </c>
      <c r="U53" t="s">
        <v>819</v>
      </c>
      <c r="V53" t="s">
        <v>768</v>
      </c>
      <c r="W53" t="s">
        <v>766</v>
      </c>
    </row>
    <row r="54" spans="1:23" x14ac:dyDescent="0.25">
      <c r="A54" t="s">
        <v>821</v>
      </c>
      <c r="B54" s="2" t="s">
        <v>248</v>
      </c>
      <c r="C54" s="3" t="str">
        <f t="shared" si="0"/>
        <v>antennaredundanthipdiagonaltype</v>
      </c>
      <c r="D54" s="4">
        <f t="shared" si="1"/>
        <v>102</v>
      </c>
      <c r="E54" t="str">
        <f t="shared" si="2"/>
        <v>AntennaRedundantHorizontalGrade4</v>
      </c>
      <c r="F54" s="4" t="str">
        <f t="shared" si="3"/>
        <v>NO</v>
      </c>
      <c r="G54" s="4" t="str">
        <f t="shared" si="4"/>
        <v>NO</v>
      </c>
      <c r="H54" s="4" t="str">
        <f t="shared" si="5"/>
        <v>NO</v>
      </c>
      <c r="I54" t="s">
        <v>1046</v>
      </c>
      <c r="J54" t="s">
        <v>320</v>
      </c>
      <c r="M54" t="str">
        <f t="shared" si="6"/>
        <v>antennaredundanthipdiagonaltype</v>
      </c>
      <c r="N54" t="s">
        <v>821</v>
      </c>
      <c r="O54" t="s">
        <v>728</v>
      </c>
      <c r="P54" t="s">
        <v>248</v>
      </c>
      <c r="T54" t="str">
        <f t="shared" si="7"/>
        <v>antennaredundanthiptype</v>
      </c>
      <c r="U54" t="s">
        <v>820</v>
      </c>
      <c r="V54" t="s">
        <v>768</v>
      </c>
      <c r="W54" t="s">
        <v>766</v>
      </c>
    </row>
    <row r="55" spans="1:23" x14ac:dyDescent="0.25">
      <c r="A55" t="s">
        <v>822</v>
      </c>
      <c r="B55" s="2" t="s">
        <v>257</v>
      </c>
      <c r="C55" s="3" t="str">
        <f t="shared" si="0"/>
        <v>antennaredundanthorizontalsize</v>
      </c>
      <c r="D55" s="4">
        <f t="shared" si="1"/>
        <v>106</v>
      </c>
      <c r="E55" t="str">
        <f t="shared" si="2"/>
        <v>AntennaRedundantHorizontalMatlGrade4</v>
      </c>
      <c r="F55" s="4" t="str">
        <f t="shared" si="3"/>
        <v>NO</v>
      </c>
      <c r="G55" s="4" t="str">
        <f t="shared" si="4"/>
        <v>NO</v>
      </c>
      <c r="H55" s="4" t="str">
        <f t="shared" si="5"/>
        <v>NO</v>
      </c>
      <c r="I55" t="s">
        <v>1047</v>
      </c>
      <c r="M55" t="str">
        <f t="shared" si="6"/>
        <v>antennaredundanthorizontalsize</v>
      </c>
      <c r="N55" t="s">
        <v>822</v>
      </c>
      <c r="O55" t="s">
        <v>726</v>
      </c>
      <c r="P55" t="s">
        <v>248</v>
      </c>
      <c r="T55" t="str">
        <f t="shared" si="7"/>
        <v>antennaredundanthipdiagonaltype</v>
      </c>
      <c r="U55" t="s">
        <v>821</v>
      </c>
      <c r="V55" t="s">
        <v>768</v>
      </c>
      <c r="W55" t="s">
        <v>766</v>
      </c>
    </row>
    <row r="56" spans="1:23" x14ac:dyDescent="0.25">
      <c r="A56" t="s">
        <v>823</v>
      </c>
      <c r="B56" s="2" t="s">
        <v>270</v>
      </c>
      <c r="C56" s="3" t="str">
        <f t="shared" si="0"/>
        <v>antennaredundanthorizontalsize2</v>
      </c>
      <c r="D56" s="4">
        <f t="shared" si="1"/>
        <v>107</v>
      </c>
      <c r="E56" t="str">
        <f t="shared" si="2"/>
        <v>AntennaRedundantDiagonalGrade</v>
      </c>
      <c r="F56" s="4" t="str">
        <f t="shared" si="3"/>
        <v>NO</v>
      </c>
      <c r="G56" s="4" t="str">
        <f t="shared" si="4"/>
        <v>NO</v>
      </c>
      <c r="H56" s="4" t="str">
        <f t="shared" si="5"/>
        <v>NO</v>
      </c>
      <c r="I56" t="s">
        <v>1048</v>
      </c>
      <c r="J56">
        <v>36</v>
      </c>
      <c r="M56" t="str">
        <f t="shared" si="6"/>
        <v>antennaredundanthorizontalsize2</v>
      </c>
      <c r="N56" t="s">
        <v>823</v>
      </c>
      <c r="O56" t="s">
        <v>726</v>
      </c>
      <c r="P56" t="s">
        <v>248</v>
      </c>
      <c r="T56" t="str">
        <f t="shared" si="7"/>
        <v>antennaredundanthorizontalsize</v>
      </c>
      <c r="U56" t="s">
        <v>822</v>
      </c>
      <c r="V56" t="s">
        <v>768</v>
      </c>
      <c r="W56" t="s">
        <v>766</v>
      </c>
    </row>
    <row r="57" spans="1:23" x14ac:dyDescent="0.25">
      <c r="A57" t="s">
        <v>824</v>
      </c>
      <c r="B57" s="2" t="s">
        <v>257</v>
      </c>
      <c r="C57" s="3" t="str">
        <f t="shared" si="0"/>
        <v>antennaredundanthorizontalsize3</v>
      </c>
      <c r="D57" s="4">
        <f t="shared" si="1"/>
        <v>108</v>
      </c>
      <c r="E57" t="str">
        <f t="shared" si="2"/>
        <v>AntennaRedundantDiagonalMatlGrade</v>
      </c>
      <c r="F57" s="4" t="str">
        <f t="shared" si="3"/>
        <v>NO</v>
      </c>
      <c r="G57" s="4" t="str">
        <f t="shared" si="4"/>
        <v>NO</v>
      </c>
      <c r="H57" s="4" t="str">
        <f t="shared" si="5"/>
        <v>NO</v>
      </c>
      <c r="I57" t="s">
        <v>1049</v>
      </c>
      <c r="J57">
        <v>36</v>
      </c>
      <c r="M57" t="str">
        <f t="shared" si="6"/>
        <v>antennaredundanthorizontalsize3</v>
      </c>
      <c r="N57" t="s">
        <v>824</v>
      </c>
      <c r="O57" t="s">
        <v>726</v>
      </c>
      <c r="P57" t="s">
        <v>248</v>
      </c>
      <c r="T57" t="str">
        <f t="shared" si="7"/>
        <v>antennaredundanthorizontalsize2</v>
      </c>
      <c r="U57" t="s">
        <v>823</v>
      </c>
      <c r="V57" t="s">
        <v>768</v>
      </c>
      <c r="W57" t="s">
        <v>766</v>
      </c>
    </row>
    <row r="58" spans="1:23" x14ac:dyDescent="0.25">
      <c r="A58" t="s">
        <v>825</v>
      </c>
      <c r="B58" s="2" t="s">
        <v>270</v>
      </c>
      <c r="C58" s="3" t="str">
        <f t="shared" si="0"/>
        <v>antennaredundanthorizontalsize4</v>
      </c>
      <c r="D58" s="4">
        <f t="shared" si="1"/>
        <v>109</v>
      </c>
      <c r="E58" t="str">
        <f t="shared" si="2"/>
        <v>AntennaRedundantDiagonalGrade2</v>
      </c>
      <c r="F58" s="4" t="str">
        <f t="shared" si="3"/>
        <v>NO</v>
      </c>
      <c r="G58" s="4" t="str">
        <f t="shared" si="4"/>
        <v>NO</v>
      </c>
      <c r="H58" s="4" t="str">
        <f t="shared" si="5"/>
        <v>NO</v>
      </c>
      <c r="I58" t="s">
        <v>1050</v>
      </c>
      <c r="J58" t="s">
        <v>320</v>
      </c>
      <c r="M58" t="str">
        <f t="shared" si="6"/>
        <v>antennaredundanthorizontalsize4</v>
      </c>
      <c r="N58" t="s">
        <v>825</v>
      </c>
      <c r="O58" t="s">
        <v>726</v>
      </c>
      <c r="P58" t="s">
        <v>248</v>
      </c>
      <c r="T58" t="str">
        <f t="shared" si="7"/>
        <v>antennaredundanthorizontalsize3</v>
      </c>
      <c r="U58" t="s">
        <v>824</v>
      </c>
      <c r="V58" t="s">
        <v>768</v>
      </c>
      <c r="W58" t="s">
        <v>766</v>
      </c>
    </row>
    <row r="59" spans="1:23" x14ac:dyDescent="0.25">
      <c r="A59" t="s">
        <v>826</v>
      </c>
      <c r="B59" s="2" t="s">
        <v>257</v>
      </c>
      <c r="C59" s="3" t="str">
        <f t="shared" si="0"/>
        <v>antennaredundantdiagonalsize</v>
      </c>
      <c r="D59" s="4">
        <f t="shared" si="1"/>
        <v>110</v>
      </c>
      <c r="E59" t="str">
        <f t="shared" si="2"/>
        <v>AntennaRedundantDiagonalMatlGrade2</v>
      </c>
      <c r="F59" s="4" t="str">
        <f t="shared" si="3"/>
        <v>NO</v>
      </c>
      <c r="G59" s="4" t="str">
        <f t="shared" si="4"/>
        <v>NO</v>
      </c>
      <c r="H59" s="4" t="str">
        <f t="shared" si="5"/>
        <v>NO</v>
      </c>
      <c r="I59" t="s">
        <v>1051</v>
      </c>
      <c r="M59" t="str">
        <f t="shared" si="6"/>
        <v>antennaredundantdiagonalsize</v>
      </c>
      <c r="N59" t="s">
        <v>826</v>
      </c>
      <c r="O59" t="s">
        <v>726</v>
      </c>
      <c r="P59" t="s">
        <v>248</v>
      </c>
      <c r="T59" t="str">
        <f t="shared" si="7"/>
        <v>antennaredundanthorizontalsize4</v>
      </c>
      <c r="U59" t="s">
        <v>825</v>
      </c>
      <c r="V59" t="s">
        <v>768</v>
      </c>
      <c r="W59" t="s">
        <v>766</v>
      </c>
    </row>
    <row r="60" spans="1:23" x14ac:dyDescent="0.25">
      <c r="A60" t="s">
        <v>827</v>
      </c>
      <c r="B60" s="2" t="s">
        <v>257</v>
      </c>
      <c r="C60" s="3" t="str">
        <f t="shared" si="0"/>
        <v>antennaredundantdiagonalsize2</v>
      </c>
      <c r="D60" s="4">
        <f t="shared" si="1"/>
        <v>111</v>
      </c>
      <c r="E60" t="str">
        <f t="shared" si="2"/>
        <v>AntennaRedundantDiagonalGrade3</v>
      </c>
      <c r="F60" s="4" t="str">
        <f t="shared" si="3"/>
        <v>NO</v>
      </c>
      <c r="G60" s="4" t="str">
        <f t="shared" si="4"/>
        <v>NO</v>
      </c>
      <c r="H60" s="4" t="str">
        <f t="shared" si="5"/>
        <v>NO</v>
      </c>
      <c r="I60" t="s">
        <v>1052</v>
      </c>
      <c r="J60">
        <v>36</v>
      </c>
      <c r="M60" t="str">
        <f t="shared" si="6"/>
        <v>antennaredundantdiagonalsize2</v>
      </c>
      <c r="N60" t="s">
        <v>827</v>
      </c>
      <c r="O60" t="s">
        <v>726</v>
      </c>
      <c r="P60" t="s">
        <v>248</v>
      </c>
      <c r="T60" t="str">
        <f t="shared" si="7"/>
        <v>antennaredundantdiagonalsize</v>
      </c>
      <c r="U60" t="s">
        <v>826</v>
      </c>
      <c r="V60" t="s">
        <v>768</v>
      </c>
      <c r="W60" t="s">
        <v>766</v>
      </c>
    </row>
    <row r="61" spans="1:23" x14ac:dyDescent="0.25">
      <c r="A61" t="s">
        <v>828</v>
      </c>
      <c r="B61" s="2" t="s">
        <v>271</v>
      </c>
      <c r="C61" s="3" t="str">
        <f t="shared" si="0"/>
        <v>antennaredundantdiagonalsize3</v>
      </c>
      <c r="D61" s="4">
        <f t="shared" si="1"/>
        <v>112</v>
      </c>
      <c r="E61" t="str">
        <f t="shared" si="2"/>
        <v>AntennaRedundantDiagonalMatlGrade3</v>
      </c>
      <c r="F61" s="4" t="str">
        <f t="shared" si="3"/>
        <v>NO</v>
      </c>
      <c r="G61" s="4" t="str">
        <f t="shared" si="4"/>
        <v>NO</v>
      </c>
      <c r="H61" s="4" t="str">
        <f t="shared" si="5"/>
        <v>NO</v>
      </c>
      <c r="I61" t="s">
        <v>1053</v>
      </c>
      <c r="J61">
        <v>36</v>
      </c>
      <c r="M61" t="str">
        <f t="shared" si="6"/>
        <v>antennaredundantdiagonalsize3</v>
      </c>
      <c r="N61" t="s">
        <v>828</v>
      </c>
      <c r="O61" t="s">
        <v>726</v>
      </c>
      <c r="P61" t="s">
        <v>248</v>
      </c>
      <c r="T61" t="str">
        <f t="shared" si="7"/>
        <v>antennaredundantdiagonalsize2</v>
      </c>
      <c r="U61" t="s">
        <v>827</v>
      </c>
      <c r="V61" t="s">
        <v>768</v>
      </c>
      <c r="W61" t="s">
        <v>766</v>
      </c>
    </row>
    <row r="62" spans="1:23" x14ac:dyDescent="0.25">
      <c r="A62" t="s">
        <v>829</v>
      </c>
      <c r="B62" s="2" t="s">
        <v>248</v>
      </c>
      <c r="C62" s="3" t="str">
        <f t="shared" si="0"/>
        <v>antennaredundantdiagonalsize4</v>
      </c>
      <c r="D62" s="4">
        <f t="shared" si="1"/>
        <v>113</v>
      </c>
      <c r="E62" t="str">
        <f t="shared" si="2"/>
        <v>AntennaRedundantDiagonalGrade4</v>
      </c>
      <c r="F62" s="4" t="str">
        <f t="shared" si="3"/>
        <v>NO</v>
      </c>
      <c r="G62" s="4" t="str">
        <f t="shared" si="4"/>
        <v>NO</v>
      </c>
      <c r="H62" s="4" t="str">
        <f t="shared" si="5"/>
        <v>NO</v>
      </c>
      <c r="I62" t="s">
        <v>1054</v>
      </c>
      <c r="J62" t="s">
        <v>320</v>
      </c>
      <c r="M62" t="str">
        <f t="shared" si="6"/>
        <v>antennaredundantdiagonalsize4</v>
      </c>
      <c r="N62" t="s">
        <v>829</v>
      </c>
      <c r="O62" t="s">
        <v>726</v>
      </c>
      <c r="P62" t="s">
        <v>248</v>
      </c>
      <c r="T62" t="str">
        <f t="shared" si="7"/>
        <v>antennaredundantdiagonalsize3</v>
      </c>
      <c r="U62" t="s">
        <v>828</v>
      </c>
      <c r="V62" t="s">
        <v>768</v>
      </c>
      <c r="W62" t="s">
        <v>766</v>
      </c>
    </row>
    <row r="63" spans="1:23" x14ac:dyDescent="0.25">
      <c r="A63" t="s">
        <v>830</v>
      </c>
      <c r="B63" s="2" t="s">
        <v>248</v>
      </c>
      <c r="C63" s="3" t="str">
        <f t="shared" si="0"/>
        <v>antennaredundantsubhorizontalsize</v>
      </c>
      <c r="D63" s="4">
        <f t="shared" si="1"/>
        <v>114</v>
      </c>
      <c r="E63" t="str">
        <f t="shared" si="2"/>
        <v>AntennaRedundantDiagonalMatlGrade4</v>
      </c>
      <c r="F63" s="4" t="str">
        <f t="shared" si="3"/>
        <v>NO</v>
      </c>
      <c r="G63" s="4" t="str">
        <f t="shared" si="4"/>
        <v>NO</v>
      </c>
      <c r="H63" s="4" t="str">
        <f t="shared" si="5"/>
        <v>NO</v>
      </c>
      <c r="I63" t="s">
        <v>1055</v>
      </c>
      <c r="M63" t="str">
        <f t="shared" si="6"/>
        <v>antennaredundantsubhorizontalsize</v>
      </c>
      <c r="N63" t="s">
        <v>830</v>
      </c>
      <c r="O63" t="s">
        <v>726</v>
      </c>
      <c r="P63" t="s">
        <v>248</v>
      </c>
      <c r="T63" t="str">
        <f t="shared" si="7"/>
        <v>antennaredundantdiagonalsize4</v>
      </c>
      <c r="U63" t="s">
        <v>829</v>
      </c>
      <c r="V63" t="s">
        <v>768</v>
      </c>
      <c r="W63" t="s">
        <v>766</v>
      </c>
    </row>
    <row r="64" spans="1:23" x14ac:dyDescent="0.25">
      <c r="A64" t="s">
        <v>831</v>
      </c>
      <c r="B64" s="2" t="s">
        <v>248</v>
      </c>
      <c r="C64" s="3" t="str">
        <f t="shared" si="0"/>
        <v>antennaredundantsubdiagonalsize</v>
      </c>
      <c r="D64" s="4">
        <f t="shared" si="1"/>
        <v>115</v>
      </c>
      <c r="E64" t="str">
        <f t="shared" si="2"/>
        <v>AntennaRedundantSubHorizontalGrade</v>
      </c>
      <c r="F64" s="4" t="str">
        <f t="shared" si="3"/>
        <v>NO</v>
      </c>
      <c r="G64" s="4" t="str">
        <f t="shared" si="4"/>
        <v>NO</v>
      </c>
      <c r="H64" s="4" t="str">
        <f t="shared" si="5"/>
        <v>NO</v>
      </c>
      <c r="I64" t="s">
        <v>1056</v>
      </c>
      <c r="J64">
        <v>36</v>
      </c>
      <c r="M64" t="str">
        <f t="shared" si="6"/>
        <v>antennaredundantsubdiagonalsize</v>
      </c>
      <c r="N64" t="s">
        <v>831</v>
      </c>
      <c r="O64" t="s">
        <v>726</v>
      </c>
      <c r="P64" t="s">
        <v>248</v>
      </c>
      <c r="T64" t="str">
        <f t="shared" si="7"/>
        <v>antennaredundantsubhorizontalsize</v>
      </c>
      <c r="U64" t="s">
        <v>830</v>
      </c>
      <c r="V64" t="s">
        <v>768</v>
      </c>
      <c r="W64" t="s">
        <v>766</v>
      </c>
    </row>
    <row r="65" spans="1:23" x14ac:dyDescent="0.25">
      <c r="A65" t="s">
        <v>832</v>
      </c>
      <c r="B65" s="2" t="s">
        <v>266</v>
      </c>
      <c r="C65" s="3" t="str">
        <f t="shared" si="0"/>
        <v>antennasubdiaglocation</v>
      </c>
      <c r="D65" s="4">
        <f t="shared" si="1"/>
        <v>116</v>
      </c>
      <c r="E65" t="str">
        <f t="shared" si="2"/>
        <v>AntennaRedundantSubHorizontalMatlGrade</v>
      </c>
      <c r="F65" s="4" t="str">
        <f t="shared" si="3"/>
        <v>NO</v>
      </c>
      <c r="G65" s="4" t="str">
        <f t="shared" si="4"/>
        <v>NO</v>
      </c>
      <c r="H65" s="4" t="str">
        <f t="shared" si="5"/>
        <v>NO</v>
      </c>
      <c r="I65" t="s">
        <v>1057</v>
      </c>
      <c r="J65">
        <v>36</v>
      </c>
      <c r="M65" t="str">
        <f t="shared" si="6"/>
        <v>antennasubdiaglocation</v>
      </c>
      <c r="N65" t="s">
        <v>832</v>
      </c>
      <c r="O65" t="s">
        <v>727</v>
      </c>
      <c r="P65" t="s">
        <v>723</v>
      </c>
      <c r="Q65" t="s">
        <v>248</v>
      </c>
      <c r="T65" t="str">
        <f t="shared" si="7"/>
        <v>antennaredundantsubdiagonalsize</v>
      </c>
      <c r="U65" t="s">
        <v>831</v>
      </c>
      <c r="V65" t="s">
        <v>768</v>
      </c>
      <c r="W65" t="s">
        <v>766</v>
      </c>
    </row>
    <row r="66" spans="1:23" x14ac:dyDescent="0.25">
      <c r="A66" t="s">
        <v>833</v>
      </c>
      <c r="B66" s="2" t="s">
        <v>248</v>
      </c>
      <c r="C66" s="3" t="str">
        <f t="shared" si="0"/>
        <v>antennaredundantverticalsize</v>
      </c>
      <c r="D66" s="4">
        <f t="shared" si="1"/>
        <v>117</v>
      </c>
      <c r="E66" t="str">
        <f t="shared" si="2"/>
        <v>AntennaRedundantSubDiagonalGrade</v>
      </c>
      <c r="F66" s="4" t="str">
        <f t="shared" si="3"/>
        <v>NO</v>
      </c>
      <c r="G66" s="4" t="str">
        <f t="shared" si="4"/>
        <v>NO</v>
      </c>
      <c r="H66" s="4" t="str">
        <f t="shared" si="5"/>
        <v>NO</v>
      </c>
      <c r="I66" t="s">
        <v>1058</v>
      </c>
      <c r="J66" t="s">
        <v>320</v>
      </c>
      <c r="M66" t="str">
        <f t="shared" si="6"/>
        <v>antennaredundantverticalsize</v>
      </c>
      <c r="N66" t="s">
        <v>833</v>
      </c>
      <c r="O66" t="s">
        <v>726</v>
      </c>
      <c r="P66" t="s">
        <v>248</v>
      </c>
      <c r="T66" t="str">
        <f t="shared" si="7"/>
        <v>antennasubdiaglocation</v>
      </c>
      <c r="U66" t="s">
        <v>832</v>
      </c>
      <c r="V66" t="s">
        <v>767</v>
      </c>
      <c r="W66" t="s">
        <v>766</v>
      </c>
    </row>
    <row r="67" spans="1:23" x14ac:dyDescent="0.25">
      <c r="A67" t="s">
        <v>834</v>
      </c>
      <c r="B67" s="2" t="s">
        <v>248</v>
      </c>
      <c r="C67" s="3" t="str">
        <f t="shared" si="0"/>
        <v>antennaredundanthipdiagonalsize</v>
      </c>
      <c r="D67" s="4">
        <f t="shared" si="1"/>
        <v>118</v>
      </c>
      <c r="E67" t="str">
        <f t="shared" si="2"/>
        <v>AntennaRedundantSubDiagonalMatlGrade</v>
      </c>
      <c r="F67" s="4" t="str">
        <f t="shared" si="3"/>
        <v>NO</v>
      </c>
      <c r="G67" s="4" t="str">
        <f t="shared" si="4"/>
        <v>NO</v>
      </c>
      <c r="H67" s="4" t="str">
        <f t="shared" si="5"/>
        <v>NO</v>
      </c>
      <c r="I67" t="s">
        <v>1059</v>
      </c>
      <c r="M67" t="str">
        <f t="shared" si="6"/>
        <v>antennaredundanthipdiagonalsize</v>
      </c>
      <c r="N67" t="s">
        <v>834</v>
      </c>
      <c r="O67" t="s">
        <v>726</v>
      </c>
      <c r="P67" t="s">
        <v>248</v>
      </c>
      <c r="T67" t="str">
        <f t="shared" si="7"/>
        <v>antennaredundantverticalsize</v>
      </c>
      <c r="U67" t="s">
        <v>833</v>
      </c>
      <c r="V67" t="s">
        <v>768</v>
      </c>
      <c r="W67" t="s">
        <v>766</v>
      </c>
    </row>
    <row r="68" spans="1:23" x14ac:dyDescent="0.25">
      <c r="A68" t="s">
        <v>835</v>
      </c>
      <c r="B68" s="2" t="s">
        <v>248</v>
      </c>
      <c r="C68" s="3" t="str">
        <f t="shared" si="0"/>
        <v>antennaredundanthipdiagonalsize2</v>
      </c>
      <c r="D68" s="4">
        <f t="shared" si="1"/>
        <v>119</v>
      </c>
      <c r="E68" t="str">
        <f t="shared" si="2"/>
        <v>AntennaRedundantVerticalGrade</v>
      </c>
      <c r="F68" s="4" t="str">
        <f t="shared" si="3"/>
        <v>NO</v>
      </c>
      <c r="G68" s="4" t="str">
        <f t="shared" si="4"/>
        <v>NO</v>
      </c>
      <c r="H68" s="4" t="str">
        <f t="shared" si="5"/>
        <v>NO</v>
      </c>
      <c r="I68" t="s">
        <v>1060</v>
      </c>
      <c r="J68">
        <v>36</v>
      </c>
      <c r="M68" t="str">
        <f t="shared" si="6"/>
        <v>antennaredundanthipdiagonalsize2</v>
      </c>
      <c r="N68" t="s">
        <v>835</v>
      </c>
      <c r="O68" t="s">
        <v>726</v>
      </c>
      <c r="P68" t="s">
        <v>248</v>
      </c>
      <c r="T68" t="str">
        <f t="shared" si="7"/>
        <v>antennaredundanthipdiagonalsize</v>
      </c>
      <c r="U68" t="s">
        <v>834</v>
      </c>
      <c r="V68" t="s">
        <v>768</v>
      </c>
      <c r="W68" t="s">
        <v>766</v>
      </c>
    </row>
    <row r="69" spans="1:23" x14ac:dyDescent="0.25">
      <c r="A69" t="s">
        <v>836</v>
      </c>
      <c r="B69" s="2" t="s">
        <v>248</v>
      </c>
      <c r="C69" s="3" t="str">
        <f t="shared" ref="C69:C132" si="8">TRIM(LOWER(SUBSTITUTE(SUBSTITUTE(A69,",","")," ","")))</f>
        <v>antennaredundanthipdiagonalsize3</v>
      </c>
      <c r="D69" s="4">
        <f t="shared" ref="D69:D132" si="9">MATCH(C69,E:E,0)</f>
        <v>120</v>
      </c>
      <c r="E69" t="str">
        <f t="shared" ref="E69:E132" si="10">TRIM((SUBSTITUTE(SUBSTITUTE(I69,",","")," ","")))</f>
        <v>AntennaRedundantVerticalMatlGrade3</v>
      </c>
      <c r="F69" s="4" t="str">
        <f t="shared" ref="F69:F132" si="11">IFERROR(IF(MATCH(E69,C:C,0)&gt;0,"YES"),"NO")</f>
        <v>NO</v>
      </c>
      <c r="G69" s="4" t="str">
        <f t="shared" ref="G69:G132" si="12">IFERROR(IF(MATCH(E69,M:M,0)&gt;0,"YES"),"NO")</f>
        <v>NO</v>
      </c>
      <c r="H69" s="4" t="str">
        <f t="shared" ref="H69:H132" si="13">IFERROR(IF(MATCH(E69,T:T,0)&gt;0,"YES"),"NO")</f>
        <v>NO</v>
      </c>
      <c r="I69" t="s">
        <v>1061</v>
      </c>
      <c r="J69">
        <v>36</v>
      </c>
      <c r="M69" t="str">
        <f t="shared" ref="M69:M132" si="14">TRIM(LOWER(N69))</f>
        <v>antennaredundanthipdiagonalsize3</v>
      </c>
      <c r="N69" t="s">
        <v>836</v>
      </c>
      <c r="O69" t="s">
        <v>726</v>
      </c>
      <c r="P69" t="s">
        <v>248</v>
      </c>
      <c r="T69" t="str">
        <f t="shared" ref="T69:T132" si="15">TRIM(LOWER(U69))</f>
        <v>antennaredundanthipdiagonalsize2</v>
      </c>
      <c r="U69" t="s">
        <v>835</v>
      </c>
      <c r="V69" t="s">
        <v>768</v>
      </c>
      <c r="W69" t="s">
        <v>766</v>
      </c>
    </row>
    <row r="70" spans="1:23" x14ac:dyDescent="0.25">
      <c r="A70" t="s">
        <v>837</v>
      </c>
      <c r="B70" s="2" t="s">
        <v>248</v>
      </c>
      <c r="C70" s="3" t="str">
        <f t="shared" si="8"/>
        <v>antennaredundanthipdiagonalsize4</v>
      </c>
      <c r="D70" s="4">
        <f t="shared" si="9"/>
        <v>121</v>
      </c>
      <c r="E70" t="str">
        <f t="shared" si="10"/>
        <v>AntennaRedundantHipGrade</v>
      </c>
      <c r="F70" s="4" t="str">
        <f t="shared" si="11"/>
        <v>NO</v>
      </c>
      <c r="G70" s="4" t="str">
        <f t="shared" si="12"/>
        <v>NO</v>
      </c>
      <c r="H70" s="4" t="str">
        <f t="shared" si="13"/>
        <v>NO</v>
      </c>
      <c r="I70" t="s">
        <v>1062</v>
      </c>
      <c r="J70" t="s">
        <v>320</v>
      </c>
      <c r="M70" t="str">
        <f t="shared" si="14"/>
        <v>antennaredundanthipdiagonalsize4</v>
      </c>
      <c r="N70" t="s">
        <v>837</v>
      </c>
      <c r="O70" t="s">
        <v>726</v>
      </c>
      <c r="P70" t="s">
        <v>248</v>
      </c>
      <c r="T70" t="str">
        <f t="shared" si="15"/>
        <v>antennaredundanthipdiagonalsize3</v>
      </c>
      <c r="U70" t="s">
        <v>836</v>
      </c>
      <c r="V70" t="s">
        <v>768</v>
      </c>
      <c r="W70" t="s">
        <v>766</v>
      </c>
    </row>
    <row r="71" spans="1:23" x14ac:dyDescent="0.25">
      <c r="A71" t="s">
        <v>838</v>
      </c>
      <c r="B71" s="2" t="s">
        <v>272</v>
      </c>
      <c r="C71" s="3" t="str">
        <f t="shared" si="8"/>
        <v>antennaredundanthipsize</v>
      </c>
      <c r="D71" s="4">
        <f t="shared" si="9"/>
        <v>122</v>
      </c>
      <c r="E71" t="str">
        <f t="shared" si="10"/>
        <v>AntennaRedundantHipMatlGrade</v>
      </c>
      <c r="F71" s="4" t="str">
        <f t="shared" si="11"/>
        <v>NO</v>
      </c>
      <c r="G71" s="4" t="str">
        <f t="shared" si="12"/>
        <v>NO</v>
      </c>
      <c r="H71" s="4" t="str">
        <f t="shared" si="13"/>
        <v>NO</v>
      </c>
      <c r="I71" t="s">
        <v>1063</v>
      </c>
      <c r="M71" t="str">
        <f t="shared" si="14"/>
        <v>antennaredundanthipsize</v>
      </c>
      <c r="N71" t="s">
        <v>838</v>
      </c>
      <c r="O71" t="s">
        <v>726</v>
      </c>
      <c r="P71" t="s">
        <v>248</v>
      </c>
      <c r="T71" t="str">
        <f t="shared" si="15"/>
        <v>antennaredundanthipdiagonalsize4</v>
      </c>
      <c r="U71" t="s">
        <v>837</v>
      </c>
      <c r="V71" t="s">
        <v>768</v>
      </c>
      <c r="W71" t="s">
        <v>766</v>
      </c>
    </row>
    <row r="72" spans="1:23" x14ac:dyDescent="0.25">
      <c r="A72" t="s">
        <v>839</v>
      </c>
      <c r="B72" s="2" t="s">
        <v>248</v>
      </c>
      <c r="C72" s="3" t="str">
        <f t="shared" si="8"/>
        <v>antennaredundanthipsize2</v>
      </c>
      <c r="D72" s="4">
        <f t="shared" si="9"/>
        <v>123</v>
      </c>
      <c r="E72" t="str">
        <f t="shared" si="10"/>
        <v>AntennaRedundantHipGrade2</v>
      </c>
      <c r="F72" s="4" t="str">
        <f t="shared" si="11"/>
        <v>NO</v>
      </c>
      <c r="G72" s="4" t="str">
        <f t="shared" si="12"/>
        <v>NO</v>
      </c>
      <c r="H72" s="4" t="str">
        <f t="shared" si="13"/>
        <v>NO</v>
      </c>
      <c r="I72" t="s">
        <v>1064</v>
      </c>
      <c r="J72">
        <v>36</v>
      </c>
      <c r="M72" t="str">
        <f t="shared" si="14"/>
        <v>antennaredundanthipsize2</v>
      </c>
      <c r="N72" t="s">
        <v>839</v>
      </c>
      <c r="O72" t="s">
        <v>726</v>
      </c>
      <c r="P72" t="s">
        <v>248</v>
      </c>
      <c r="T72" t="str">
        <f t="shared" si="15"/>
        <v>antennaredundanthipsize</v>
      </c>
      <c r="U72" t="s">
        <v>838</v>
      </c>
      <c r="V72" t="s">
        <v>768</v>
      </c>
      <c r="W72" t="s">
        <v>766</v>
      </c>
    </row>
    <row r="73" spans="1:23" x14ac:dyDescent="0.25">
      <c r="A73" t="s">
        <v>840</v>
      </c>
      <c r="B73" s="2" t="s">
        <v>271</v>
      </c>
      <c r="C73" s="3" t="str">
        <f t="shared" si="8"/>
        <v>antennaredundanthipsize3</v>
      </c>
      <c r="D73" s="4">
        <f t="shared" si="9"/>
        <v>124</v>
      </c>
      <c r="E73" t="str">
        <f t="shared" si="10"/>
        <v>AntennaRedundantHipMatlGrade2</v>
      </c>
      <c r="F73" s="4" t="str">
        <f t="shared" si="11"/>
        <v>NO</v>
      </c>
      <c r="G73" s="4" t="str">
        <f t="shared" si="12"/>
        <v>NO</v>
      </c>
      <c r="H73" s="4" t="str">
        <f t="shared" si="13"/>
        <v>NO</v>
      </c>
      <c r="I73" t="s">
        <v>1065</v>
      </c>
      <c r="J73">
        <v>36</v>
      </c>
      <c r="M73" t="str">
        <f t="shared" si="14"/>
        <v>antennaredundanthipsize3</v>
      </c>
      <c r="N73" t="s">
        <v>840</v>
      </c>
      <c r="O73" t="s">
        <v>726</v>
      </c>
      <c r="P73" t="s">
        <v>248</v>
      </c>
      <c r="T73" t="str">
        <f t="shared" si="15"/>
        <v>antennaredundanthipsize2</v>
      </c>
      <c r="U73" t="s">
        <v>839</v>
      </c>
      <c r="V73" t="s">
        <v>768</v>
      </c>
      <c r="W73" t="s">
        <v>766</v>
      </c>
    </row>
    <row r="74" spans="1:23" x14ac:dyDescent="0.25">
      <c r="A74" t="s">
        <v>841</v>
      </c>
      <c r="B74" s="2" t="s">
        <v>248</v>
      </c>
      <c r="C74" s="3" t="str">
        <f t="shared" si="8"/>
        <v>antennaredundanthipsize4</v>
      </c>
      <c r="D74" s="4">
        <f t="shared" si="9"/>
        <v>125</v>
      </c>
      <c r="E74" t="str">
        <f t="shared" si="10"/>
        <v>AntennaRedundantHipGrade3</v>
      </c>
      <c r="F74" s="4" t="str">
        <f t="shared" si="11"/>
        <v>NO</v>
      </c>
      <c r="G74" s="4" t="str">
        <f t="shared" si="12"/>
        <v>NO</v>
      </c>
      <c r="H74" s="4" t="str">
        <f t="shared" si="13"/>
        <v>NO</v>
      </c>
      <c r="I74" t="s">
        <v>1066</v>
      </c>
      <c r="J74" t="s">
        <v>320</v>
      </c>
      <c r="M74" t="str">
        <f t="shared" si="14"/>
        <v>antennaredundanthipsize4</v>
      </c>
      <c r="N74" t="s">
        <v>841</v>
      </c>
      <c r="O74" t="s">
        <v>726</v>
      </c>
      <c r="P74" t="s">
        <v>248</v>
      </c>
      <c r="T74" t="str">
        <f t="shared" si="15"/>
        <v>antennaredundanthipsize3</v>
      </c>
      <c r="U74" t="s">
        <v>840</v>
      </c>
      <c r="V74" t="s">
        <v>768</v>
      </c>
      <c r="W74" t="s">
        <v>766</v>
      </c>
    </row>
    <row r="75" spans="1:23" x14ac:dyDescent="0.25">
      <c r="A75" t="s">
        <v>842</v>
      </c>
      <c r="B75" s="2" t="s">
        <v>248</v>
      </c>
      <c r="C75" s="3" t="str">
        <f t="shared" si="8"/>
        <v>antennanuminnergirts</v>
      </c>
      <c r="D75" s="4">
        <f t="shared" si="9"/>
        <v>126</v>
      </c>
      <c r="E75" t="str">
        <f t="shared" si="10"/>
        <v>AntennaRedundantHipMatlGrade3</v>
      </c>
      <c r="F75" s="4" t="str">
        <f t="shared" si="11"/>
        <v>NO</v>
      </c>
      <c r="G75" s="4" t="str">
        <f t="shared" si="12"/>
        <v>NO</v>
      </c>
      <c r="H75" s="4" t="str">
        <f t="shared" si="13"/>
        <v>NO</v>
      </c>
      <c r="I75" t="s">
        <v>1067</v>
      </c>
      <c r="M75" t="str">
        <f t="shared" si="14"/>
        <v>antennanuminnergirts</v>
      </c>
      <c r="N75" t="s">
        <v>842</v>
      </c>
      <c r="O75" t="s">
        <v>724</v>
      </c>
      <c r="P75" t="s">
        <v>248</v>
      </c>
      <c r="T75" t="str">
        <f t="shared" si="15"/>
        <v>antennaredundanthipsize4</v>
      </c>
      <c r="U75" t="s">
        <v>841</v>
      </c>
      <c r="V75" t="s">
        <v>768</v>
      </c>
      <c r="W75" t="s">
        <v>766</v>
      </c>
    </row>
    <row r="76" spans="1:23" x14ac:dyDescent="0.25">
      <c r="A76" t="s">
        <v>843</v>
      </c>
      <c r="B76" s="2" t="s">
        <v>248</v>
      </c>
      <c r="C76" s="3" t="str">
        <f t="shared" si="8"/>
        <v>antennainnergirttype</v>
      </c>
      <c r="D76" s="4">
        <f t="shared" si="9"/>
        <v>127</v>
      </c>
      <c r="E76" t="str">
        <f t="shared" si="10"/>
        <v>AntennaRedundantHipGrade4</v>
      </c>
      <c r="F76" s="4" t="str">
        <f t="shared" si="11"/>
        <v>NO</v>
      </c>
      <c r="G76" s="4" t="str">
        <f t="shared" si="12"/>
        <v>NO</v>
      </c>
      <c r="H76" s="4" t="str">
        <f t="shared" si="13"/>
        <v>NO</v>
      </c>
      <c r="I76" t="s">
        <v>1068</v>
      </c>
      <c r="J76">
        <v>36</v>
      </c>
      <c r="M76" t="str">
        <f t="shared" si="14"/>
        <v>antennainnergirttype</v>
      </c>
      <c r="N76" t="s">
        <v>843</v>
      </c>
      <c r="O76" t="s">
        <v>728</v>
      </c>
      <c r="P76" t="s">
        <v>248</v>
      </c>
      <c r="T76" t="str">
        <f t="shared" si="15"/>
        <v>antennanuminnergirts</v>
      </c>
      <c r="U76" t="s">
        <v>842</v>
      </c>
      <c r="V76" t="s">
        <v>767</v>
      </c>
      <c r="W76" t="s">
        <v>766</v>
      </c>
    </row>
    <row r="77" spans="1:23" x14ac:dyDescent="0.25">
      <c r="A77" t="s">
        <v>844</v>
      </c>
      <c r="B77" s="2" t="s">
        <v>269</v>
      </c>
      <c r="C77" s="3" t="str">
        <f t="shared" si="8"/>
        <v>antennainnergirtsize</v>
      </c>
      <c r="D77" s="4">
        <f t="shared" si="9"/>
        <v>128</v>
      </c>
      <c r="E77" t="str">
        <f t="shared" si="10"/>
        <v>AntennaRedundantHipMatlGrade4</v>
      </c>
      <c r="F77" s="4" t="str">
        <f t="shared" si="11"/>
        <v>NO</v>
      </c>
      <c r="G77" s="4" t="str">
        <f t="shared" si="12"/>
        <v>NO</v>
      </c>
      <c r="H77" s="4" t="str">
        <f t="shared" si="13"/>
        <v>NO</v>
      </c>
      <c r="I77" t="s">
        <v>1069</v>
      </c>
      <c r="J77">
        <v>36</v>
      </c>
      <c r="M77" t="str">
        <f t="shared" si="14"/>
        <v>antennainnergirtsize</v>
      </c>
      <c r="N77" t="s">
        <v>844</v>
      </c>
      <c r="O77" t="s">
        <v>726</v>
      </c>
      <c r="P77" t="s">
        <v>248</v>
      </c>
      <c r="T77" t="str">
        <f t="shared" si="15"/>
        <v>antennainnergirttype</v>
      </c>
      <c r="U77" t="s">
        <v>843</v>
      </c>
      <c r="V77" t="s">
        <v>768</v>
      </c>
      <c r="W77" t="s">
        <v>766</v>
      </c>
    </row>
    <row r="78" spans="1:23" x14ac:dyDescent="0.25">
      <c r="A78" t="s">
        <v>845</v>
      </c>
      <c r="B78" s="2" t="s">
        <v>248</v>
      </c>
      <c r="C78" s="3" t="str">
        <f t="shared" si="8"/>
        <v>antennapoleshapetype</v>
      </c>
      <c r="D78" s="4">
        <f t="shared" si="9"/>
        <v>129</v>
      </c>
      <c r="E78" t="str">
        <f t="shared" si="10"/>
        <v>AntennaRedundantHipDiagonalGrade</v>
      </c>
      <c r="F78" s="4" t="str">
        <f t="shared" si="11"/>
        <v>NO</v>
      </c>
      <c r="G78" s="4" t="str">
        <f t="shared" si="12"/>
        <v>NO</v>
      </c>
      <c r="H78" s="4" t="str">
        <f t="shared" si="13"/>
        <v>NO</v>
      </c>
      <c r="I78" t="s">
        <v>1070</v>
      </c>
      <c r="J78" t="s">
        <v>320</v>
      </c>
      <c r="M78" t="str">
        <f t="shared" si="14"/>
        <v>antennapoleshapetype</v>
      </c>
      <c r="N78" t="s">
        <v>845</v>
      </c>
      <c r="O78" t="s">
        <v>728</v>
      </c>
      <c r="P78" t="s">
        <v>248</v>
      </c>
      <c r="T78" t="str">
        <f t="shared" si="15"/>
        <v>antennainnergirtsize</v>
      </c>
      <c r="U78" t="s">
        <v>844</v>
      </c>
      <c r="V78" t="s">
        <v>768</v>
      </c>
      <c r="W78" t="s">
        <v>766</v>
      </c>
    </row>
    <row r="79" spans="1:23" x14ac:dyDescent="0.25">
      <c r="A79" t="s">
        <v>846</v>
      </c>
      <c r="B79" s="2" t="s">
        <v>248</v>
      </c>
      <c r="C79" s="3" t="str">
        <f t="shared" si="8"/>
        <v>antennapolesize</v>
      </c>
      <c r="D79" s="4">
        <f t="shared" si="9"/>
        <v>130</v>
      </c>
      <c r="E79" t="str">
        <f t="shared" si="10"/>
        <v>AntennaRedundantHipDiagonalMatlGrade</v>
      </c>
      <c r="F79" s="4" t="str">
        <f t="shared" si="11"/>
        <v>NO</v>
      </c>
      <c r="G79" s="4" t="str">
        <f t="shared" si="12"/>
        <v>NO</v>
      </c>
      <c r="H79" s="4" t="str">
        <f t="shared" si="13"/>
        <v>NO</v>
      </c>
      <c r="I79" t="s">
        <v>1071</v>
      </c>
      <c r="M79" t="str">
        <f t="shared" si="14"/>
        <v>antennapolesize</v>
      </c>
      <c r="N79" t="s">
        <v>846</v>
      </c>
      <c r="O79" t="s">
        <v>726</v>
      </c>
      <c r="P79" t="s">
        <v>248</v>
      </c>
      <c r="T79" t="str">
        <f t="shared" si="15"/>
        <v>antennapoleshapetype</v>
      </c>
      <c r="U79" t="s">
        <v>845</v>
      </c>
      <c r="V79" t="s">
        <v>768</v>
      </c>
      <c r="W79" t="s">
        <v>766</v>
      </c>
    </row>
    <row r="80" spans="1:23" x14ac:dyDescent="0.25">
      <c r="A80" t="s">
        <v>847</v>
      </c>
      <c r="B80" s="2" t="s">
        <v>248</v>
      </c>
      <c r="C80" s="3" t="str">
        <f t="shared" si="8"/>
        <v>antennapolegrade</v>
      </c>
      <c r="D80" s="4">
        <f t="shared" si="9"/>
        <v>131</v>
      </c>
      <c r="E80" t="str">
        <f t="shared" si="10"/>
        <v>AntennaRedundantHipDiagonalGrade2</v>
      </c>
      <c r="F80" s="4" t="str">
        <f t="shared" si="11"/>
        <v>NO</v>
      </c>
      <c r="G80" s="4" t="str">
        <f t="shared" si="12"/>
        <v>NO</v>
      </c>
      <c r="H80" s="4" t="str">
        <f t="shared" si="13"/>
        <v>NO</v>
      </c>
      <c r="I80" t="s">
        <v>1072</v>
      </c>
      <c r="J80">
        <v>36</v>
      </c>
      <c r="M80" t="str">
        <f t="shared" si="14"/>
        <v>antennapolegrade</v>
      </c>
      <c r="N80" t="s">
        <v>847</v>
      </c>
      <c r="O80" t="s">
        <v>727</v>
      </c>
      <c r="P80" t="s">
        <v>723</v>
      </c>
      <c r="Q80" t="s">
        <v>248</v>
      </c>
      <c r="T80" t="str">
        <f t="shared" si="15"/>
        <v>antennapolesize</v>
      </c>
      <c r="U80" t="s">
        <v>846</v>
      </c>
      <c r="V80" t="s">
        <v>768</v>
      </c>
      <c r="W80" t="s">
        <v>766</v>
      </c>
    </row>
    <row r="81" spans="1:23" x14ac:dyDescent="0.25">
      <c r="A81" t="s">
        <v>848</v>
      </c>
      <c r="B81" s="2" t="s">
        <v>273</v>
      </c>
      <c r="C81" s="3" t="str">
        <f t="shared" si="8"/>
        <v>antennapolematlgrade</v>
      </c>
      <c r="D81" s="4">
        <f t="shared" si="9"/>
        <v>132</v>
      </c>
      <c r="E81" t="str">
        <f t="shared" si="10"/>
        <v>AntennaRedundantHipDiagonalMatlGrade2</v>
      </c>
      <c r="F81" s="4" t="str">
        <f t="shared" si="11"/>
        <v>NO</v>
      </c>
      <c r="G81" s="4" t="str">
        <f t="shared" si="12"/>
        <v>NO</v>
      </c>
      <c r="H81" s="4" t="str">
        <f t="shared" si="13"/>
        <v>NO</v>
      </c>
      <c r="I81" t="s">
        <v>1073</v>
      </c>
      <c r="J81">
        <v>36</v>
      </c>
      <c r="M81" t="str">
        <f t="shared" si="14"/>
        <v>antennapolematlgrade</v>
      </c>
      <c r="N81" t="s">
        <v>848</v>
      </c>
      <c r="O81" t="s">
        <v>728</v>
      </c>
      <c r="P81" t="s">
        <v>248</v>
      </c>
      <c r="T81" t="str">
        <f t="shared" si="15"/>
        <v>antennapolegrade</v>
      </c>
      <c r="U81" t="s">
        <v>847</v>
      </c>
      <c r="V81" t="s">
        <v>767</v>
      </c>
      <c r="W81" t="s">
        <v>766</v>
      </c>
    </row>
    <row r="82" spans="1:23" x14ac:dyDescent="0.25">
      <c r="A82" t="s">
        <v>849</v>
      </c>
      <c r="B82" s="2" t="s">
        <v>251</v>
      </c>
      <c r="C82" s="3" t="str">
        <f t="shared" si="8"/>
        <v>antennapolesplicelength</v>
      </c>
      <c r="D82" s="4">
        <f t="shared" si="9"/>
        <v>133</v>
      </c>
      <c r="E82" t="str">
        <f t="shared" si="10"/>
        <v>AntennaRedundantHipDiagonalGrade3</v>
      </c>
      <c r="F82" s="4" t="str">
        <f t="shared" si="11"/>
        <v>NO</v>
      </c>
      <c r="G82" s="4" t="str">
        <f t="shared" si="12"/>
        <v>NO</v>
      </c>
      <c r="H82" s="4" t="str">
        <f t="shared" si="13"/>
        <v>NO</v>
      </c>
      <c r="I82" t="s">
        <v>1074</v>
      </c>
      <c r="J82" t="s">
        <v>320</v>
      </c>
      <c r="M82" t="str">
        <f t="shared" si="14"/>
        <v>antennapolesplicelength</v>
      </c>
      <c r="N82" t="s">
        <v>849</v>
      </c>
      <c r="O82" t="s">
        <v>727</v>
      </c>
      <c r="P82" t="s">
        <v>723</v>
      </c>
      <c r="Q82" t="s">
        <v>248</v>
      </c>
      <c r="T82" t="str">
        <f t="shared" si="15"/>
        <v>antennapolematlgrade</v>
      </c>
      <c r="U82" t="s">
        <v>848</v>
      </c>
      <c r="V82" t="s">
        <v>769</v>
      </c>
      <c r="W82" t="s">
        <v>766</v>
      </c>
    </row>
    <row r="83" spans="1:23" x14ac:dyDescent="0.25">
      <c r="A83" t="s">
        <v>850</v>
      </c>
      <c r="B83" s="2" t="s">
        <v>256</v>
      </c>
      <c r="C83" s="3" t="str">
        <f t="shared" si="8"/>
        <v>antennataperpolenumsides</v>
      </c>
      <c r="D83" s="4">
        <f t="shared" si="9"/>
        <v>134</v>
      </c>
      <c r="E83" t="str">
        <f t="shared" si="10"/>
        <v>AntennaRedundantHipDiagonalMatlGrade3</v>
      </c>
      <c r="F83" s="4" t="str">
        <f t="shared" si="11"/>
        <v>NO</v>
      </c>
      <c r="G83" s="4" t="str">
        <f t="shared" si="12"/>
        <v>NO</v>
      </c>
      <c r="H83" s="4" t="str">
        <f t="shared" si="13"/>
        <v>NO</v>
      </c>
      <c r="I83" t="s">
        <v>1075</v>
      </c>
      <c r="M83" t="str">
        <f t="shared" si="14"/>
        <v>antennataperpolenumsides</v>
      </c>
      <c r="N83" t="s">
        <v>850</v>
      </c>
      <c r="O83" t="s">
        <v>724</v>
      </c>
      <c r="P83" t="s">
        <v>248</v>
      </c>
      <c r="T83" t="str">
        <f t="shared" si="15"/>
        <v>antennapolesplicelength</v>
      </c>
      <c r="U83" t="s">
        <v>849</v>
      </c>
      <c r="V83" t="s">
        <v>767</v>
      </c>
      <c r="W83" t="s">
        <v>766</v>
      </c>
    </row>
    <row r="84" spans="1:23" x14ac:dyDescent="0.25">
      <c r="A84" t="s">
        <v>851</v>
      </c>
      <c r="B84" s="2" t="s">
        <v>255</v>
      </c>
      <c r="C84" s="3" t="str">
        <f t="shared" si="8"/>
        <v>antennataperpoletopdiameter</v>
      </c>
      <c r="D84" s="4">
        <f t="shared" si="9"/>
        <v>135</v>
      </c>
      <c r="E84" t="str">
        <f t="shared" si="10"/>
        <v>AntennaRedundantHipDiagonalGrade4</v>
      </c>
      <c r="F84" s="4" t="str">
        <f t="shared" si="11"/>
        <v>NO</v>
      </c>
      <c r="G84" s="4" t="str">
        <f t="shared" si="12"/>
        <v>NO</v>
      </c>
      <c r="H84" s="4" t="str">
        <f t="shared" si="13"/>
        <v>NO</v>
      </c>
      <c r="I84" t="s">
        <v>1076</v>
      </c>
      <c r="J84">
        <v>36</v>
      </c>
      <c r="M84" t="str">
        <f t="shared" si="14"/>
        <v>antennataperpoletopdiameter</v>
      </c>
      <c r="N84" t="s">
        <v>851</v>
      </c>
      <c r="O84" t="s">
        <v>727</v>
      </c>
      <c r="P84" t="s">
        <v>723</v>
      </c>
      <c r="Q84" t="s">
        <v>248</v>
      </c>
      <c r="T84" t="str">
        <f t="shared" si="15"/>
        <v>antennataperpolenumsides</v>
      </c>
      <c r="U84" t="s">
        <v>850</v>
      </c>
      <c r="V84" t="s">
        <v>767</v>
      </c>
      <c r="W84" t="s">
        <v>766</v>
      </c>
    </row>
    <row r="85" spans="1:23" x14ac:dyDescent="0.25">
      <c r="A85" t="s">
        <v>852</v>
      </c>
      <c r="B85" s="2" t="s">
        <v>254</v>
      </c>
      <c r="C85" s="3" t="str">
        <f t="shared" si="8"/>
        <v>antennataperpolebotdiameter</v>
      </c>
      <c r="D85" s="4">
        <f t="shared" si="9"/>
        <v>136</v>
      </c>
      <c r="E85" t="str">
        <f t="shared" si="10"/>
        <v>AntennaRedundantHipDiagonalMatlGrade4</v>
      </c>
      <c r="F85" s="4" t="str">
        <f t="shared" si="11"/>
        <v>NO</v>
      </c>
      <c r="G85" s="4" t="str">
        <f t="shared" si="12"/>
        <v>NO</v>
      </c>
      <c r="H85" s="4" t="str">
        <f t="shared" si="13"/>
        <v>NO</v>
      </c>
      <c r="I85" t="s">
        <v>1077</v>
      </c>
      <c r="J85">
        <v>36</v>
      </c>
      <c r="M85" t="str">
        <f t="shared" si="14"/>
        <v>antennataperpolebotdiameter</v>
      </c>
      <c r="N85" t="s">
        <v>852</v>
      </c>
      <c r="O85" t="s">
        <v>727</v>
      </c>
      <c r="P85" t="s">
        <v>723</v>
      </c>
      <c r="Q85" t="s">
        <v>248</v>
      </c>
      <c r="T85" t="str">
        <f t="shared" si="15"/>
        <v>antennataperpoletopdiameter</v>
      </c>
      <c r="U85" t="s">
        <v>851</v>
      </c>
      <c r="V85" t="s">
        <v>767</v>
      </c>
      <c r="W85" t="s">
        <v>766</v>
      </c>
    </row>
    <row r="86" spans="1:23" hidden="1" x14ac:dyDescent="0.25">
      <c r="A86" t="s">
        <v>853</v>
      </c>
      <c r="B86" s="2" t="s">
        <v>274</v>
      </c>
      <c r="C86" s="3" t="str">
        <f t="shared" si="8"/>
        <v>antennataperpolewallthickness</v>
      </c>
      <c r="D86" s="4">
        <f t="shared" si="9"/>
        <v>137</v>
      </c>
      <c r="E86" t="str">
        <f t="shared" si="10"/>
        <v>AntennaRedundantType</v>
      </c>
      <c r="F86" s="4" t="str">
        <f t="shared" si="11"/>
        <v>YES</v>
      </c>
      <c r="G86" s="4" t="str">
        <f t="shared" si="12"/>
        <v>YES</v>
      </c>
      <c r="H86" s="4" t="str">
        <f t="shared" si="13"/>
        <v>YES</v>
      </c>
      <c r="I86" t="s">
        <v>815</v>
      </c>
      <c r="J86" t="s">
        <v>320</v>
      </c>
      <c r="M86" t="str">
        <f t="shared" si="14"/>
        <v>antennataperpolewallthickness</v>
      </c>
      <c r="N86" t="s">
        <v>853</v>
      </c>
      <c r="O86" t="s">
        <v>727</v>
      </c>
      <c r="P86" t="s">
        <v>723</v>
      </c>
      <c r="Q86" t="s">
        <v>248</v>
      </c>
      <c r="T86" t="str">
        <f t="shared" si="15"/>
        <v>antennataperpolebotdiameter</v>
      </c>
      <c r="U86" t="s">
        <v>852</v>
      </c>
      <c r="V86" t="s">
        <v>767</v>
      </c>
      <c r="W86" t="s">
        <v>766</v>
      </c>
    </row>
    <row r="87" spans="1:23" x14ac:dyDescent="0.25">
      <c r="A87" t="s">
        <v>854</v>
      </c>
      <c r="B87" s="2" t="s">
        <v>275</v>
      </c>
      <c r="C87" s="3" t="str">
        <f t="shared" si="8"/>
        <v>antennataperpolebendradius</v>
      </c>
      <c r="D87" s="4">
        <f t="shared" si="9"/>
        <v>138</v>
      </c>
      <c r="E87" t="str">
        <f t="shared" si="10"/>
        <v>AntennaRedundantHorizontalType</v>
      </c>
      <c r="F87" s="4" t="str">
        <f t="shared" si="11"/>
        <v>NO</v>
      </c>
      <c r="G87" s="4" t="str">
        <f t="shared" si="12"/>
        <v>NO</v>
      </c>
      <c r="H87" s="4" t="str">
        <f t="shared" si="13"/>
        <v>NO</v>
      </c>
      <c r="I87" t="s">
        <v>1079</v>
      </c>
      <c r="M87" t="str">
        <f t="shared" si="14"/>
        <v>antennataperpolebendradius</v>
      </c>
      <c r="N87" t="s">
        <v>854</v>
      </c>
      <c r="O87" t="s">
        <v>727</v>
      </c>
      <c r="P87" t="s">
        <v>723</v>
      </c>
      <c r="Q87" t="s">
        <v>248</v>
      </c>
      <c r="T87" t="str">
        <f t="shared" si="15"/>
        <v>antennataperpolewallthickness</v>
      </c>
      <c r="U87" t="s">
        <v>853</v>
      </c>
      <c r="V87" t="s">
        <v>767</v>
      </c>
      <c r="W87" t="s">
        <v>766</v>
      </c>
    </row>
    <row r="88" spans="1:23" x14ac:dyDescent="0.25">
      <c r="A88" t="s">
        <v>855</v>
      </c>
      <c r="B88" s="2" t="s">
        <v>263</v>
      </c>
      <c r="C88" s="3" t="str">
        <f t="shared" si="8"/>
        <v>antennataperpolegrade</v>
      </c>
      <c r="D88" s="4">
        <f t="shared" si="9"/>
        <v>139</v>
      </c>
      <c r="E88" t="str">
        <f t="shared" si="10"/>
        <v>AntennaRedundantHorizontalType2</v>
      </c>
      <c r="F88" s="4" t="str">
        <f t="shared" si="11"/>
        <v>NO</v>
      </c>
      <c r="G88" s="4" t="str">
        <f t="shared" si="12"/>
        <v>NO</v>
      </c>
      <c r="H88" s="4" t="str">
        <f t="shared" si="13"/>
        <v>NO</v>
      </c>
      <c r="I88" t="s">
        <v>1080</v>
      </c>
      <c r="J88">
        <v>36</v>
      </c>
      <c r="M88" t="str">
        <f t="shared" si="14"/>
        <v>antennataperpolegrade</v>
      </c>
      <c r="N88" t="s">
        <v>855</v>
      </c>
      <c r="O88" t="s">
        <v>727</v>
      </c>
      <c r="P88" t="s">
        <v>723</v>
      </c>
      <c r="Q88" t="s">
        <v>248</v>
      </c>
      <c r="T88" t="str">
        <f t="shared" si="15"/>
        <v>antennataperpolebendradius</v>
      </c>
      <c r="U88" t="s">
        <v>854</v>
      </c>
      <c r="V88" t="s">
        <v>767</v>
      </c>
      <c r="W88" t="s">
        <v>766</v>
      </c>
    </row>
    <row r="89" spans="1:23" x14ac:dyDescent="0.25">
      <c r="A89" t="s">
        <v>856</v>
      </c>
      <c r="B89" s="2" t="s">
        <v>264</v>
      </c>
      <c r="C89" s="3" t="str">
        <f t="shared" si="8"/>
        <v>antennataperpolematlgrade</v>
      </c>
      <c r="D89" s="4">
        <f t="shared" si="9"/>
        <v>140</v>
      </c>
      <c r="E89" t="str">
        <f t="shared" si="10"/>
        <v>AntennaRedundantHorizontalType3</v>
      </c>
      <c r="F89" s="4" t="str">
        <f t="shared" si="11"/>
        <v>NO</v>
      </c>
      <c r="G89" s="4" t="str">
        <f t="shared" si="12"/>
        <v>NO</v>
      </c>
      <c r="H89" s="4" t="str">
        <f t="shared" si="13"/>
        <v>NO</v>
      </c>
      <c r="I89" t="s">
        <v>1081</v>
      </c>
      <c r="J89">
        <v>36</v>
      </c>
      <c r="M89" t="str">
        <f t="shared" si="14"/>
        <v>antennataperpolematlgrade</v>
      </c>
      <c r="N89" t="s">
        <v>856</v>
      </c>
      <c r="O89" t="s">
        <v>728</v>
      </c>
      <c r="P89" t="s">
        <v>248</v>
      </c>
      <c r="T89" t="str">
        <f t="shared" si="15"/>
        <v>antennataperpolegrade</v>
      </c>
      <c r="U89" t="s">
        <v>855</v>
      </c>
      <c r="V89" t="s">
        <v>767</v>
      </c>
      <c r="W89" t="s">
        <v>766</v>
      </c>
    </row>
    <row r="90" spans="1:23" x14ac:dyDescent="0.25">
      <c r="A90" t="s">
        <v>857</v>
      </c>
      <c r="B90" s="2" t="s">
        <v>251</v>
      </c>
      <c r="C90" s="3" t="str">
        <f t="shared" si="8"/>
        <v>antennaswmult</v>
      </c>
      <c r="D90" s="4">
        <f t="shared" si="9"/>
        <v>141</v>
      </c>
      <c r="E90" t="str">
        <f t="shared" si="10"/>
        <v>AntennaRedundantHorizontalType4</v>
      </c>
      <c r="F90" s="4" t="str">
        <f t="shared" si="11"/>
        <v>NO</v>
      </c>
      <c r="G90" s="4" t="str">
        <f t="shared" si="12"/>
        <v>NO</v>
      </c>
      <c r="H90" s="4" t="str">
        <f t="shared" si="13"/>
        <v>NO</v>
      </c>
      <c r="I90" t="s">
        <v>1082</v>
      </c>
      <c r="J90" t="s">
        <v>320</v>
      </c>
      <c r="M90" t="str">
        <f t="shared" si="14"/>
        <v>antennaswmult</v>
      </c>
      <c r="N90" t="s">
        <v>857</v>
      </c>
      <c r="O90" t="s">
        <v>727</v>
      </c>
      <c r="P90" t="s">
        <v>723</v>
      </c>
      <c r="Q90" t="s">
        <v>248</v>
      </c>
      <c r="T90" t="str">
        <f t="shared" si="15"/>
        <v>antennataperpolematlgrade</v>
      </c>
      <c r="U90" t="s">
        <v>856</v>
      </c>
      <c r="V90" t="s">
        <v>769</v>
      </c>
      <c r="W90" t="s">
        <v>766</v>
      </c>
    </row>
    <row r="91" spans="1:23" hidden="1" x14ac:dyDescent="0.25">
      <c r="A91" t="s">
        <v>858</v>
      </c>
      <c r="B91" s="2" t="s">
        <v>276</v>
      </c>
      <c r="C91" s="3" t="str">
        <f t="shared" si="8"/>
        <v>antennawpmult</v>
      </c>
      <c r="D91" s="4">
        <f t="shared" si="9"/>
        <v>142</v>
      </c>
      <c r="E91" t="str">
        <f t="shared" si="10"/>
        <v>AntennaRedundantDiagType</v>
      </c>
      <c r="F91" s="4" t="str">
        <f t="shared" si="11"/>
        <v>YES</v>
      </c>
      <c r="G91" s="4" t="str">
        <f t="shared" si="12"/>
        <v>YES</v>
      </c>
      <c r="H91" s="4" t="str">
        <f t="shared" si="13"/>
        <v>YES</v>
      </c>
      <c r="I91" t="s">
        <v>816</v>
      </c>
      <c r="M91" t="str">
        <f t="shared" si="14"/>
        <v>antennawpmult</v>
      </c>
      <c r="N91" t="s">
        <v>858</v>
      </c>
      <c r="O91" t="s">
        <v>727</v>
      </c>
      <c r="P91" t="s">
        <v>723</v>
      </c>
      <c r="Q91" t="s">
        <v>248</v>
      </c>
      <c r="T91" t="str">
        <f t="shared" si="15"/>
        <v>antennaswmult</v>
      </c>
      <c r="U91" t="s">
        <v>857</v>
      </c>
      <c r="V91" t="s">
        <v>767</v>
      </c>
      <c r="W91" t="s">
        <v>766</v>
      </c>
    </row>
    <row r="92" spans="1:23" x14ac:dyDescent="0.25">
      <c r="A92" t="s">
        <v>859</v>
      </c>
      <c r="B92" s="2" t="s">
        <v>254</v>
      </c>
      <c r="C92" s="3" t="str">
        <f t="shared" si="8"/>
        <v>antennaautocalcksingleangle</v>
      </c>
      <c r="D92" s="4">
        <f t="shared" si="9"/>
        <v>143</v>
      </c>
      <c r="E92" t="str">
        <f t="shared" si="10"/>
        <v>AntennaRedundantDiagType2</v>
      </c>
      <c r="F92" s="4" t="str">
        <f t="shared" si="11"/>
        <v>NO</v>
      </c>
      <c r="G92" s="4" t="str">
        <f t="shared" si="12"/>
        <v>NO</v>
      </c>
      <c r="H92" s="4" t="str">
        <f t="shared" si="13"/>
        <v>NO</v>
      </c>
      <c r="I92" t="s">
        <v>1083</v>
      </c>
      <c r="J92">
        <v>36</v>
      </c>
      <c r="M92" t="str">
        <f t="shared" si="14"/>
        <v>antennaautocalcksingleangle</v>
      </c>
      <c r="N92" t="s">
        <v>859</v>
      </c>
      <c r="O92" t="s">
        <v>727</v>
      </c>
      <c r="P92" t="s">
        <v>723</v>
      </c>
      <c r="Q92" t="s">
        <v>248</v>
      </c>
      <c r="T92" t="str">
        <f t="shared" si="15"/>
        <v>antennawpmult</v>
      </c>
      <c r="U92" t="s">
        <v>858</v>
      </c>
      <c r="V92" t="s">
        <v>767</v>
      </c>
      <c r="W92" t="s">
        <v>766</v>
      </c>
    </row>
    <row r="93" spans="1:23" x14ac:dyDescent="0.25">
      <c r="A93" t="s">
        <v>860</v>
      </c>
      <c r="B93" s="2" t="s">
        <v>254</v>
      </c>
      <c r="C93" s="3" t="str">
        <f t="shared" si="8"/>
        <v>antennaautocalcksolidround</v>
      </c>
      <c r="D93" s="4">
        <f t="shared" si="9"/>
        <v>144</v>
      </c>
      <c r="E93" t="str">
        <f t="shared" si="10"/>
        <v>AntennaRedundantDiagType3</v>
      </c>
      <c r="F93" s="4" t="str">
        <f t="shared" si="11"/>
        <v>NO</v>
      </c>
      <c r="G93" s="4" t="str">
        <f t="shared" si="12"/>
        <v>NO</v>
      </c>
      <c r="H93" s="4" t="str">
        <f t="shared" si="13"/>
        <v>NO</v>
      </c>
      <c r="I93" t="s">
        <v>1084</v>
      </c>
      <c r="J93">
        <v>36</v>
      </c>
      <c r="M93" t="str">
        <f t="shared" si="14"/>
        <v>antennaautocalcksolidround</v>
      </c>
      <c r="N93" t="s">
        <v>860</v>
      </c>
      <c r="O93" t="s">
        <v>727</v>
      </c>
      <c r="P93" t="s">
        <v>723</v>
      </c>
      <c r="Q93" t="s">
        <v>248</v>
      </c>
      <c r="T93" t="str">
        <f t="shared" si="15"/>
        <v>antennaautocalcksingleangle</v>
      </c>
      <c r="U93" t="s">
        <v>859</v>
      </c>
      <c r="V93" t="s">
        <v>767</v>
      </c>
      <c r="W93" t="s">
        <v>766</v>
      </c>
    </row>
    <row r="94" spans="1:23" x14ac:dyDescent="0.25">
      <c r="A94" t="s">
        <v>861</v>
      </c>
      <c r="B94" s="2" t="s">
        <v>254</v>
      </c>
      <c r="C94" s="3" t="str">
        <f t="shared" si="8"/>
        <v>antennaafgusset</v>
      </c>
      <c r="D94" s="4">
        <f t="shared" si="9"/>
        <v>145</v>
      </c>
      <c r="E94" t="str">
        <f t="shared" si="10"/>
        <v>AntennaRedundantDiagType4</v>
      </c>
      <c r="F94" s="4" t="str">
        <f t="shared" si="11"/>
        <v>NO</v>
      </c>
      <c r="G94" s="4" t="str">
        <f t="shared" si="12"/>
        <v>NO</v>
      </c>
      <c r="H94" s="4" t="str">
        <f t="shared" si="13"/>
        <v>NO</v>
      </c>
      <c r="I94" t="s">
        <v>1085</v>
      </c>
      <c r="J94" t="s">
        <v>320</v>
      </c>
      <c r="M94" t="str">
        <f t="shared" si="14"/>
        <v>antennaafgusset</v>
      </c>
      <c r="N94" t="s">
        <v>861</v>
      </c>
      <c r="O94" t="s">
        <v>727</v>
      </c>
      <c r="P94" t="s">
        <v>723</v>
      </c>
      <c r="Q94" t="s">
        <v>248</v>
      </c>
      <c r="T94" t="str">
        <f t="shared" si="15"/>
        <v>antennaautocalcksolidround</v>
      </c>
      <c r="U94" t="s">
        <v>860</v>
      </c>
      <c r="V94" t="s">
        <v>767</v>
      </c>
      <c r="W94" t="s">
        <v>766</v>
      </c>
    </row>
    <row r="95" spans="1:23" hidden="1" x14ac:dyDescent="0.25">
      <c r="A95" t="s">
        <v>862</v>
      </c>
      <c r="B95" s="2" t="s">
        <v>254</v>
      </c>
      <c r="C95" s="3" t="str">
        <f t="shared" si="8"/>
        <v>antennatfgusset</v>
      </c>
      <c r="D95" s="4">
        <f t="shared" si="9"/>
        <v>146</v>
      </c>
      <c r="E95" t="str">
        <f t="shared" si="10"/>
        <v>AntennaRedundantSubDiagonalType</v>
      </c>
      <c r="F95" s="4" t="str">
        <f t="shared" si="11"/>
        <v>YES</v>
      </c>
      <c r="G95" s="4" t="str">
        <f t="shared" si="12"/>
        <v>YES</v>
      </c>
      <c r="H95" s="4" t="str">
        <f t="shared" si="13"/>
        <v>YES</v>
      </c>
      <c r="I95" t="s">
        <v>817</v>
      </c>
      <c r="M95" t="str">
        <f t="shared" si="14"/>
        <v>antennatfgusset</v>
      </c>
      <c r="N95" t="s">
        <v>862</v>
      </c>
      <c r="O95" t="s">
        <v>727</v>
      </c>
      <c r="P95" t="s">
        <v>723</v>
      </c>
      <c r="Q95" t="s">
        <v>248</v>
      </c>
      <c r="T95" t="str">
        <f t="shared" si="15"/>
        <v>antennaafgusset</v>
      </c>
      <c r="U95" t="s">
        <v>861</v>
      </c>
      <c r="V95" t="s">
        <v>767</v>
      </c>
      <c r="W95" t="s">
        <v>766</v>
      </c>
    </row>
    <row r="96" spans="1:23" hidden="1" x14ac:dyDescent="0.25">
      <c r="A96" t="s">
        <v>863</v>
      </c>
      <c r="B96" s="2" t="s">
        <v>254</v>
      </c>
      <c r="C96" s="3" t="str">
        <f t="shared" si="8"/>
        <v>antennagussetboltedgedistance</v>
      </c>
      <c r="D96" s="4">
        <f t="shared" si="9"/>
        <v>147</v>
      </c>
      <c r="E96" t="str">
        <f t="shared" si="10"/>
        <v>AntennaRedundantSubHorizontalType</v>
      </c>
      <c r="F96" s="4" t="str">
        <f t="shared" si="11"/>
        <v>YES</v>
      </c>
      <c r="G96" s="4" t="str">
        <f t="shared" si="12"/>
        <v>YES</v>
      </c>
      <c r="H96" s="4" t="str">
        <f t="shared" si="13"/>
        <v>YES</v>
      </c>
      <c r="I96" t="s">
        <v>818</v>
      </c>
      <c r="J96">
        <v>36</v>
      </c>
      <c r="M96" t="str">
        <f t="shared" si="14"/>
        <v>antennagussetboltedgedistance</v>
      </c>
      <c r="N96" t="s">
        <v>863</v>
      </c>
      <c r="O96" t="s">
        <v>727</v>
      </c>
      <c r="P96" t="s">
        <v>723</v>
      </c>
      <c r="Q96" t="s">
        <v>248</v>
      </c>
      <c r="T96" t="str">
        <f t="shared" si="15"/>
        <v>antennatfgusset</v>
      </c>
      <c r="U96" t="s">
        <v>862</v>
      </c>
      <c r="V96" t="s">
        <v>767</v>
      </c>
      <c r="W96" t="s">
        <v>766</v>
      </c>
    </row>
    <row r="97" spans="1:23" hidden="1" x14ac:dyDescent="0.25">
      <c r="A97" t="s">
        <v>864</v>
      </c>
      <c r="B97" s="2" t="s">
        <v>254</v>
      </c>
      <c r="C97" s="3" t="str">
        <f t="shared" si="8"/>
        <v>antennagussetgrade</v>
      </c>
      <c r="D97" s="4">
        <f t="shared" si="9"/>
        <v>148</v>
      </c>
      <c r="E97" t="str">
        <f t="shared" si="10"/>
        <v>AntennaRedundantVerticalType</v>
      </c>
      <c r="F97" s="4" t="str">
        <f t="shared" si="11"/>
        <v>YES</v>
      </c>
      <c r="G97" s="4" t="str">
        <f t="shared" si="12"/>
        <v>YES</v>
      </c>
      <c r="H97" s="4" t="str">
        <f t="shared" si="13"/>
        <v>YES</v>
      </c>
      <c r="I97" t="s">
        <v>819</v>
      </c>
      <c r="J97">
        <v>36</v>
      </c>
      <c r="M97" t="str">
        <f t="shared" si="14"/>
        <v>antennagussetgrade</v>
      </c>
      <c r="N97" t="s">
        <v>864</v>
      </c>
      <c r="O97" t="s">
        <v>727</v>
      </c>
      <c r="P97" t="s">
        <v>723</v>
      </c>
      <c r="Q97" t="s">
        <v>248</v>
      </c>
      <c r="T97" t="str">
        <f t="shared" si="15"/>
        <v>antennagussetboltedgedistance</v>
      </c>
      <c r="U97" t="s">
        <v>863</v>
      </c>
      <c r="V97" t="s">
        <v>767</v>
      </c>
      <c r="W97" t="s">
        <v>766</v>
      </c>
    </row>
    <row r="98" spans="1:23" hidden="1" x14ac:dyDescent="0.25">
      <c r="A98" t="s">
        <v>865</v>
      </c>
      <c r="B98" s="2" t="s">
        <v>254</v>
      </c>
      <c r="C98" s="3" t="str">
        <f t="shared" si="8"/>
        <v>antennagussetmatlgrade</v>
      </c>
      <c r="D98" s="4">
        <f t="shared" si="9"/>
        <v>149</v>
      </c>
      <c r="E98" t="str">
        <f t="shared" si="10"/>
        <v>AntennaRedundantHipType</v>
      </c>
      <c r="F98" s="4" t="str">
        <f t="shared" si="11"/>
        <v>YES</v>
      </c>
      <c r="G98" s="4" t="str">
        <f t="shared" si="12"/>
        <v>YES</v>
      </c>
      <c r="H98" s="4" t="str">
        <f t="shared" si="13"/>
        <v>YES</v>
      </c>
      <c r="I98" t="s">
        <v>820</v>
      </c>
      <c r="J98" t="s">
        <v>320</v>
      </c>
      <c r="M98" t="str">
        <f t="shared" si="14"/>
        <v>antennagussetmatlgrade</v>
      </c>
      <c r="N98" t="s">
        <v>865</v>
      </c>
      <c r="O98" t="s">
        <v>728</v>
      </c>
      <c r="P98" t="s">
        <v>248</v>
      </c>
      <c r="T98" t="str">
        <f t="shared" si="15"/>
        <v>antennagussetgrade</v>
      </c>
      <c r="U98" t="s">
        <v>864</v>
      </c>
      <c r="V98" t="s">
        <v>767</v>
      </c>
      <c r="W98" t="s">
        <v>766</v>
      </c>
    </row>
    <row r="99" spans="1:23" x14ac:dyDescent="0.25">
      <c r="A99" t="s">
        <v>866</v>
      </c>
      <c r="B99" s="2" t="s">
        <v>254</v>
      </c>
      <c r="C99" s="3" t="str">
        <f t="shared" si="8"/>
        <v>antennaafmult</v>
      </c>
      <c r="D99" s="4">
        <f t="shared" si="9"/>
        <v>150</v>
      </c>
      <c r="E99" t="str">
        <f t="shared" si="10"/>
        <v>AntennaRedundantHipType2</v>
      </c>
      <c r="F99" s="4" t="str">
        <f t="shared" si="11"/>
        <v>NO</v>
      </c>
      <c r="G99" s="4" t="str">
        <f t="shared" si="12"/>
        <v>NO</v>
      </c>
      <c r="H99" s="4" t="str">
        <f t="shared" si="13"/>
        <v>NO</v>
      </c>
      <c r="I99" t="s">
        <v>1086</v>
      </c>
      <c r="M99" t="str">
        <f t="shared" si="14"/>
        <v>antennaafmult</v>
      </c>
      <c r="N99" t="s">
        <v>866</v>
      </c>
      <c r="O99" t="s">
        <v>727</v>
      </c>
      <c r="P99" t="s">
        <v>723</v>
      </c>
      <c r="Q99" t="s">
        <v>248</v>
      </c>
      <c r="T99" t="str">
        <f t="shared" si="15"/>
        <v>antennagussetmatlgrade</v>
      </c>
      <c r="U99" t="s">
        <v>865</v>
      </c>
      <c r="V99" t="s">
        <v>769</v>
      </c>
      <c r="W99" t="s">
        <v>766</v>
      </c>
    </row>
    <row r="100" spans="1:23" x14ac:dyDescent="0.25">
      <c r="A100" t="s">
        <v>867</v>
      </c>
      <c r="B100" s="2" t="s">
        <v>251</v>
      </c>
      <c r="C100" s="3" t="str">
        <f t="shared" si="8"/>
        <v>antennaarmult</v>
      </c>
      <c r="D100" s="4">
        <f t="shared" si="9"/>
        <v>151</v>
      </c>
      <c r="E100" t="str">
        <f t="shared" si="10"/>
        <v>AntennaRedundantHipType3</v>
      </c>
      <c r="F100" s="4" t="str">
        <f t="shared" si="11"/>
        <v>NO</v>
      </c>
      <c r="G100" s="4" t="str">
        <f t="shared" si="12"/>
        <v>NO</v>
      </c>
      <c r="H100" s="4" t="str">
        <f t="shared" si="13"/>
        <v>NO</v>
      </c>
      <c r="I100" t="s">
        <v>1087</v>
      </c>
      <c r="J100">
        <v>36</v>
      </c>
      <c r="M100" t="str">
        <f t="shared" si="14"/>
        <v>antennaarmult</v>
      </c>
      <c r="N100" t="s">
        <v>867</v>
      </c>
      <c r="O100" t="s">
        <v>727</v>
      </c>
      <c r="P100" t="s">
        <v>723</v>
      </c>
      <c r="Q100" t="s">
        <v>248</v>
      </c>
      <c r="T100" t="str">
        <f t="shared" si="15"/>
        <v>antennaafmult</v>
      </c>
      <c r="U100" t="s">
        <v>866</v>
      </c>
      <c r="V100" t="s">
        <v>767</v>
      </c>
      <c r="W100" t="s">
        <v>766</v>
      </c>
    </row>
    <row r="101" spans="1:23" x14ac:dyDescent="0.25">
      <c r="A101" t="s">
        <v>868</v>
      </c>
      <c r="B101" s="2" t="s">
        <v>251</v>
      </c>
      <c r="C101" s="3" t="str">
        <f t="shared" si="8"/>
        <v>antennaflatipapole</v>
      </c>
      <c r="D101" s="4">
        <f t="shared" si="9"/>
        <v>152</v>
      </c>
      <c r="E101" t="str">
        <f t="shared" si="10"/>
        <v>AntennaRedundantHipType4</v>
      </c>
      <c r="F101" s="4" t="str">
        <f t="shared" si="11"/>
        <v>NO</v>
      </c>
      <c r="G101" s="4" t="str">
        <f t="shared" si="12"/>
        <v>NO</v>
      </c>
      <c r="H101" s="4" t="str">
        <f t="shared" si="13"/>
        <v>NO</v>
      </c>
      <c r="I101" t="s">
        <v>1088</v>
      </c>
      <c r="J101">
        <v>36</v>
      </c>
      <c r="M101" t="str">
        <f t="shared" si="14"/>
        <v>antennaflatipapole</v>
      </c>
      <c r="N101" t="s">
        <v>868</v>
      </c>
      <c r="O101" t="s">
        <v>727</v>
      </c>
      <c r="P101" t="s">
        <v>723</v>
      </c>
      <c r="Q101" t="s">
        <v>248</v>
      </c>
      <c r="T101" t="str">
        <f t="shared" si="15"/>
        <v>antennaarmult</v>
      </c>
      <c r="U101" t="s">
        <v>867</v>
      </c>
      <c r="V101" t="s">
        <v>767</v>
      </c>
      <c r="W101" t="s">
        <v>766</v>
      </c>
    </row>
    <row r="102" spans="1:23" hidden="1" x14ac:dyDescent="0.25">
      <c r="A102" t="s">
        <v>869</v>
      </c>
      <c r="B102" s="2" t="s">
        <v>251</v>
      </c>
      <c r="C102" s="3" t="str">
        <f t="shared" si="8"/>
        <v>antennaroundipapole</v>
      </c>
      <c r="D102" s="4">
        <f t="shared" si="9"/>
        <v>153</v>
      </c>
      <c r="E102" t="str">
        <f t="shared" si="10"/>
        <v>AntennaRedundantHipDiagonalType</v>
      </c>
      <c r="F102" s="4" t="str">
        <f t="shared" si="11"/>
        <v>YES</v>
      </c>
      <c r="G102" s="4" t="str">
        <f t="shared" si="12"/>
        <v>YES</v>
      </c>
      <c r="H102" s="4" t="str">
        <f t="shared" si="13"/>
        <v>YES</v>
      </c>
      <c r="I102" t="s">
        <v>821</v>
      </c>
      <c r="J102" t="s">
        <v>320</v>
      </c>
      <c r="M102" t="str">
        <f t="shared" si="14"/>
        <v>antennaroundipapole</v>
      </c>
      <c r="N102" t="s">
        <v>869</v>
      </c>
      <c r="O102" t="s">
        <v>727</v>
      </c>
      <c r="P102" t="s">
        <v>723</v>
      </c>
      <c r="Q102" t="s">
        <v>248</v>
      </c>
      <c r="T102" t="str">
        <f t="shared" si="15"/>
        <v>antennaflatipapole</v>
      </c>
      <c r="U102" t="s">
        <v>868</v>
      </c>
      <c r="V102" t="s">
        <v>767</v>
      </c>
      <c r="W102" t="s">
        <v>766</v>
      </c>
    </row>
    <row r="103" spans="1:23" x14ac:dyDescent="0.25">
      <c r="A103" t="s">
        <v>870</v>
      </c>
      <c r="B103" s="2" t="s">
        <v>251</v>
      </c>
      <c r="C103" s="3" t="str">
        <f t="shared" si="8"/>
        <v>antennaflatipaleg</v>
      </c>
      <c r="D103" s="4">
        <f t="shared" si="9"/>
        <v>154</v>
      </c>
      <c r="E103" t="str">
        <f t="shared" si="10"/>
        <v>AntennaRedundantHipDiagonalType2</v>
      </c>
      <c r="F103" s="4" t="str">
        <f t="shared" si="11"/>
        <v>NO</v>
      </c>
      <c r="G103" s="4" t="str">
        <f t="shared" si="12"/>
        <v>NO</v>
      </c>
      <c r="H103" s="4" t="str">
        <f t="shared" si="13"/>
        <v>NO</v>
      </c>
      <c r="I103" t="s">
        <v>1089</v>
      </c>
      <c r="M103" t="str">
        <f t="shared" si="14"/>
        <v>antennaflatipaleg</v>
      </c>
      <c r="N103" t="s">
        <v>870</v>
      </c>
      <c r="O103" t="s">
        <v>727</v>
      </c>
      <c r="P103" t="s">
        <v>723</v>
      </c>
      <c r="Q103" t="s">
        <v>248</v>
      </c>
      <c r="T103" t="str">
        <f t="shared" si="15"/>
        <v>antennaroundipapole</v>
      </c>
      <c r="U103" t="s">
        <v>869</v>
      </c>
      <c r="V103" t="s">
        <v>767</v>
      </c>
      <c r="W103" t="s">
        <v>766</v>
      </c>
    </row>
    <row r="104" spans="1:23" x14ac:dyDescent="0.25">
      <c r="A104" t="s">
        <v>871</v>
      </c>
      <c r="B104" s="2" t="s">
        <v>251</v>
      </c>
      <c r="C104" s="3" t="str">
        <f t="shared" si="8"/>
        <v>antennaroundipaleg</v>
      </c>
      <c r="D104" s="4">
        <f t="shared" si="9"/>
        <v>155</v>
      </c>
      <c r="E104" t="str">
        <f t="shared" si="10"/>
        <v>AntennaRedundantHipDiagonalType3</v>
      </c>
      <c r="F104" s="4" t="str">
        <f t="shared" si="11"/>
        <v>NO</v>
      </c>
      <c r="G104" s="4" t="str">
        <f t="shared" si="12"/>
        <v>NO</v>
      </c>
      <c r="H104" s="4" t="str">
        <f t="shared" si="13"/>
        <v>NO</v>
      </c>
      <c r="I104" t="s">
        <v>1090</v>
      </c>
      <c r="J104">
        <v>36</v>
      </c>
      <c r="M104" t="str">
        <f t="shared" si="14"/>
        <v>antennaroundipaleg</v>
      </c>
      <c r="N104" t="s">
        <v>871</v>
      </c>
      <c r="O104" t="s">
        <v>727</v>
      </c>
      <c r="P104" t="s">
        <v>723</v>
      </c>
      <c r="Q104" t="s">
        <v>248</v>
      </c>
      <c r="T104" t="str">
        <f t="shared" si="15"/>
        <v>antennaflatipaleg</v>
      </c>
      <c r="U104" t="s">
        <v>870</v>
      </c>
      <c r="V104" t="s">
        <v>767</v>
      </c>
      <c r="W104" t="s">
        <v>766</v>
      </c>
    </row>
    <row r="105" spans="1:23" x14ac:dyDescent="0.25">
      <c r="A105" t="s">
        <v>872</v>
      </c>
      <c r="B105" s="2" t="s">
        <v>251</v>
      </c>
      <c r="C105" s="3" t="str">
        <f t="shared" si="8"/>
        <v>antennaflatipahorizontal</v>
      </c>
      <c r="D105" s="4">
        <f t="shared" si="9"/>
        <v>156</v>
      </c>
      <c r="E105" t="str">
        <f t="shared" si="10"/>
        <v>AntennaRedundantHipDiagonalType4</v>
      </c>
      <c r="F105" s="4" t="str">
        <f t="shared" si="11"/>
        <v>NO</v>
      </c>
      <c r="G105" s="4" t="str">
        <f t="shared" si="12"/>
        <v>NO</v>
      </c>
      <c r="H105" s="4" t="str">
        <f t="shared" si="13"/>
        <v>NO</v>
      </c>
      <c r="I105" t="s">
        <v>1091</v>
      </c>
      <c r="J105">
        <v>36</v>
      </c>
      <c r="M105" t="str">
        <f t="shared" si="14"/>
        <v>antennaflatipahorizontal</v>
      </c>
      <c r="N105" t="s">
        <v>872</v>
      </c>
      <c r="O105" t="s">
        <v>727</v>
      </c>
      <c r="P105" t="s">
        <v>723</v>
      </c>
      <c r="Q105" t="s">
        <v>248</v>
      </c>
      <c r="T105" t="str">
        <f t="shared" si="15"/>
        <v>antennaroundipaleg</v>
      </c>
      <c r="U105" t="s">
        <v>871</v>
      </c>
      <c r="V105" t="s">
        <v>767</v>
      </c>
      <c r="W105" t="s">
        <v>766</v>
      </c>
    </row>
    <row r="106" spans="1:23" hidden="1" x14ac:dyDescent="0.25">
      <c r="A106" t="s">
        <v>873</v>
      </c>
      <c r="B106" s="2" t="s">
        <v>251</v>
      </c>
      <c r="C106" s="3" t="str">
        <f t="shared" si="8"/>
        <v>antennaroundipahorizontal</v>
      </c>
      <c r="D106" s="4">
        <f t="shared" si="9"/>
        <v>157</v>
      </c>
      <c r="E106" t="str">
        <f t="shared" si="10"/>
        <v>AntennaRedundantHorizontalSize</v>
      </c>
      <c r="F106" s="4" t="str">
        <f t="shared" si="11"/>
        <v>YES</v>
      </c>
      <c r="G106" s="4" t="str">
        <f t="shared" si="12"/>
        <v>YES</v>
      </c>
      <c r="H106" s="4" t="str">
        <f t="shared" si="13"/>
        <v>YES</v>
      </c>
      <c r="I106" t="s">
        <v>822</v>
      </c>
      <c r="J106" t="s">
        <v>320</v>
      </c>
      <c r="M106" t="str">
        <f t="shared" si="14"/>
        <v>antennaroundipahorizontal</v>
      </c>
      <c r="N106" t="s">
        <v>873</v>
      </c>
      <c r="O106" t="s">
        <v>727</v>
      </c>
      <c r="P106" t="s">
        <v>723</v>
      </c>
      <c r="Q106" t="s">
        <v>248</v>
      </c>
      <c r="T106" t="str">
        <f t="shared" si="15"/>
        <v>antennaflatipahorizontal</v>
      </c>
      <c r="U106" t="s">
        <v>872</v>
      </c>
      <c r="V106" t="s">
        <v>767</v>
      </c>
      <c r="W106" t="s">
        <v>766</v>
      </c>
    </row>
    <row r="107" spans="1:23" hidden="1" x14ac:dyDescent="0.25">
      <c r="A107" t="s">
        <v>874</v>
      </c>
      <c r="B107" s="2" t="s">
        <v>251</v>
      </c>
      <c r="C107" s="3" t="str">
        <f t="shared" si="8"/>
        <v>antennaflatipadiagonal</v>
      </c>
      <c r="D107" s="4">
        <f t="shared" si="9"/>
        <v>158</v>
      </c>
      <c r="E107" t="str">
        <f t="shared" si="10"/>
        <v>AntennaRedundantHorizontalSize2</v>
      </c>
      <c r="F107" s="4" t="str">
        <f t="shared" si="11"/>
        <v>YES</v>
      </c>
      <c r="G107" s="4" t="str">
        <f t="shared" si="12"/>
        <v>YES</v>
      </c>
      <c r="H107" s="4" t="str">
        <f t="shared" si="13"/>
        <v>YES</v>
      </c>
      <c r="I107" t="s">
        <v>823</v>
      </c>
      <c r="M107" t="str">
        <f t="shared" si="14"/>
        <v>antennaflatipadiagonal</v>
      </c>
      <c r="N107" t="s">
        <v>874</v>
      </c>
      <c r="O107" t="s">
        <v>727</v>
      </c>
      <c r="P107" t="s">
        <v>723</v>
      </c>
      <c r="Q107" t="s">
        <v>248</v>
      </c>
      <c r="T107" t="str">
        <f t="shared" si="15"/>
        <v>antennaroundipahorizontal</v>
      </c>
      <c r="U107" t="s">
        <v>873</v>
      </c>
      <c r="V107" t="s">
        <v>767</v>
      </c>
      <c r="W107" t="s">
        <v>766</v>
      </c>
    </row>
    <row r="108" spans="1:23" hidden="1" x14ac:dyDescent="0.25">
      <c r="A108" t="s">
        <v>875</v>
      </c>
      <c r="B108" s="2" t="s">
        <v>251</v>
      </c>
      <c r="C108" s="3" t="str">
        <f t="shared" si="8"/>
        <v>antennaroundipadiagonal</v>
      </c>
      <c r="D108" s="4">
        <f t="shared" si="9"/>
        <v>159</v>
      </c>
      <c r="E108" t="str">
        <f t="shared" si="10"/>
        <v>AntennaRedundantHorizontalSize3</v>
      </c>
      <c r="F108" s="4" t="str">
        <f t="shared" si="11"/>
        <v>YES</v>
      </c>
      <c r="G108" s="4" t="str">
        <f t="shared" si="12"/>
        <v>YES</v>
      </c>
      <c r="H108" s="4" t="str">
        <f t="shared" si="13"/>
        <v>YES</v>
      </c>
      <c r="I108" t="s">
        <v>824</v>
      </c>
      <c r="J108">
        <v>36</v>
      </c>
      <c r="M108" t="str">
        <f t="shared" si="14"/>
        <v>antennaroundipadiagonal</v>
      </c>
      <c r="N108" t="s">
        <v>875</v>
      </c>
      <c r="O108" t="s">
        <v>727</v>
      </c>
      <c r="P108" t="s">
        <v>723</v>
      </c>
      <c r="Q108" t="s">
        <v>248</v>
      </c>
      <c r="T108" t="str">
        <f t="shared" si="15"/>
        <v>antennaflatipadiagonal</v>
      </c>
      <c r="U108" t="s">
        <v>874</v>
      </c>
      <c r="V108" t="s">
        <v>767</v>
      </c>
      <c r="W108" t="s">
        <v>766</v>
      </c>
    </row>
    <row r="109" spans="1:23" hidden="1" x14ac:dyDescent="0.25">
      <c r="A109" t="s">
        <v>876</v>
      </c>
      <c r="B109" s="2" t="s">
        <v>251</v>
      </c>
      <c r="C109" s="3" t="str">
        <f t="shared" si="8"/>
        <v>antennacsa_s37_speedupfactor</v>
      </c>
      <c r="D109" s="4">
        <f t="shared" si="9"/>
        <v>160</v>
      </c>
      <c r="E109" t="str">
        <f t="shared" si="10"/>
        <v>AntennaRedundantHorizontalSize4</v>
      </c>
      <c r="F109" s="4" t="str">
        <f t="shared" si="11"/>
        <v>YES</v>
      </c>
      <c r="G109" s="4" t="str">
        <f t="shared" si="12"/>
        <v>YES</v>
      </c>
      <c r="H109" s="4" t="str">
        <f t="shared" si="13"/>
        <v>YES</v>
      </c>
      <c r="I109" t="s">
        <v>825</v>
      </c>
      <c r="J109">
        <v>36</v>
      </c>
      <c r="M109" t="str">
        <f t="shared" si="14"/>
        <v>antennacsa_s37_speedupfactor</v>
      </c>
      <c r="N109" t="s">
        <v>876</v>
      </c>
      <c r="O109" t="s">
        <v>727</v>
      </c>
      <c r="P109" t="s">
        <v>723</v>
      </c>
      <c r="Q109" t="s">
        <v>248</v>
      </c>
      <c r="T109" t="str">
        <f t="shared" si="15"/>
        <v>antennaroundipadiagonal</v>
      </c>
      <c r="U109" t="s">
        <v>875</v>
      </c>
      <c r="V109" t="s">
        <v>767</v>
      </c>
      <c r="W109" t="s">
        <v>766</v>
      </c>
    </row>
    <row r="110" spans="1:23" hidden="1" x14ac:dyDescent="0.25">
      <c r="A110" t="s">
        <v>877</v>
      </c>
      <c r="B110" s="2" t="s">
        <v>251</v>
      </c>
      <c r="C110" s="3" t="str">
        <f t="shared" si="8"/>
        <v>antennaklegs</v>
      </c>
      <c r="D110" s="4">
        <f t="shared" si="9"/>
        <v>161</v>
      </c>
      <c r="E110" t="str">
        <f t="shared" si="10"/>
        <v>AntennaRedundantDiagonalSize</v>
      </c>
      <c r="F110" s="4" t="str">
        <f t="shared" si="11"/>
        <v>YES</v>
      </c>
      <c r="G110" s="4" t="str">
        <f t="shared" si="12"/>
        <v>YES</v>
      </c>
      <c r="H110" s="4" t="str">
        <f t="shared" si="13"/>
        <v>YES</v>
      </c>
      <c r="I110" t="s">
        <v>826</v>
      </c>
      <c r="J110" t="s">
        <v>320</v>
      </c>
      <c r="M110" t="str">
        <f t="shared" si="14"/>
        <v>antennaklegs</v>
      </c>
      <c r="N110" t="s">
        <v>877</v>
      </c>
      <c r="O110" t="s">
        <v>727</v>
      </c>
      <c r="P110" t="s">
        <v>723</v>
      </c>
      <c r="Q110" t="s">
        <v>248</v>
      </c>
      <c r="T110" t="str">
        <f t="shared" si="15"/>
        <v>antennacsa_s37_speedupfactor</v>
      </c>
      <c r="U110" t="s">
        <v>876</v>
      </c>
      <c r="V110" t="s">
        <v>767</v>
      </c>
      <c r="W110" t="s">
        <v>766</v>
      </c>
    </row>
    <row r="111" spans="1:23" hidden="1" x14ac:dyDescent="0.25">
      <c r="A111" t="s">
        <v>878</v>
      </c>
      <c r="B111" s="2" t="s">
        <v>251</v>
      </c>
      <c r="C111" s="3" t="str">
        <f t="shared" si="8"/>
        <v>antennakxbraceddiags</v>
      </c>
      <c r="D111" s="4">
        <f t="shared" si="9"/>
        <v>162</v>
      </c>
      <c r="E111" t="str">
        <f t="shared" si="10"/>
        <v>AntennaRedundantDiagonalSize2</v>
      </c>
      <c r="F111" s="4" t="str">
        <f t="shared" si="11"/>
        <v>YES</v>
      </c>
      <c r="G111" s="4" t="str">
        <f t="shared" si="12"/>
        <v>YES</v>
      </c>
      <c r="H111" s="4" t="str">
        <f t="shared" si="13"/>
        <v>YES</v>
      </c>
      <c r="I111" t="s">
        <v>827</v>
      </c>
      <c r="M111" t="str">
        <f t="shared" si="14"/>
        <v>antennakxbraceddiags</v>
      </c>
      <c r="N111" t="s">
        <v>878</v>
      </c>
      <c r="O111" t="s">
        <v>727</v>
      </c>
      <c r="P111" t="s">
        <v>723</v>
      </c>
      <c r="Q111" t="s">
        <v>248</v>
      </c>
      <c r="T111" t="str">
        <f t="shared" si="15"/>
        <v>antennaklegs</v>
      </c>
      <c r="U111" t="s">
        <v>877</v>
      </c>
      <c r="V111" t="s">
        <v>767</v>
      </c>
      <c r="W111" t="s">
        <v>766</v>
      </c>
    </row>
    <row r="112" spans="1:23" hidden="1" x14ac:dyDescent="0.25">
      <c r="A112" t="s">
        <v>879</v>
      </c>
      <c r="B112" s="2" t="s">
        <v>251</v>
      </c>
      <c r="C112" s="3" t="str">
        <f t="shared" si="8"/>
        <v>antennakkbraceddiags</v>
      </c>
      <c r="D112" s="4">
        <f t="shared" si="9"/>
        <v>163</v>
      </c>
      <c r="E112" t="str">
        <f t="shared" si="10"/>
        <v>AntennaRedundantDiagonalSize3</v>
      </c>
      <c r="F112" s="4" t="str">
        <f t="shared" si="11"/>
        <v>YES</v>
      </c>
      <c r="G112" s="4" t="str">
        <f t="shared" si="12"/>
        <v>YES</v>
      </c>
      <c r="H112" s="4" t="str">
        <f t="shared" si="13"/>
        <v>YES</v>
      </c>
      <c r="I112" t="s">
        <v>828</v>
      </c>
      <c r="J112">
        <v>36</v>
      </c>
      <c r="M112" t="str">
        <f t="shared" si="14"/>
        <v>antennakkbraceddiags</v>
      </c>
      <c r="N112" t="s">
        <v>879</v>
      </c>
      <c r="O112" t="s">
        <v>727</v>
      </c>
      <c r="P112" t="s">
        <v>723</v>
      </c>
      <c r="Q112" t="s">
        <v>248</v>
      </c>
      <c r="T112" t="str">
        <f t="shared" si="15"/>
        <v>antennakxbraceddiags</v>
      </c>
      <c r="U112" t="s">
        <v>878</v>
      </c>
      <c r="V112" t="s">
        <v>767</v>
      </c>
      <c r="W112" t="s">
        <v>766</v>
      </c>
    </row>
    <row r="113" spans="1:23" hidden="1" x14ac:dyDescent="0.25">
      <c r="A113" t="s">
        <v>880</v>
      </c>
      <c r="B113" s="2" t="s">
        <v>251</v>
      </c>
      <c r="C113" s="3" t="str">
        <f t="shared" si="8"/>
        <v>antennakzbraceddiags</v>
      </c>
      <c r="D113" s="4">
        <f t="shared" si="9"/>
        <v>164</v>
      </c>
      <c r="E113" t="str">
        <f t="shared" si="10"/>
        <v>AntennaRedundantDiagonalSize4</v>
      </c>
      <c r="F113" s="4" t="str">
        <f t="shared" si="11"/>
        <v>YES</v>
      </c>
      <c r="G113" s="4" t="str">
        <f t="shared" si="12"/>
        <v>YES</v>
      </c>
      <c r="H113" s="4" t="str">
        <f t="shared" si="13"/>
        <v>YES</v>
      </c>
      <c r="I113" t="s">
        <v>829</v>
      </c>
      <c r="J113">
        <v>36</v>
      </c>
      <c r="M113" t="str">
        <f t="shared" si="14"/>
        <v>antennakzbraceddiags</v>
      </c>
      <c r="N113" t="s">
        <v>880</v>
      </c>
      <c r="O113" t="s">
        <v>727</v>
      </c>
      <c r="P113" t="s">
        <v>723</v>
      </c>
      <c r="Q113" t="s">
        <v>248</v>
      </c>
      <c r="T113" t="str">
        <f t="shared" si="15"/>
        <v>antennakkbraceddiags</v>
      </c>
      <c r="U113" t="s">
        <v>879</v>
      </c>
      <c r="V113" t="s">
        <v>767</v>
      </c>
      <c r="W113" t="s">
        <v>766</v>
      </c>
    </row>
    <row r="114" spans="1:23" hidden="1" x14ac:dyDescent="0.25">
      <c r="A114" t="s">
        <v>881</v>
      </c>
      <c r="B114" s="2" t="s">
        <v>251</v>
      </c>
      <c r="C114" s="3" t="str">
        <f t="shared" si="8"/>
        <v>antennakhorzs</v>
      </c>
      <c r="D114" s="4">
        <f t="shared" si="9"/>
        <v>165</v>
      </c>
      <c r="E114" t="str">
        <f t="shared" si="10"/>
        <v>AntennaRedundantSubHorizontalSize</v>
      </c>
      <c r="F114" s="4" t="str">
        <f t="shared" si="11"/>
        <v>YES</v>
      </c>
      <c r="G114" s="4" t="str">
        <f t="shared" si="12"/>
        <v>YES</v>
      </c>
      <c r="H114" s="4" t="str">
        <f t="shared" si="13"/>
        <v>YES</v>
      </c>
      <c r="I114" t="s">
        <v>830</v>
      </c>
      <c r="J114" t="s">
        <v>320</v>
      </c>
      <c r="M114" t="str">
        <f t="shared" si="14"/>
        <v>antennakhorzs</v>
      </c>
      <c r="N114" t="s">
        <v>881</v>
      </c>
      <c r="O114" t="s">
        <v>727</v>
      </c>
      <c r="P114" t="s">
        <v>723</v>
      </c>
      <c r="Q114" t="s">
        <v>248</v>
      </c>
      <c r="T114" t="str">
        <f t="shared" si="15"/>
        <v>antennakzbraceddiags</v>
      </c>
      <c r="U114" t="s">
        <v>880</v>
      </c>
      <c r="V114" t="s">
        <v>767</v>
      </c>
      <c r="W114" t="s">
        <v>766</v>
      </c>
    </row>
    <row r="115" spans="1:23" hidden="1" x14ac:dyDescent="0.25">
      <c r="A115" t="s">
        <v>882</v>
      </c>
      <c r="B115" s="2" t="s">
        <v>251</v>
      </c>
      <c r="C115" s="3" t="str">
        <f t="shared" si="8"/>
        <v>antennaksechorzs</v>
      </c>
      <c r="D115" s="4">
        <f t="shared" si="9"/>
        <v>166</v>
      </c>
      <c r="E115" t="str">
        <f t="shared" si="10"/>
        <v>AntennaRedundantSubDiagonalSize</v>
      </c>
      <c r="F115" s="4" t="str">
        <f t="shared" si="11"/>
        <v>YES</v>
      </c>
      <c r="G115" s="4" t="str">
        <f t="shared" si="12"/>
        <v>YES</v>
      </c>
      <c r="H115" s="4" t="str">
        <f t="shared" si="13"/>
        <v>YES</v>
      </c>
      <c r="I115" t="s">
        <v>831</v>
      </c>
      <c r="M115" t="str">
        <f t="shared" si="14"/>
        <v>antennaksechorzs</v>
      </c>
      <c r="N115" t="s">
        <v>882</v>
      </c>
      <c r="O115" t="s">
        <v>727</v>
      </c>
      <c r="P115" t="s">
        <v>723</v>
      </c>
      <c r="Q115" t="s">
        <v>248</v>
      </c>
      <c r="T115" t="str">
        <f t="shared" si="15"/>
        <v>antennakhorzs</v>
      </c>
      <c r="U115" t="s">
        <v>881</v>
      </c>
      <c r="V115" t="s">
        <v>767</v>
      </c>
      <c r="W115" t="s">
        <v>766</v>
      </c>
    </row>
    <row r="116" spans="1:23" hidden="1" x14ac:dyDescent="0.25">
      <c r="A116" t="s">
        <v>883</v>
      </c>
      <c r="B116" s="2" t="s">
        <v>251</v>
      </c>
      <c r="C116" s="3" t="str">
        <f t="shared" si="8"/>
        <v>antennakgirts</v>
      </c>
      <c r="D116" s="4">
        <f t="shared" si="9"/>
        <v>167</v>
      </c>
      <c r="E116" t="str">
        <f t="shared" si="10"/>
        <v>AntennaSubDiagLocation</v>
      </c>
      <c r="F116" s="4" t="str">
        <f t="shared" si="11"/>
        <v>YES</v>
      </c>
      <c r="G116" s="4" t="str">
        <f t="shared" si="12"/>
        <v>YES</v>
      </c>
      <c r="H116" s="4" t="str">
        <f t="shared" si="13"/>
        <v>YES</v>
      </c>
      <c r="I116" t="s">
        <v>832</v>
      </c>
      <c r="J116">
        <v>36</v>
      </c>
      <c r="M116" t="str">
        <f t="shared" si="14"/>
        <v>antennakgirts</v>
      </c>
      <c r="N116" t="s">
        <v>883</v>
      </c>
      <c r="O116" t="s">
        <v>727</v>
      </c>
      <c r="P116" t="s">
        <v>723</v>
      </c>
      <c r="Q116" t="s">
        <v>248</v>
      </c>
      <c r="T116" t="str">
        <f t="shared" si="15"/>
        <v>antennaksechorzs</v>
      </c>
      <c r="U116" t="s">
        <v>882</v>
      </c>
      <c r="V116" t="s">
        <v>767</v>
      </c>
      <c r="W116" t="s">
        <v>766</v>
      </c>
    </row>
    <row r="117" spans="1:23" hidden="1" x14ac:dyDescent="0.25">
      <c r="A117" t="s">
        <v>884</v>
      </c>
      <c r="B117" s="2" t="s">
        <v>251</v>
      </c>
      <c r="C117" s="3" t="str">
        <f t="shared" si="8"/>
        <v>antennakinners</v>
      </c>
      <c r="D117" s="4">
        <f t="shared" si="9"/>
        <v>168</v>
      </c>
      <c r="E117" t="str">
        <f t="shared" si="10"/>
        <v>AntennaRedundantVerticalSize</v>
      </c>
      <c r="F117" s="4" t="str">
        <f t="shared" si="11"/>
        <v>YES</v>
      </c>
      <c r="G117" s="4" t="str">
        <f t="shared" si="12"/>
        <v>YES</v>
      </c>
      <c r="H117" s="4" t="str">
        <f t="shared" si="13"/>
        <v>YES</v>
      </c>
      <c r="I117" t="s">
        <v>833</v>
      </c>
      <c r="J117">
        <v>36</v>
      </c>
      <c r="M117" t="str">
        <f t="shared" si="14"/>
        <v>antennakinners</v>
      </c>
      <c r="N117" t="s">
        <v>884</v>
      </c>
      <c r="O117" t="s">
        <v>727</v>
      </c>
      <c r="P117" t="s">
        <v>723</v>
      </c>
      <c r="Q117" t="s">
        <v>248</v>
      </c>
      <c r="T117" t="str">
        <f t="shared" si="15"/>
        <v>antennakgirts</v>
      </c>
      <c r="U117" t="s">
        <v>883</v>
      </c>
      <c r="V117" t="s">
        <v>767</v>
      </c>
      <c r="W117" t="s">
        <v>766</v>
      </c>
    </row>
    <row r="118" spans="1:23" hidden="1" x14ac:dyDescent="0.25">
      <c r="A118" t="s">
        <v>885</v>
      </c>
      <c r="B118" s="2" t="s">
        <v>251</v>
      </c>
      <c r="C118" s="3" t="str">
        <f t="shared" si="8"/>
        <v>antennakxbraceddiagsy</v>
      </c>
      <c r="D118" s="4">
        <f t="shared" si="9"/>
        <v>169</v>
      </c>
      <c r="E118" t="str">
        <f t="shared" si="10"/>
        <v>AntennaRedundantHipDiagonalSize</v>
      </c>
      <c r="F118" s="4" t="str">
        <f t="shared" si="11"/>
        <v>YES</v>
      </c>
      <c r="G118" s="4" t="str">
        <f t="shared" si="12"/>
        <v>YES</v>
      </c>
      <c r="H118" s="4" t="str">
        <f t="shared" si="13"/>
        <v>YES</v>
      </c>
      <c r="I118" t="s">
        <v>834</v>
      </c>
      <c r="J118" t="s">
        <v>320</v>
      </c>
      <c r="M118" t="str">
        <f t="shared" si="14"/>
        <v>antennakxbraceddiagsy</v>
      </c>
      <c r="N118" t="s">
        <v>885</v>
      </c>
      <c r="O118" t="s">
        <v>727</v>
      </c>
      <c r="P118" t="s">
        <v>723</v>
      </c>
      <c r="Q118" t="s">
        <v>248</v>
      </c>
      <c r="T118" t="str">
        <f t="shared" si="15"/>
        <v>antennakinners</v>
      </c>
      <c r="U118" t="s">
        <v>884</v>
      </c>
      <c r="V118" t="s">
        <v>767</v>
      </c>
      <c r="W118" t="s">
        <v>766</v>
      </c>
    </row>
    <row r="119" spans="1:23" hidden="1" x14ac:dyDescent="0.25">
      <c r="A119" t="s">
        <v>886</v>
      </c>
      <c r="B119" s="2" t="s">
        <v>251</v>
      </c>
      <c r="C119" s="3" t="str">
        <f t="shared" si="8"/>
        <v>antennakkbraceddiagsy</v>
      </c>
      <c r="D119" s="4">
        <f t="shared" si="9"/>
        <v>170</v>
      </c>
      <c r="E119" t="str">
        <f t="shared" si="10"/>
        <v>AntennaRedundantHipDiagonalSize2</v>
      </c>
      <c r="F119" s="4" t="str">
        <f t="shared" si="11"/>
        <v>YES</v>
      </c>
      <c r="G119" s="4" t="str">
        <f t="shared" si="12"/>
        <v>YES</v>
      </c>
      <c r="H119" s="4" t="str">
        <f t="shared" si="13"/>
        <v>YES</v>
      </c>
      <c r="I119" t="s">
        <v>835</v>
      </c>
      <c r="M119" t="str">
        <f t="shared" si="14"/>
        <v>antennakkbraceddiagsy</v>
      </c>
      <c r="N119" t="s">
        <v>886</v>
      </c>
      <c r="O119" t="s">
        <v>727</v>
      </c>
      <c r="P119" t="s">
        <v>723</v>
      </c>
      <c r="Q119" t="s">
        <v>248</v>
      </c>
      <c r="T119" t="str">
        <f t="shared" si="15"/>
        <v>antennakxbraceddiagsy</v>
      </c>
      <c r="U119" t="s">
        <v>885</v>
      </c>
      <c r="V119" t="s">
        <v>767</v>
      </c>
      <c r="W119" t="s">
        <v>766</v>
      </c>
    </row>
    <row r="120" spans="1:23" hidden="1" x14ac:dyDescent="0.25">
      <c r="A120" t="s">
        <v>887</v>
      </c>
      <c r="B120" s="2" t="s">
        <v>251</v>
      </c>
      <c r="C120" s="3" t="str">
        <f t="shared" si="8"/>
        <v>antennakzbraceddiagsy</v>
      </c>
      <c r="D120" s="4">
        <f t="shared" si="9"/>
        <v>171</v>
      </c>
      <c r="E120" t="str">
        <f t="shared" si="10"/>
        <v>AntennaRedundantHipDiagonalSize3</v>
      </c>
      <c r="F120" s="4" t="str">
        <f t="shared" si="11"/>
        <v>YES</v>
      </c>
      <c r="G120" s="4" t="str">
        <f t="shared" si="12"/>
        <v>YES</v>
      </c>
      <c r="H120" s="4" t="str">
        <f t="shared" si="13"/>
        <v>YES</v>
      </c>
      <c r="I120" t="s">
        <v>836</v>
      </c>
      <c r="J120">
        <v>36</v>
      </c>
      <c r="M120" t="str">
        <f t="shared" si="14"/>
        <v>antennakzbraceddiagsy</v>
      </c>
      <c r="N120" t="s">
        <v>887</v>
      </c>
      <c r="O120" t="s">
        <v>727</v>
      </c>
      <c r="P120" t="s">
        <v>723</v>
      </c>
      <c r="Q120" t="s">
        <v>248</v>
      </c>
      <c r="T120" t="str">
        <f t="shared" si="15"/>
        <v>antennakkbraceddiagsy</v>
      </c>
      <c r="U120" t="s">
        <v>886</v>
      </c>
      <c r="V120" t="s">
        <v>767</v>
      </c>
      <c r="W120" t="s">
        <v>766</v>
      </c>
    </row>
    <row r="121" spans="1:23" hidden="1" x14ac:dyDescent="0.25">
      <c r="A121" t="s">
        <v>888</v>
      </c>
      <c r="B121" s="2" t="s">
        <v>251</v>
      </c>
      <c r="C121" s="3" t="str">
        <f t="shared" si="8"/>
        <v>antennakhorzsy</v>
      </c>
      <c r="D121" s="4">
        <f t="shared" si="9"/>
        <v>172</v>
      </c>
      <c r="E121" t="str">
        <f t="shared" si="10"/>
        <v>AntennaRedundantHipDiagonalSize4</v>
      </c>
      <c r="F121" s="4" t="str">
        <f t="shared" si="11"/>
        <v>YES</v>
      </c>
      <c r="G121" s="4" t="str">
        <f t="shared" si="12"/>
        <v>YES</v>
      </c>
      <c r="H121" s="4" t="str">
        <f t="shared" si="13"/>
        <v>YES</v>
      </c>
      <c r="I121" t="s">
        <v>837</v>
      </c>
      <c r="J121">
        <v>36</v>
      </c>
      <c r="M121" t="str">
        <f t="shared" si="14"/>
        <v>antennakhorzsy</v>
      </c>
      <c r="N121" t="s">
        <v>888</v>
      </c>
      <c r="O121" t="s">
        <v>727</v>
      </c>
      <c r="P121" t="s">
        <v>723</v>
      </c>
      <c r="Q121" t="s">
        <v>248</v>
      </c>
      <c r="T121" t="str">
        <f t="shared" si="15"/>
        <v>antennakzbraceddiagsy</v>
      </c>
      <c r="U121" t="s">
        <v>887</v>
      </c>
      <c r="V121" t="s">
        <v>767</v>
      </c>
      <c r="W121" t="s">
        <v>766</v>
      </c>
    </row>
    <row r="122" spans="1:23" hidden="1" x14ac:dyDescent="0.25">
      <c r="A122" t="s">
        <v>889</v>
      </c>
      <c r="B122" s="2" t="s">
        <v>251</v>
      </c>
      <c r="C122" s="3" t="str">
        <f t="shared" si="8"/>
        <v>antennaksechorzsy</v>
      </c>
      <c r="D122" s="4">
        <f t="shared" si="9"/>
        <v>173</v>
      </c>
      <c r="E122" t="str">
        <f t="shared" si="10"/>
        <v>AntennaRedundantHipSize</v>
      </c>
      <c r="F122" s="4" t="str">
        <f t="shared" si="11"/>
        <v>YES</v>
      </c>
      <c r="G122" s="4" t="str">
        <f t="shared" si="12"/>
        <v>YES</v>
      </c>
      <c r="H122" s="4" t="str">
        <f t="shared" si="13"/>
        <v>YES</v>
      </c>
      <c r="I122" t="s">
        <v>838</v>
      </c>
      <c r="J122" t="s">
        <v>320</v>
      </c>
      <c r="M122" t="str">
        <f t="shared" si="14"/>
        <v>antennaksechorzsy</v>
      </c>
      <c r="N122" t="s">
        <v>889</v>
      </c>
      <c r="O122" t="s">
        <v>727</v>
      </c>
      <c r="P122" t="s">
        <v>723</v>
      </c>
      <c r="Q122" t="s">
        <v>248</v>
      </c>
      <c r="T122" t="str">
        <f t="shared" si="15"/>
        <v>antennakhorzsy</v>
      </c>
      <c r="U122" t="s">
        <v>888</v>
      </c>
      <c r="V122" t="s">
        <v>767</v>
      </c>
      <c r="W122" t="s">
        <v>766</v>
      </c>
    </row>
    <row r="123" spans="1:23" hidden="1" x14ac:dyDescent="0.25">
      <c r="A123" t="s">
        <v>890</v>
      </c>
      <c r="B123" s="2" t="s">
        <v>251</v>
      </c>
      <c r="C123" s="3" t="str">
        <f t="shared" si="8"/>
        <v>antennakgirtsy</v>
      </c>
      <c r="D123" s="4">
        <f t="shared" si="9"/>
        <v>174</v>
      </c>
      <c r="E123" t="str">
        <f t="shared" si="10"/>
        <v>AntennaRedundantHipSize2</v>
      </c>
      <c r="F123" s="4" t="str">
        <f t="shared" si="11"/>
        <v>YES</v>
      </c>
      <c r="G123" s="4" t="str">
        <f t="shared" si="12"/>
        <v>YES</v>
      </c>
      <c r="H123" s="4" t="str">
        <f t="shared" si="13"/>
        <v>YES</v>
      </c>
      <c r="I123" t="s">
        <v>839</v>
      </c>
      <c r="M123" t="str">
        <f t="shared" si="14"/>
        <v>antennakgirtsy</v>
      </c>
      <c r="N123" t="s">
        <v>890</v>
      </c>
      <c r="O123" t="s">
        <v>727</v>
      </c>
      <c r="P123" t="s">
        <v>723</v>
      </c>
      <c r="Q123" t="s">
        <v>248</v>
      </c>
      <c r="T123" t="str">
        <f t="shared" si="15"/>
        <v>antennaksechorzsy</v>
      </c>
      <c r="U123" t="s">
        <v>889</v>
      </c>
      <c r="V123" t="s">
        <v>767</v>
      </c>
      <c r="W123" t="s">
        <v>766</v>
      </c>
    </row>
    <row r="124" spans="1:23" hidden="1" x14ac:dyDescent="0.25">
      <c r="A124" t="s">
        <v>891</v>
      </c>
      <c r="B124" s="2" t="s">
        <v>251</v>
      </c>
      <c r="C124" s="3" t="str">
        <f t="shared" si="8"/>
        <v>antennakinnersy</v>
      </c>
      <c r="D124" s="4">
        <f t="shared" si="9"/>
        <v>175</v>
      </c>
      <c r="E124" t="str">
        <f t="shared" si="10"/>
        <v>AntennaRedundantHipSize3</v>
      </c>
      <c r="F124" s="4" t="str">
        <f t="shared" si="11"/>
        <v>YES</v>
      </c>
      <c r="G124" s="4" t="str">
        <f t="shared" si="12"/>
        <v>YES</v>
      </c>
      <c r="H124" s="4" t="str">
        <f t="shared" si="13"/>
        <v>YES</v>
      </c>
      <c r="I124" t="s">
        <v>840</v>
      </c>
      <c r="J124">
        <v>36</v>
      </c>
      <c r="M124" t="str">
        <f t="shared" si="14"/>
        <v>antennakinnersy</v>
      </c>
      <c r="N124" t="s">
        <v>891</v>
      </c>
      <c r="O124" t="s">
        <v>727</v>
      </c>
      <c r="P124" t="s">
        <v>723</v>
      </c>
      <c r="Q124" t="s">
        <v>248</v>
      </c>
      <c r="T124" t="str">
        <f t="shared" si="15"/>
        <v>antennakgirtsy</v>
      </c>
      <c r="U124" t="s">
        <v>890</v>
      </c>
      <c r="V124" t="s">
        <v>767</v>
      </c>
      <c r="W124" t="s">
        <v>766</v>
      </c>
    </row>
    <row r="125" spans="1:23" hidden="1" x14ac:dyDescent="0.25">
      <c r="A125" t="s">
        <v>892</v>
      </c>
      <c r="B125" s="2" t="s">
        <v>251</v>
      </c>
      <c r="C125" s="3" t="str">
        <f t="shared" si="8"/>
        <v>antennakredhorz</v>
      </c>
      <c r="D125" s="4">
        <f t="shared" si="9"/>
        <v>176</v>
      </c>
      <c r="E125" t="str">
        <f t="shared" si="10"/>
        <v>AntennaRedundantHipSize4</v>
      </c>
      <c r="F125" s="4" t="str">
        <f t="shared" si="11"/>
        <v>YES</v>
      </c>
      <c r="G125" s="4" t="str">
        <f t="shared" si="12"/>
        <v>YES</v>
      </c>
      <c r="H125" s="4" t="str">
        <f t="shared" si="13"/>
        <v>YES</v>
      </c>
      <c r="I125" t="s">
        <v>841</v>
      </c>
      <c r="J125">
        <v>36</v>
      </c>
      <c r="M125" t="str">
        <f t="shared" si="14"/>
        <v>antennakredhorz</v>
      </c>
      <c r="N125" t="s">
        <v>892</v>
      </c>
      <c r="O125" t="s">
        <v>727</v>
      </c>
      <c r="P125" t="s">
        <v>723</v>
      </c>
      <c r="Q125" t="s">
        <v>248</v>
      </c>
      <c r="T125" t="str">
        <f t="shared" si="15"/>
        <v>antennakinnersy</v>
      </c>
      <c r="U125" t="s">
        <v>891</v>
      </c>
      <c r="V125" t="s">
        <v>767</v>
      </c>
      <c r="W125" t="s">
        <v>766</v>
      </c>
    </row>
    <row r="126" spans="1:23" hidden="1" x14ac:dyDescent="0.25">
      <c r="A126" t="s">
        <v>893</v>
      </c>
      <c r="B126" s="2" t="s">
        <v>251</v>
      </c>
      <c r="C126" s="3" t="str">
        <f t="shared" si="8"/>
        <v>antennakreddiag</v>
      </c>
      <c r="D126" s="4">
        <f t="shared" si="9"/>
        <v>177</v>
      </c>
      <c r="E126" t="str">
        <f t="shared" si="10"/>
        <v>AntennaNumInnerGirts</v>
      </c>
      <c r="F126" s="4" t="str">
        <f t="shared" si="11"/>
        <v>YES</v>
      </c>
      <c r="G126" s="4" t="str">
        <f t="shared" si="12"/>
        <v>YES</v>
      </c>
      <c r="H126" s="4" t="str">
        <f t="shared" si="13"/>
        <v>YES</v>
      </c>
      <c r="I126" t="s">
        <v>842</v>
      </c>
      <c r="J126" t="s">
        <v>320</v>
      </c>
      <c r="M126" t="str">
        <f t="shared" si="14"/>
        <v>antennakreddiag</v>
      </c>
      <c r="N126" t="s">
        <v>893</v>
      </c>
      <c r="O126" t="s">
        <v>727</v>
      </c>
      <c r="P126" t="s">
        <v>723</v>
      </c>
      <c r="Q126" t="s">
        <v>248</v>
      </c>
      <c r="T126" t="str">
        <f t="shared" si="15"/>
        <v>antennakredhorz</v>
      </c>
      <c r="U126" t="s">
        <v>892</v>
      </c>
      <c r="V126" t="s">
        <v>767</v>
      </c>
      <c r="W126" t="s">
        <v>766</v>
      </c>
    </row>
    <row r="127" spans="1:23" hidden="1" x14ac:dyDescent="0.25">
      <c r="A127" t="s">
        <v>894</v>
      </c>
      <c r="B127" s="2" t="s">
        <v>251</v>
      </c>
      <c r="C127" s="3" t="str">
        <f t="shared" si="8"/>
        <v>antennakredsubdiag</v>
      </c>
      <c r="D127" s="4">
        <f t="shared" si="9"/>
        <v>178</v>
      </c>
      <c r="E127" t="str">
        <f t="shared" si="10"/>
        <v>AntennaInnerGirtType</v>
      </c>
      <c r="F127" s="4" t="str">
        <f t="shared" si="11"/>
        <v>YES</v>
      </c>
      <c r="G127" s="4" t="str">
        <f t="shared" si="12"/>
        <v>YES</v>
      </c>
      <c r="H127" s="4" t="str">
        <f t="shared" si="13"/>
        <v>YES</v>
      </c>
      <c r="I127" t="s">
        <v>843</v>
      </c>
      <c r="M127" t="str">
        <f t="shared" si="14"/>
        <v>antennakredsubdiag</v>
      </c>
      <c r="N127" t="s">
        <v>894</v>
      </c>
      <c r="O127" t="s">
        <v>727</v>
      </c>
      <c r="P127" t="s">
        <v>723</v>
      </c>
      <c r="Q127" t="s">
        <v>248</v>
      </c>
      <c r="T127" t="str">
        <f t="shared" si="15"/>
        <v>antennakreddiag</v>
      </c>
      <c r="U127" t="s">
        <v>893</v>
      </c>
      <c r="V127" t="s">
        <v>767</v>
      </c>
      <c r="W127" t="s">
        <v>766</v>
      </c>
    </row>
    <row r="128" spans="1:23" hidden="1" x14ac:dyDescent="0.25">
      <c r="A128" t="s">
        <v>895</v>
      </c>
      <c r="B128" s="2" t="s">
        <v>251</v>
      </c>
      <c r="C128" s="3" t="str">
        <f t="shared" si="8"/>
        <v>antennakredsubhorz</v>
      </c>
      <c r="D128" s="4">
        <f t="shared" si="9"/>
        <v>179</v>
      </c>
      <c r="E128" t="str">
        <f t="shared" si="10"/>
        <v>AntennaInnerGirtSize</v>
      </c>
      <c r="F128" s="4" t="str">
        <f t="shared" si="11"/>
        <v>YES</v>
      </c>
      <c r="G128" s="4" t="str">
        <f t="shared" si="12"/>
        <v>YES</v>
      </c>
      <c r="H128" s="4" t="str">
        <f t="shared" si="13"/>
        <v>YES</v>
      </c>
      <c r="I128" t="s">
        <v>844</v>
      </c>
      <c r="J128" t="s">
        <v>342</v>
      </c>
      <c r="M128" t="str">
        <f t="shared" si="14"/>
        <v>antennakredsubhorz</v>
      </c>
      <c r="N128" t="s">
        <v>895</v>
      </c>
      <c r="O128" t="s">
        <v>727</v>
      </c>
      <c r="P128" t="s">
        <v>723</v>
      </c>
      <c r="Q128" t="s">
        <v>248</v>
      </c>
      <c r="T128" t="str">
        <f t="shared" si="15"/>
        <v>antennakredsubdiag</v>
      </c>
      <c r="U128" t="s">
        <v>894</v>
      </c>
      <c r="V128" t="s">
        <v>767</v>
      </c>
      <c r="W128" t="s">
        <v>766</v>
      </c>
    </row>
    <row r="129" spans="1:23" hidden="1" x14ac:dyDescent="0.25">
      <c r="A129" t="s">
        <v>896</v>
      </c>
      <c r="B129" s="2" t="s">
        <v>277</v>
      </c>
      <c r="C129" s="3" t="str">
        <f t="shared" si="8"/>
        <v>antennakredvert</v>
      </c>
      <c r="D129" s="4">
        <f t="shared" si="9"/>
        <v>180</v>
      </c>
      <c r="E129" t="str">
        <f t="shared" si="10"/>
        <v>AntennaPoleShapeType</v>
      </c>
      <c r="F129" s="4" t="str">
        <f t="shared" si="11"/>
        <v>YES</v>
      </c>
      <c r="G129" s="4" t="str">
        <f t="shared" si="12"/>
        <v>YES</v>
      </c>
      <c r="H129" s="4" t="str">
        <f t="shared" si="13"/>
        <v>YES</v>
      </c>
      <c r="I129" t="s">
        <v>845</v>
      </c>
      <c r="J129" t="s">
        <v>342</v>
      </c>
      <c r="M129" t="str">
        <f t="shared" si="14"/>
        <v>antennakredvert</v>
      </c>
      <c r="N129" t="s">
        <v>896</v>
      </c>
      <c r="O129" t="s">
        <v>727</v>
      </c>
      <c r="P129" t="s">
        <v>723</v>
      </c>
      <c r="Q129" t="s">
        <v>248</v>
      </c>
      <c r="T129" t="str">
        <f t="shared" si="15"/>
        <v>antennakredsubhorz</v>
      </c>
      <c r="U129" t="s">
        <v>895</v>
      </c>
      <c r="V129" t="s">
        <v>767</v>
      </c>
      <c r="W129" t="s">
        <v>766</v>
      </c>
    </row>
    <row r="130" spans="1:23" hidden="1" x14ac:dyDescent="0.25">
      <c r="A130" t="s">
        <v>897</v>
      </c>
      <c r="B130" s="2" t="s">
        <v>277</v>
      </c>
      <c r="C130" s="3" t="str">
        <f t="shared" si="8"/>
        <v>antennakredhip</v>
      </c>
      <c r="D130" s="4">
        <f t="shared" si="9"/>
        <v>181</v>
      </c>
      <c r="E130" t="str">
        <f t="shared" si="10"/>
        <v>AntennaPoleSize</v>
      </c>
      <c r="F130" s="4" t="str">
        <f t="shared" si="11"/>
        <v>YES</v>
      </c>
      <c r="G130" s="4" t="str">
        <f t="shared" si="12"/>
        <v>YES</v>
      </c>
      <c r="H130" s="4" t="str">
        <f t="shared" si="13"/>
        <v>YES</v>
      </c>
      <c r="I130" t="s">
        <v>846</v>
      </c>
      <c r="J130" t="s">
        <v>342</v>
      </c>
      <c r="M130" t="str">
        <f t="shared" si="14"/>
        <v>antennakredhip</v>
      </c>
      <c r="N130" t="s">
        <v>897</v>
      </c>
      <c r="O130" t="s">
        <v>727</v>
      </c>
      <c r="P130" t="s">
        <v>723</v>
      </c>
      <c r="Q130" t="s">
        <v>248</v>
      </c>
      <c r="T130" t="str">
        <f t="shared" si="15"/>
        <v>antennakredvert</v>
      </c>
      <c r="U130" t="s">
        <v>896</v>
      </c>
      <c r="V130" t="s">
        <v>767</v>
      </c>
      <c r="W130" t="s">
        <v>766</v>
      </c>
    </row>
    <row r="131" spans="1:23" hidden="1" x14ac:dyDescent="0.25">
      <c r="A131" t="s">
        <v>898</v>
      </c>
      <c r="B131" s="2" t="s">
        <v>277</v>
      </c>
      <c r="C131" s="3" t="str">
        <f t="shared" si="8"/>
        <v>antennakredhipdiag</v>
      </c>
      <c r="D131" s="4">
        <f t="shared" si="9"/>
        <v>182</v>
      </c>
      <c r="E131" t="str">
        <f t="shared" si="10"/>
        <v>AntennaPoleGrade</v>
      </c>
      <c r="F131" s="4" t="str">
        <f t="shared" si="11"/>
        <v>YES</v>
      </c>
      <c r="G131" s="4" t="str">
        <f t="shared" si="12"/>
        <v>YES</v>
      </c>
      <c r="H131" s="4" t="str">
        <f t="shared" si="13"/>
        <v>YES</v>
      </c>
      <c r="I131" t="s">
        <v>847</v>
      </c>
      <c r="J131" t="s">
        <v>342</v>
      </c>
      <c r="M131" t="str">
        <f t="shared" si="14"/>
        <v>antennakredhipdiag</v>
      </c>
      <c r="N131" t="s">
        <v>898</v>
      </c>
      <c r="O131" t="s">
        <v>727</v>
      </c>
      <c r="P131" t="s">
        <v>723</v>
      </c>
      <c r="Q131" t="s">
        <v>248</v>
      </c>
      <c r="T131" t="str">
        <f t="shared" si="15"/>
        <v>antennakredhip</v>
      </c>
      <c r="U131" t="s">
        <v>897</v>
      </c>
      <c r="V131" t="s">
        <v>767</v>
      </c>
      <c r="W131" t="s">
        <v>766</v>
      </c>
    </row>
    <row r="132" spans="1:23" hidden="1" x14ac:dyDescent="0.25">
      <c r="A132" t="s">
        <v>899</v>
      </c>
      <c r="B132" s="2" t="s">
        <v>254</v>
      </c>
      <c r="C132" s="3" t="str">
        <f t="shared" si="8"/>
        <v>antennaktlx</v>
      </c>
      <c r="D132" s="4">
        <f t="shared" si="9"/>
        <v>183</v>
      </c>
      <c r="E132" t="str">
        <f t="shared" si="10"/>
        <v>AntennaPoleMatlGrade</v>
      </c>
      <c r="F132" s="4" t="str">
        <f t="shared" si="11"/>
        <v>YES</v>
      </c>
      <c r="G132" s="4" t="str">
        <f t="shared" si="12"/>
        <v>YES</v>
      </c>
      <c r="H132" s="4" t="str">
        <f t="shared" si="13"/>
        <v>YES</v>
      </c>
      <c r="I132" t="s">
        <v>848</v>
      </c>
      <c r="J132" t="s">
        <v>307</v>
      </c>
      <c r="M132" t="str">
        <f t="shared" si="14"/>
        <v>antennaktlx</v>
      </c>
      <c r="N132" t="s">
        <v>899</v>
      </c>
      <c r="O132" t="s">
        <v>727</v>
      </c>
      <c r="P132" t="s">
        <v>723</v>
      </c>
      <c r="Q132" t="s">
        <v>248</v>
      </c>
      <c r="T132" t="str">
        <f t="shared" si="15"/>
        <v>antennakredhipdiag</v>
      </c>
      <c r="U132" t="s">
        <v>898</v>
      </c>
      <c r="V132" t="s">
        <v>767</v>
      </c>
      <c r="W132" t="s">
        <v>766</v>
      </c>
    </row>
    <row r="133" spans="1:23" hidden="1" x14ac:dyDescent="0.25">
      <c r="A133" t="s">
        <v>900</v>
      </c>
      <c r="B133" s="2" t="s">
        <v>254</v>
      </c>
      <c r="C133" s="3" t="str">
        <f t="shared" ref="C133:C196" si="16">TRIM(LOWER(SUBSTITUTE(SUBSTITUTE(A133,",","")," ","")))</f>
        <v>antennaktlz</v>
      </c>
      <c r="D133" s="4">
        <f t="shared" ref="D133:D196" si="17">MATCH(C133,E:E,0)</f>
        <v>184</v>
      </c>
      <c r="E133" t="str">
        <f t="shared" ref="E133:E196" si="18">TRIM((SUBSTITUTE(SUBSTITUTE(I133,",","")," ","")))</f>
        <v>AntennaPoleSpliceLength</v>
      </c>
      <c r="F133" s="4" t="str">
        <f t="shared" ref="F133:F196" si="19">IFERROR(IF(MATCH(E133,C:C,0)&gt;0,"YES"),"NO")</f>
        <v>YES</v>
      </c>
      <c r="G133" s="4" t="str">
        <f t="shared" ref="G133:G196" si="20">IFERROR(IF(MATCH(E133,M:M,0)&gt;0,"YES"),"NO")</f>
        <v>YES</v>
      </c>
      <c r="H133" s="4" t="str">
        <f t="shared" ref="H133:H196" si="21">IFERROR(IF(MATCH(E133,T:T,0)&gt;0,"YES"),"NO")</f>
        <v>YES</v>
      </c>
      <c r="I133" t="s">
        <v>849</v>
      </c>
      <c r="J133" t="s">
        <v>307</v>
      </c>
      <c r="M133" t="str">
        <f t="shared" ref="M133:M196" si="22">TRIM(LOWER(N133))</f>
        <v>antennaktlz</v>
      </c>
      <c r="N133" t="s">
        <v>900</v>
      </c>
      <c r="O133" t="s">
        <v>727</v>
      </c>
      <c r="P133" t="s">
        <v>723</v>
      </c>
      <c r="Q133" t="s">
        <v>248</v>
      </c>
      <c r="T133" t="str">
        <f t="shared" ref="T133:T196" si="23">TRIM(LOWER(U133))</f>
        <v>antennaktlx</v>
      </c>
      <c r="U133" t="s">
        <v>899</v>
      </c>
      <c r="V133" t="s">
        <v>767</v>
      </c>
      <c r="W133" t="s">
        <v>766</v>
      </c>
    </row>
    <row r="134" spans="1:23" hidden="1" x14ac:dyDescent="0.25">
      <c r="A134" t="s">
        <v>901</v>
      </c>
      <c r="B134" s="2" t="s">
        <v>254</v>
      </c>
      <c r="C134" s="3" t="str">
        <f t="shared" si="16"/>
        <v>antennaktlleg</v>
      </c>
      <c r="D134" s="4">
        <f t="shared" si="17"/>
        <v>185</v>
      </c>
      <c r="E134" t="str">
        <f t="shared" si="18"/>
        <v>AntennaTaperPoleNumSides</v>
      </c>
      <c r="F134" s="4" t="str">
        <f t="shared" si="19"/>
        <v>YES</v>
      </c>
      <c r="G134" s="4" t="str">
        <f t="shared" si="20"/>
        <v>YES</v>
      </c>
      <c r="H134" s="4" t="str">
        <f t="shared" si="21"/>
        <v>YES</v>
      </c>
      <c r="I134" t="s">
        <v>850</v>
      </c>
      <c r="J134" t="s">
        <v>307</v>
      </c>
      <c r="M134" t="str">
        <f t="shared" si="22"/>
        <v>antennaktlleg</v>
      </c>
      <c r="N134" t="s">
        <v>901</v>
      </c>
      <c r="O134" t="s">
        <v>727</v>
      </c>
      <c r="P134" t="s">
        <v>723</v>
      </c>
      <c r="Q134" t="s">
        <v>248</v>
      </c>
      <c r="T134" t="str">
        <f t="shared" si="23"/>
        <v>antennaktlz</v>
      </c>
      <c r="U134" t="s">
        <v>900</v>
      </c>
      <c r="V134" t="s">
        <v>767</v>
      </c>
      <c r="W134" t="s">
        <v>766</v>
      </c>
    </row>
    <row r="135" spans="1:23" hidden="1" x14ac:dyDescent="0.25">
      <c r="A135" t="s">
        <v>902</v>
      </c>
      <c r="B135" s="2" t="s">
        <v>254</v>
      </c>
      <c r="C135" s="3" t="str">
        <f t="shared" si="16"/>
        <v>antennainnerktlx</v>
      </c>
      <c r="D135" s="4">
        <f t="shared" si="17"/>
        <v>186</v>
      </c>
      <c r="E135" t="str">
        <f t="shared" si="18"/>
        <v>AntennaTaperPoleTopDiameter</v>
      </c>
      <c r="F135" s="4" t="str">
        <f t="shared" si="19"/>
        <v>YES</v>
      </c>
      <c r="G135" s="4" t="str">
        <f t="shared" si="20"/>
        <v>YES</v>
      </c>
      <c r="H135" s="4" t="str">
        <f t="shared" si="21"/>
        <v>YES</v>
      </c>
      <c r="I135" t="s">
        <v>851</v>
      </c>
      <c r="J135" t="s">
        <v>307</v>
      </c>
      <c r="M135" t="str">
        <f t="shared" si="22"/>
        <v>antennainnerktlx</v>
      </c>
      <c r="N135" t="s">
        <v>902</v>
      </c>
      <c r="O135" t="s">
        <v>727</v>
      </c>
      <c r="P135" t="s">
        <v>723</v>
      </c>
      <c r="Q135" t="s">
        <v>248</v>
      </c>
      <c r="T135" t="str">
        <f t="shared" si="23"/>
        <v>antennaktlleg</v>
      </c>
      <c r="U135" t="s">
        <v>901</v>
      </c>
      <c r="V135" t="s">
        <v>767</v>
      </c>
      <c r="W135" t="s">
        <v>766</v>
      </c>
    </row>
    <row r="136" spans="1:23" hidden="1" x14ac:dyDescent="0.25">
      <c r="A136" t="s">
        <v>903</v>
      </c>
      <c r="B136" s="2" t="s">
        <v>254</v>
      </c>
      <c r="C136" s="3" t="str">
        <f t="shared" si="16"/>
        <v>antennainnerktlz</v>
      </c>
      <c r="D136" s="4">
        <f t="shared" si="17"/>
        <v>187</v>
      </c>
      <c r="E136" t="str">
        <f t="shared" si="18"/>
        <v>AntennaTaperPoleBotDiameter</v>
      </c>
      <c r="F136" s="4" t="str">
        <f t="shared" si="19"/>
        <v>YES</v>
      </c>
      <c r="G136" s="4" t="str">
        <f t="shared" si="20"/>
        <v>YES</v>
      </c>
      <c r="H136" s="4" t="str">
        <f t="shared" si="21"/>
        <v>YES</v>
      </c>
      <c r="I136" t="s">
        <v>852</v>
      </c>
      <c r="J136" t="s">
        <v>434</v>
      </c>
      <c r="M136" t="str">
        <f t="shared" si="22"/>
        <v>antennainnerktlz</v>
      </c>
      <c r="N136" t="s">
        <v>903</v>
      </c>
      <c r="O136" t="s">
        <v>727</v>
      </c>
      <c r="P136" t="s">
        <v>723</v>
      </c>
      <c r="Q136" t="s">
        <v>248</v>
      </c>
      <c r="T136" t="str">
        <f t="shared" si="23"/>
        <v>antennainnerktlx</v>
      </c>
      <c r="U136" t="s">
        <v>902</v>
      </c>
      <c r="V136" t="s">
        <v>767</v>
      </c>
      <c r="W136" t="s">
        <v>766</v>
      </c>
    </row>
    <row r="137" spans="1:23" hidden="1" x14ac:dyDescent="0.25">
      <c r="A137" t="s">
        <v>904</v>
      </c>
      <c r="B137" s="2" t="s">
        <v>251</v>
      </c>
      <c r="C137" s="3" t="str">
        <f t="shared" si="16"/>
        <v>antennainnerktlleg</v>
      </c>
      <c r="D137" s="4">
        <f t="shared" si="17"/>
        <v>188</v>
      </c>
      <c r="E137" t="str">
        <f t="shared" si="18"/>
        <v>AntennaTaperPoleWallThickness</v>
      </c>
      <c r="F137" s="4" t="str">
        <f t="shared" si="19"/>
        <v>YES</v>
      </c>
      <c r="G137" s="4" t="str">
        <f t="shared" si="20"/>
        <v>YES</v>
      </c>
      <c r="H137" s="4" t="str">
        <f t="shared" si="21"/>
        <v>YES</v>
      </c>
      <c r="I137" t="s">
        <v>853</v>
      </c>
      <c r="J137" t="s">
        <v>342</v>
      </c>
      <c r="M137" t="str">
        <f t="shared" si="22"/>
        <v>antennainnerktlleg</v>
      </c>
      <c r="N137" t="s">
        <v>904</v>
      </c>
      <c r="O137" t="s">
        <v>727</v>
      </c>
      <c r="P137" t="s">
        <v>723</v>
      </c>
      <c r="Q137" t="s">
        <v>248</v>
      </c>
      <c r="T137" t="str">
        <f t="shared" si="23"/>
        <v>antennainnerktlz</v>
      </c>
      <c r="U137" t="s">
        <v>903</v>
      </c>
      <c r="V137" t="s">
        <v>767</v>
      </c>
      <c r="W137" t="s">
        <v>766</v>
      </c>
    </row>
    <row r="138" spans="1:23" hidden="1" x14ac:dyDescent="0.25">
      <c r="A138" t="s">
        <v>905</v>
      </c>
      <c r="B138" s="2" t="s">
        <v>254</v>
      </c>
      <c r="C138" s="3" t="str">
        <f t="shared" si="16"/>
        <v>antennastitchboltlocationhoriz</v>
      </c>
      <c r="D138" s="4">
        <f t="shared" si="17"/>
        <v>189</v>
      </c>
      <c r="E138" t="str">
        <f t="shared" si="18"/>
        <v>AntennaTaperPoleBendRadius</v>
      </c>
      <c r="F138" s="4" t="str">
        <f t="shared" si="19"/>
        <v>YES</v>
      </c>
      <c r="G138" s="4" t="str">
        <f t="shared" si="20"/>
        <v>YES</v>
      </c>
      <c r="H138" s="4" t="str">
        <f t="shared" si="21"/>
        <v>YES</v>
      </c>
      <c r="I138" t="s">
        <v>854</v>
      </c>
      <c r="J138" t="s">
        <v>434</v>
      </c>
      <c r="M138" t="str">
        <f t="shared" si="22"/>
        <v>antennastitchboltlocationhoriz</v>
      </c>
      <c r="N138" t="s">
        <v>905</v>
      </c>
      <c r="O138" t="s">
        <v>726</v>
      </c>
      <c r="P138" t="s">
        <v>248</v>
      </c>
      <c r="T138" t="str">
        <f t="shared" si="23"/>
        <v>antennainnerktlleg</v>
      </c>
      <c r="U138" t="s">
        <v>904</v>
      </c>
      <c r="V138" t="s">
        <v>767</v>
      </c>
      <c r="W138" t="s">
        <v>766</v>
      </c>
    </row>
    <row r="139" spans="1:23" hidden="1" x14ac:dyDescent="0.25">
      <c r="A139" t="s">
        <v>906</v>
      </c>
      <c r="B139" s="2" t="s">
        <v>254</v>
      </c>
      <c r="C139" s="3" t="str">
        <f t="shared" si="16"/>
        <v>antennastitchboltlocationdiag</v>
      </c>
      <c r="D139" s="4">
        <f t="shared" si="17"/>
        <v>190</v>
      </c>
      <c r="E139" t="str">
        <f t="shared" si="18"/>
        <v>AntennaTaperPoleGrade</v>
      </c>
      <c r="F139" s="4" t="str">
        <f t="shared" si="19"/>
        <v>YES</v>
      </c>
      <c r="G139" s="4" t="str">
        <f t="shared" si="20"/>
        <v>YES</v>
      </c>
      <c r="H139" s="4" t="str">
        <f t="shared" si="21"/>
        <v>YES</v>
      </c>
      <c r="I139" t="s">
        <v>855</v>
      </c>
      <c r="J139" t="s">
        <v>307</v>
      </c>
      <c r="M139" t="str">
        <f t="shared" si="22"/>
        <v>antennastitchboltlocationdiag</v>
      </c>
      <c r="N139" t="s">
        <v>906</v>
      </c>
      <c r="O139" t="s">
        <v>726</v>
      </c>
      <c r="P139" t="s">
        <v>248</v>
      </c>
      <c r="T139" t="str">
        <f t="shared" si="23"/>
        <v>antennastitchboltlocationhoriz</v>
      </c>
      <c r="U139" t="s">
        <v>905</v>
      </c>
      <c r="V139" t="s">
        <v>769</v>
      </c>
      <c r="W139" t="s">
        <v>766</v>
      </c>
    </row>
    <row r="140" spans="1:23" hidden="1" x14ac:dyDescent="0.25">
      <c r="A140" t="s">
        <v>907</v>
      </c>
      <c r="B140" s="2" t="s">
        <v>254</v>
      </c>
      <c r="C140" s="3" t="str">
        <f t="shared" si="16"/>
        <v>antennastitchspacing</v>
      </c>
      <c r="D140" s="4">
        <f t="shared" si="17"/>
        <v>191</v>
      </c>
      <c r="E140" t="str">
        <f t="shared" si="18"/>
        <v>AntennaTaperPoleMatlGrade</v>
      </c>
      <c r="F140" s="4" t="str">
        <f t="shared" si="19"/>
        <v>YES</v>
      </c>
      <c r="G140" s="4" t="str">
        <f t="shared" si="20"/>
        <v>YES</v>
      </c>
      <c r="H140" s="4" t="str">
        <f t="shared" si="21"/>
        <v>YES</v>
      </c>
      <c r="I140" t="s">
        <v>856</v>
      </c>
      <c r="J140" t="s">
        <v>307</v>
      </c>
      <c r="M140" t="str">
        <f t="shared" si="22"/>
        <v>antennastitchspacing</v>
      </c>
      <c r="N140" t="s">
        <v>907</v>
      </c>
      <c r="O140" t="s">
        <v>727</v>
      </c>
      <c r="P140" t="s">
        <v>723</v>
      </c>
      <c r="Q140" t="s">
        <v>248</v>
      </c>
      <c r="T140" t="str">
        <f t="shared" si="23"/>
        <v>antennastitchboltlocationdiag</v>
      </c>
      <c r="U140" t="s">
        <v>906</v>
      </c>
      <c r="V140" t="s">
        <v>769</v>
      </c>
      <c r="W140" t="s">
        <v>766</v>
      </c>
    </row>
    <row r="141" spans="1:23" hidden="1" x14ac:dyDescent="0.25">
      <c r="A141" t="s">
        <v>908</v>
      </c>
      <c r="B141" s="2" t="s">
        <v>254</v>
      </c>
      <c r="C141" s="3" t="str">
        <f t="shared" si="16"/>
        <v>antennastitchspacinghorz</v>
      </c>
      <c r="D141" s="4">
        <f t="shared" si="17"/>
        <v>192</v>
      </c>
      <c r="E141" t="str">
        <f t="shared" si="18"/>
        <v>AntennaSWMult</v>
      </c>
      <c r="F141" s="4" t="str">
        <f t="shared" si="19"/>
        <v>YES</v>
      </c>
      <c r="G141" s="4" t="str">
        <f t="shared" si="20"/>
        <v>YES</v>
      </c>
      <c r="H141" s="4" t="str">
        <f t="shared" si="21"/>
        <v>YES</v>
      </c>
      <c r="I141" t="s">
        <v>857</v>
      </c>
      <c r="J141" t="s">
        <v>307</v>
      </c>
      <c r="M141" t="str">
        <f t="shared" si="22"/>
        <v>antennastitchspacinghorz</v>
      </c>
      <c r="N141" t="s">
        <v>908</v>
      </c>
      <c r="O141" t="s">
        <v>727</v>
      </c>
      <c r="P141" t="s">
        <v>723</v>
      </c>
      <c r="Q141" t="s">
        <v>248</v>
      </c>
      <c r="T141" t="str">
        <f t="shared" si="23"/>
        <v>antennastitchspacing</v>
      </c>
      <c r="U141" t="s">
        <v>907</v>
      </c>
      <c r="V141" t="s">
        <v>767</v>
      </c>
      <c r="W141" t="s">
        <v>766</v>
      </c>
    </row>
    <row r="142" spans="1:23" hidden="1" x14ac:dyDescent="0.25">
      <c r="A142" t="s">
        <v>909</v>
      </c>
      <c r="B142" s="2" t="s">
        <v>254</v>
      </c>
      <c r="C142" s="3" t="str">
        <f t="shared" si="16"/>
        <v>antennastitchspacingdiag</v>
      </c>
      <c r="D142" s="4">
        <f t="shared" si="17"/>
        <v>193</v>
      </c>
      <c r="E142" t="str">
        <f t="shared" si="18"/>
        <v>AntennaWPMult</v>
      </c>
      <c r="F142" s="4" t="str">
        <f t="shared" si="19"/>
        <v>YES</v>
      </c>
      <c r="G142" s="4" t="str">
        <f t="shared" si="20"/>
        <v>YES</v>
      </c>
      <c r="H142" s="4" t="str">
        <f t="shared" si="21"/>
        <v>YES</v>
      </c>
      <c r="I142" t="s">
        <v>858</v>
      </c>
      <c r="J142" t="s">
        <v>307</v>
      </c>
      <c r="M142" t="str">
        <f t="shared" si="22"/>
        <v>antennastitchspacingdiag</v>
      </c>
      <c r="N142" t="s">
        <v>909</v>
      </c>
      <c r="O142" t="s">
        <v>727</v>
      </c>
      <c r="P142" t="s">
        <v>723</v>
      </c>
      <c r="Q142" t="s">
        <v>248</v>
      </c>
      <c r="T142" t="str">
        <f t="shared" si="23"/>
        <v>antennastitchspacinghorz</v>
      </c>
      <c r="U142" t="s">
        <v>908</v>
      </c>
      <c r="V142" t="s">
        <v>767</v>
      </c>
      <c r="W142" t="s">
        <v>766</v>
      </c>
    </row>
    <row r="143" spans="1:23" hidden="1" x14ac:dyDescent="0.25">
      <c r="A143" t="s">
        <v>910</v>
      </c>
      <c r="B143" s="2" t="s">
        <v>254</v>
      </c>
      <c r="C143" s="3" t="str">
        <f t="shared" si="16"/>
        <v>antennastitchspacingred</v>
      </c>
      <c r="D143" s="4">
        <f t="shared" si="17"/>
        <v>194</v>
      </c>
      <c r="E143" t="str">
        <f t="shared" si="18"/>
        <v>AntennaAutoCalcKSingleAngle</v>
      </c>
      <c r="F143" s="4" t="str">
        <f t="shared" si="19"/>
        <v>YES</v>
      </c>
      <c r="G143" s="4" t="str">
        <f t="shared" si="20"/>
        <v>YES</v>
      </c>
      <c r="H143" s="4" t="str">
        <f t="shared" si="21"/>
        <v>YES</v>
      </c>
      <c r="I143" t="s">
        <v>859</v>
      </c>
      <c r="J143" t="s">
        <v>307</v>
      </c>
      <c r="M143" t="str">
        <f t="shared" si="22"/>
        <v>antennastitchspacingred</v>
      </c>
      <c r="N143" t="s">
        <v>910</v>
      </c>
      <c r="O143" t="s">
        <v>727</v>
      </c>
      <c r="P143" t="s">
        <v>723</v>
      </c>
      <c r="Q143" t="s">
        <v>248</v>
      </c>
      <c r="T143" t="str">
        <f t="shared" si="23"/>
        <v>antennastitchspacingdiag</v>
      </c>
      <c r="U143" t="s">
        <v>909</v>
      </c>
      <c r="V143" t="s">
        <v>767</v>
      </c>
      <c r="W143" t="s">
        <v>766</v>
      </c>
    </row>
    <row r="144" spans="1:23" hidden="1" x14ac:dyDescent="0.25">
      <c r="A144" t="s">
        <v>911</v>
      </c>
      <c r="B144" s="2" t="s">
        <v>251</v>
      </c>
      <c r="C144" s="3" t="str">
        <f t="shared" si="16"/>
        <v>antennalegnetwidthdeduct</v>
      </c>
      <c r="D144" s="4">
        <f t="shared" si="17"/>
        <v>195</v>
      </c>
      <c r="E144" t="str">
        <f t="shared" si="18"/>
        <v>AntennaAutoCalcKSolidRound</v>
      </c>
      <c r="F144" s="4" t="str">
        <f t="shared" si="19"/>
        <v>YES</v>
      </c>
      <c r="G144" s="4" t="str">
        <f t="shared" si="20"/>
        <v>YES</v>
      </c>
      <c r="H144" s="4" t="str">
        <f t="shared" si="21"/>
        <v>YES</v>
      </c>
      <c r="I144" t="s">
        <v>860</v>
      </c>
      <c r="J144" t="s">
        <v>307</v>
      </c>
      <c r="M144" t="str">
        <f t="shared" si="22"/>
        <v>antennalegnetwidthdeduct</v>
      </c>
      <c r="N144" t="s">
        <v>911</v>
      </c>
      <c r="O144" t="s">
        <v>727</v>
      </c>
      <c r="P144" t="s">
        <v>723</v>
      </c>
      <c r="Q144" t="s">
        <v>248</v>
      </c>
      <c r="T144" t="str">
        <f t="shared" si="23"/>
        <v>antennastitchspacingred</v>
      </c>
      <c r="U144" t="s">
        <v>910</v>
      </c>
      <c r="V144" t="s">
        <v>767</v>
      </c>
      <c r="W144" t="s">
        <v>766</v>
      </c>
    </row>
    <row r="145" spans="1:23" hidden="1" x14ac:dyDescent="0.25">
      <c r="A145" t="s">
        <v>912</v>
      </c>
      <c r="B145" s="2" t="s">
        <v>278</v>
      </c>
      <c r="C145" s="3" t="str">
        <f t="shared" si="16"/>
        <v>antennalegufactor</v>
      </c>
      <c r="D145" s="4">
        <f t="shared" si="17"/>
        <v>196</v>
      </c>
      <c r="E145" t="str">
        <f t="shared" si="18"/>
        <v>AntennaAfGusset</v>
      </c>
      <c r="F145" s="4" t="str">
        <f t="shared" si="19"/>
        <v>YES</v>
      </c>
      <c r="G145" s="4" t="str">
        <f t="shared" si="20"/>
        <v>YES</v>
      </c>
      <c r="H145" s="4" t="str">
        <f t="shared" si="21"/>
        <v>YES</v>
      </c>
      <c r="I145" t="s">
        <v>861</v>
      </c>
      <c r="J145" t="s">
        <v>307</v>
      </c>
      <c r="M145" t="str">
        <f t="shared" si="22"/>
        <v>antennalegufactor</v>
      </c>
      <c r="N145" t="s">
        <v>912</v>
      </c>
      <c r="O145" t="s">
        <v>727</v>
      </c>
      <c r="P145" t="s">
        <v>723</v>
      </c>
      <c r="Q145" t="s">
        <v>248</v>
      </c>
      <c r="T145" t="str">
        <f t="shared" si="23"/>
        <v>antennalegnetwidthdeduct</v>
      </c>
      <c r="U145" t="s">
        <v>911</v>
      </c>
      <c r="V145" t="s">
        <v>767</v>
      </c>
      <c r="W145" t="s">
        <v>766</v>
      </c>
    </row>
    <row r="146" spans="1:23" hidden="1" x14ac:dyDescent="0.25">
      <c r="A146" t="s">
        <v>913</v>
      </c>
      <c r="B146" s="2" t="s">
        <v>251</v>
      </c>
      <c r="C146" s="3" t="str">
        <f t="shared" si="16"/>
        <v>antennadiagonalnetwidthdeduct</v>
      </c>
      <c r="D146" s="4">
        <f t="shared" si="17"/>
        <v>197</v>
      </c>
      <c r="E146" t="str">
        <f t="shared" si="18"/>
        <v>AntennaTfGusset</v>
      </c>
      <c r="F146" s="4" t="str">
        <f t="shared" si="19"/>
        <v>YES</v>
      </c>
      <c r="G146" s="4" t="str">
        <f t="shared" si="20"/>
        <v>YES</v>
      </c>
      <c r="H146" s="4" t="str">
        <f t="shared" si="21"/>
        <v>YES</v>
      </c>
      <c r="I146" t="s">
        <v>862</v>
      </c>
      <c r="J146" t="s">
        <v>307</v>
      </c>
      <c r="M146" t="str">
        <f t="shared" si="22"/>
        <v>antennadiagonalnetwidthdeduct</v>
      </c>
      <c r="N146" t="s">
        <v>913</v>
      </c>
      <c r="O146" t="s">
        <v>727</v>
      </c>
      <c r="P146" t="s">
        <v>723</v>
      </c>
      <c r="Q146" t="s">
        <v>248</v>
      </c>
      <c r="T146" t="str">
        <f t="shared" si="23"/>
        <v>antennalegufactor</v>
      </c>
      <c r="U146" t="s">
        <v>912</v>
      </c>
      <c r="V146" t="s">
        <v>767</v>
      </c>
      <c r="W146" t="s">
        <v>766</v>
      </c>
    </row>
    <row r="147" spans="1:23" hidden="1" x14ac:dyDescent="0.25">
      <c r="A147" t="s">
        <v>914</v>
      </c>
      <c r="B147" s="2" t="s">
        <v>251</v>
      </c>
      <c r="C147" s="3" t="str">
        <f t="shared" si="16"/>
        <v>antennatopgirtnetwidthdeduct</v>
      </c>
      <c r="D147" s="4">
        <f t="shared" si="17"/>
        <v>198</v>
      </c>
      <c r="E147" t="str">
        <f t="shared" si="18"/>
        <v>AntennaGussetBoltEdgeDistance</v>
      </c>
      <c r="F147" s="4" t="str">
        <f t="shared" si="19"/>
        <v>YES</v>
      </c>
      <c r="G147" s="4" t="str">
        <f t="shared" si="20"/>
        <v>YES</v>
      </c>
      <c r="H147" s="4" t="str">
        <f t="shared" si="21"/>
        <v>YES</v>
      </c>
      <c r="I147" t="s">
        <v>863</v>
      </c>
      <c r="J147" t="s">
        <v>446</v>
      </c>
      <c r="M147" t="str">
        <f t="shared" si="22"/>
        <v>antennatopgirtnetwidthdeduct</v>
      </c>
      <c r="N147" t="s">
        <v>914</v>
      </c>
      <c r="O147" t="s">
        <v>727</v>
      </c>
      <c r="P147" t="s">
        <v>723</v>
      </c>
      <c r="Q147" t="s">
        <v>248</v>
      </c>
      <c r="T147" t="str">
        <f t="shared" si="23"/>
        <v>antennadiagonalnetwidthdeduct</v>
      </c>
      <c r="U147" t="s">
        <v>913</v>
      </c>
      <c r="V147" t="s">
        <v>767</v>
      </c>
      <c r="W147" t="s">
        <v>766</v>
      </c>
    </row>
    <row r="148" spans="1:23" hidden="1" x14ac:dyDescent="0.25">
      <c r="A148" t="s">
        <v>915</v>
      </c>
      <c r="B148" s="2" t="s">
        <v>251</v>
      </c>
      <c r="C148" s="3" t="str">
        <f t="shared" si="16"/>
        <v>antennabotgirtnetwidthdeduct</v>
      </c>
      <c r="D148" s="4">
        <f t="shared" si="17"/>
        <v>199</v>
      </c>
      <c r="E148" t="str">
        <f t="shared" si="18"/>
        <v>AntennaGussetGrade</v>
      </c>
      <c r="F148" s="4" t="str">
        <f t="shared" si="19"/>
        <v>YES</v>
      </c>
      <c r="G148" s="4" t="str">
        <f t="shared" si="20"/>
        <v>YES</v>
      </c>
      <c r="H148" s="4" t="str">
        <f t="shared" si="21"/>
        <v>YES</v>
      </c>
      <c r="I148" t="s">
        <v>864</v>
      </c>
      <c r="M148" t="str">
        <f t="shared" si="22"/>
        <v>antennabotgirtnetwidthdeduct</v>
      </c>
      <c r="N148" t="s">
        <v>915</v>
      </c>
      <c r="O148" t="s">
        <v>727</v>
      </c>
      <c r="P148" t="s">
        <v>723</v>
      </c>
      <c r="Q148" t="s">
        <v>248</v>
      </c>
      <c r="T148" t="str">
        <f t="shared" si="23"/>
        <v>antennatopgirtnetwidthdeduct</v>
      </c>
      <c r="U148" t="s">
        <v>914</v>
      </c>
      <c r="V148" t="s">
        <v>767</v>
      </c>
      <c r="W148" t="s">
        <v>766</v>
      </c>
    </row>
    <row r="149" spans="1:23" hidden="1" x14ac:dyDescent="0.25">
      <c r="A149" t="s">
        <v>916</v>
      </c>
      <c r="B149" s="2" t="s">
        <v>278</v>
      </c>
      <c r="C149" s="3" t="str">
        <f t="shared" si="16"/>
        <v>antennainnergirtnetwidthdeduct</v>
      </c>
      <c r="D149" s="4">
        <f t="shared" si="17"/>
        <v>200</v>
      </c>
      <c r="E149" t="str">
        <f t="shared" si="18"/>
        <v>AntennaGussetMatlGrade</v>
      </c>
      <c r="F149" s="4" t="str">
        <f t="shared" si="19"/>
        <v>YES</v>
      </c>
      <c r="G149" s="4" t="str">
        <f t="shared" si="20"/>
        <v>YES</v>
      </c>
      <c r="H149" s="4" t="str">
        <f t="shared" si="21"/>
        <v>YES</v>
      </c>
      <c r="I149" t="s">
        <v>865</v>
      </c>
      <c r="M149" t="str">
        <f t="shared" si="22"/>
        <v>antennainnergirtnetwidthdeduct</v>
      </c>
      <c r="N149" t="s">
        <v>916</v>
      </c>
      <c r="O149" t="s">
        <v>727</v>
      </c>
      <c r="P149" t="s">
        <v>723</v>
      </c>
      <c r="Q149" t="s">
        <v>248</v>
      </c>
      <c r="T149" t="str">
        <f t="shared" si="23"/>
        <v>antennabotgirtnetwidthdeduct</v>
      </c>
      <c r="U149" t="s">
        <v>915</v>
      </c>
      <c r="V149" t="s">
        <v>767</v>
      </c>
      <c r="W149" t="s">
        <v>766</v>
      </c>
    </row>
    <row r="150" spans="1:23" hidden="1" x14ac:dyDescent="0.25">
      <c r="A150" t="s">
        <v>970</v>
      </c>
      <c r="B150" s="2" t="s">
        <v>279</v>
      </c>
      <c r="C150" s="3" t="str">
        <f t="shared" si="16"/>
        <v>antennahorizontalnetwidthdeduct</v>
      </c>
      <c r="D150" s="4">
        <f t="shared" si="17"/>
        <v>201</v>
      </c>
      <c r="E150" t="str">
        <f t="shared" si="18"/>
        <v>AntennaAfMult</v>
      </c>
      <c r="F150" s="4" t="str">
        <f t="shared" si="19"/>
        <v>YES</v>
      </c>
      <c r="G150" s="4" t="str">
        <f t="shared" si="20"/>
        <v>YES</v>
      </c>
      <c r="H150" s="4" t="str">
        <f t="shared" si="21"/>
        <v>YES</v>
      </c>
      <c r="I150" t="s">
        <v>866</v>
      </c>
      <c r="M150" t="str">
        <f t="shared" si="22"/>
        <v>antennahorizontalnetwidthdeduct</v>
      </c>
      <c r="N150" t="s">
        <v>970</v>
      </c>
      <c r="O150" t="s">
        <v>727</v>
      </c>
      <c r="P150" t="s">
        <v>723</v>
      </c>
      <c r="Q150" t="s">
        <v>248</v>
      </c>
      <c r="T150" t="str">
        <f t="shared" si="23"/>
        <v>antennainnergirtnetwidthdeduct</v>
      </c>
      <c r="U150" t="s">
        <v>916</v>
      </c>
      <c r="V150" t="s">
        <v>767</v>
      </c>
      <c r="W150" t="s">
        <v>766</v>
      </c>
    </row>
    <row r="151" spans="1:23" hidden="1" x14ac:dyDescent="0.25">
      <c r="A151" t="s">
        <v>919</v>
      </c>
      <c r="B151" s="2" t="s">
        <v>254</v>
      </c>
      <c r="C151" s="3" t="str">
        <f t="shared" si="16"/>
        <v>antennashorthorizontalnetwidthdeduct</v>
      </c>
      <c r="D151" s="4">
        <f t="shared" si="17"/>
        <v>202</v>
      </c>
      <c r="E151" t="str">
        <f t="shared" si="18"/>
        <v>AntennaArMult</v>
      </c>
      <c r="F151" s="4" t="str">
        <f t="shared" si="19"/>
        <v>YES</v>
      </c>
      <c r="G151" s="4" t="str">
        <f t="shared" si="20"/>
        <v>YES</v>
      </c>
      <c r="H151" s="4" t="str">
        <f t="shared" si="21"/>
        <v>YES</v>
      </c>
      <c r="I151" t="s">
        <v>867</v>
      </c>
      <c r="J151" t="s">
        <v>334</v>
      </c>
      <c r="M151" t="str">
        <f t="shared" si="22"/>
        <v>antennashorthorizontalnetwidthdeduct</v>
      </c>
      <c r="N151" t="s">
        <v>919</v>
      </c>
      <c r="O151" t="s">
        <v>727</v>
      </c>
      <c r="P151" t="s">
        <v>723</v>
      </c>
      <c r="Q151" t="s">
        <v>248</v>
      </c>
      <c r="T151" t="str">
        <f t="shared" si="23"/>
        <v>antennahorizontalnetwidthdeduct1</v>
      </c>
      <c r="U151" t="s">
        <v>917</v>
      </c>
      <c r="V151" t="s">
        <v>767</v>
      </c>
      <c r="W151" t="s">
        <v>766</v>
      </c>
    </row>
    <row r="152" spans="1:23" hidden="1" x14ac:dyDescent="0.25">
      <c r="A152" t="s">
        <v>920</v>
      </c>
      <c r="B152" s="2" t="s">
        <v>280</v>
      </c>
      <c r="C152" s="3" t="str">
        <f t="shared" si="16"/>
        <v>antennadiagonalufactor</v>
      </c>
      <c r="D152" s="4">
        <f t="shared" si="17"/>
        <v>203</v>
      </c>
      <c r="E152" t="str">
        <f t="shared" si="18"/>
        <v>AntennaFlatIPAPole</v>
      </c>
      <c r="F152" s="4" t="str">
        <f t="shared" si="19"/>
        <v>YES</v>
      </c>
      <c r="G152" s="4" t="str">
        <f t="shared" si="20"/>
        <v>YES</v>
      </c>
      <c r="H152" s="4" t="str">
        <f t="shared" si="21"/>
        <v>YES</v>
      </c>
      <c r="I152" t="s">
        <v>868</v>
      </c>
      <c r="M152" t="str">
        <f t="shared" si="22"/>
        <v>antennadiagonalufactor</v>
      </c>
      <c r="N152" t="s">
        <v>920</v>
      </c>
      <c r="O152" t="s">
        <v>727</v>
      </c>
      <c r="P152" t="s">
        <v>723</v>
      </c>
      <c r="Q152" t="s">
        <v>248</v>
      </c>
      <c r="T152" t="str">
        <f t="shared" si="23"/>
        <v>antennahorizontalnetwidthdeduct2</v>
      </c>
      <c r="U152" t="s">
        <v>918</v>
      </c>
      <c r="V152" t="s">
        <v>767</v>
      </c>
      <c r="W152" t="s">
        <v>766</v>
      </c>
    </row>
    <row r="153" spans="1:23" hidden="1" x14ac:dyDescent="0.25">
      <c r="A153" t="s">
        <v>921</v>
      </c>
      <c r="B153" s="2" t="s">
        <v>254</v>
      </c>
      <c r="C153" s="3" t="str">
        <f t="shared" si="16"/>
        <v>antennatopgirtufactor</v>
      </c>
      <c r="D153" s="4">
        <f t="shared" si="17"/>
        <v>204</v>
      </c>
      <c r="E153" t="str">
        <f t="shared" si="18"/>
        <v>AntennaRoundIPAPole</v>
      </c>
      <c r="F153" s="4" t="str">
        <f t="shared" si="19"/>
        <v>YES</v>
      </c>
      <c r="G153" s="4" t="str">
        <f t="shared" si="20"/>
        <v>YES</v>
      </c>
      <c r="H153" s="4" t="str">
        <f t="shared" si="21"/>
        <v>YES</v>
      </c>
      <c r="I153" t="s">
        <v>869</v>
      </c>
      <c r="M153" t="str">
        <f t="shared" si="22"/>
        <v>antennatopgirtufactor</v>
      </c>
      <c r="N153" t="s">
        <v>921</v>
      </c>
      <c r="O153" t="s">
        <v>727</v>
      </c>
      <c r="P153" t="s">
        <v>723</v>
      </c>
      <c r="Q153" t="s">
        <v>248</v>
      </c>
      <c r="T153" t="str">
        <f t="shared" si="23"/>
        <v>antennashorthorizontalnetwidthdeduct</v>
      </c>
      <c r="U153" t="s">
        <v>919</v>
      </c>
      <c r="V153" t="s">
        <v>767</v>
      </c>
      <c r="W153" t="s">
        <v>766</v>
      </c>
    </row>
    <row r="154" spans="1:23" hidden="1" x14ac:dyDescent="0.25">
      <c r="A154" t="s">
        <v>922</v>
      </c>
      <c r="B154" s="2" t="s">
        <v>254</v>
      </c>
      <c r="C154" s="3" t="str">
        <f t="shared" si="16"/>
        <v>antennabotgirtufactor</v>
      </c>
      <c r="D154" s="4">
        <f t="shared" si="17"/>
        <v>205</v>
      </c>
      <c r="E154" t="str">
        <f t="shared" si="18"/>
        <v>AntennaFlatIPALeg</v>
      </c>
      <c r="F154" s="4" t="str">
        <f t="shared" si="19"/>
        <v>YES</v>
      </c>
      <c r="G154" s="4" t="str">
        <f t="shared" si="20"/>
        <v>YES</v>
      </c>
      <c r="H154" s="4" t="str">
        <f t="shared" si="21"/>
        <v>YES</v>
      </c>
      <c r="I154" t="s">
        <v>870</v>
      </c>
      <c r="M154" t="str">
        <f t="shared" si="22"/>
        <v>antennabotgirtufactor</v>
      </c>
      <c r="N154" t="s">
        <v>922</v>
      </c>
      <c r="O154" t="s">
        <v>727</v>
      </c>
      <c r="P154" t="s">
        <v>723</v>
      </c>
      <c r="Q154" t="s">
        <v>248</v>
      </c>
      <c r="T154" t="str">
        <f t="shared" si="23"/>
        <v>antennadiagonalufactor</v>
      </c>
      <c r="U154" t="s">
        <v>920</v>
      </c>
      <c r="V154" t="s">
        <v>767</v>
      </c>
      <c r="W154" t="s">
        <v>766</v>
      </c>
    </row>
    <row r="155" spans="1:23" hidden="1" x14ac:dyDescent="0.25">
      <c r="A155" t="s">
        <v>923</v>
      </c>
      <c r="B155" s="2" t="s">
        <v>254</v>
      </c>
      <c r="C155" s="3" t="str">
        <f t="shared" si="16"/>
        <v>antennainnergirtufactor</v>
      </c>
      <c r="D155" s="4">
        <f t="shared" si="17"/>
        <v>206</v>
      </c>
      <c r="E155" t="str">
        <f t="shared" si="18"/>
        <v>AntennaRoundIPALeg</v>
      </c>
      <c r="F155" s="4" t="str">
        <f t="shared" si="19"/>
        <v>YES</v>
      </c>
      <c r="G155" s="4" t="str">
        <f t="shared" si="20"/>
        <v>YES</v>
      </c>
      <c r="H155" s="4" t="str">
        <f t="shared" si="21"/>
        <v>YES</v>
      </c>
      <c r="I155" t="s">
        <v>871</v>
      </c>
      <c r="M155" t="str">
        <f t="shared" si="22"/>
        <v>antennainnergirtufactor</v>
      </c>
      <c r="N155" t="s">
        <v>923</v>
      </c>
      <c r="O155" t="s">
        <v>727</v>
      </c>
      <c r="P155" t="s">
        <v>723</v>
      </c>
      <c r="Q155" t="s">
        <v>248</v>
      </c>
      <c r="T155" t="str">
        <f t="shared" si="23"/>
        <v>antennatopgirtufactor</v>
      </c>
      <c r="U155" t="s">
        <v>921</v>
      </c>
      <c r="V155" t="s">
        <v>767</v>
      </c>
      <c r="W155" t="s">
        <v>766</v>
      </c>
    </row>
    <row r="156" spans="1:23" hidden="1" x14ac:dyDescent="0.25">
      <c r="A156" t="s">
        <v>924</v>
      </c>
      <c r="B156" s="2" t="s">
        <v>281</v>
      </c>
      <c r="C156" s="3" t="str">
        <f t="shared" si="16"/>
        <v>antennahorizontalufactor</v>
      </c>
      <c r="D156" s="4">
        <f t="shared" si="17"/>
        <v>207</v>
      </c>
      <c r="E156" t="str">
        <f t="shared" si="18"/>
        <v>AntennaFlatIPAHorizontal</v>
      </c>
      <c r="F156" s="4" t="str">
        <f t="shared" si="19"/>
        <v>YES</v>
      </c>
      <c r="G156" s="4" t="str">
        <f t="shared" si="20"/>
        <v>YES</v>
      </c>
      <c r="H156" s="4" t="str">
        <f t="shared" si="21"/>
        <v>YES</v>
      </c>
      <c r="I156" t="s">
        <v>872</v>
      </c>
      <c r="M156" t="str">
        <f t="shared" si="22"/>
        <v>antennahorizontalufactor</v>
      </c>
      <c r="N156" t="s">
        <v>924</v>
      </c>
      <c r="O156" t="s">
        <v>727</v>
      </c>
      <c r="P156" t="s">
        <v>723</v>
      </c>
      <c r="Q156" t="s">
        <v>248</v>
      </c>
      <c r="T156" t="str">
        <f t="shared" si="23"/>
        <v>antennabotgirtufactor</v>
      </c>
      <c r="U156" t="s">
        <v>922</v>
      </c>
      <c r="V156" t="s">
        <v>767</v>
      </c>
      <c r="W156" t="s">
        <v>766</v>
      </c>
    </row>
    <row r="157" spans="1:23" hidden="1" x14ac:dyDescent="0.25">
      <c r="A157" t="s">
        <v>925</v>
      </c>
      <c r="B157" s="2" t="s">
        <v>254</v>
      </c>
      <c r="C157" s="3" t="str">
        <f t="shared" si="16"/>
        <v>antennashorthorizontalufactor</v>
      </c>
      <c r="D157" s="4">
        <f t="shared" si="17"/>
        <v>208</v>
      </c>
      <c r="E157" t="str">
        <f t="shared" si="18"/>
        <v>AntennaRoundIPAHorizontal</v>
      </c>
      <c r="F157" s="4" t="str">
        <f t="shared" si="19"/>
        <v>YES</v>
      </c>
      <c r="G157" s="4" t="str">
        <f t="shared" si="20"/>
        <v>YES</v>
      </c>
      <c r="H157" s="4" t="str">
        <f t="shared" si="21"/>
        <v>YES</v>
      </c>
      <c r="I157" t="s">
        <v>873</v>
      </c>
      <c r="J157">
        <v>0.25</v>
      </c>
      <c r="M157" t="str">
        <f t="shared" si="22"/>
        <v>antennashorthorizontalufactor</v>
      </c>
      <c r="N157" t="s">
        <v>925</v>
      </c>
      <c r="O157" t="s">
        <v>727</v>
      </c>
      <c r="P157" t="s">
        <v>723</v>
      </c>
      <c r="Q157" t="s">
        <v>248</v>
      </c>
      <c r="T157" t="str">
        <f t="shared" si="23"/>
        <v>antennainnergirtufactor</v>
      </c>
      <c r="U157" t="s">
        <v>923</v>
      </c>
      <c r="V157" t="s">
        <v>767</v>
      </c>
      <c r="W157" t="s">
        <v>766</v>
      </c>
    </row>
    <row r="158" spans="1:23" hidden="1" x14ac:dyDescent="0.25">
      <c r="A158" t="s">
        <v>926</v>
      </c>
      <c r="B158" s="2" t="s">
        <v>282</v>
      </c>
      <c r="C158" s="3" t="str">
        <f t="shared" si="16"/>
        <v>antennalegconntype</v>
      </c>
      <c r="D158" s="4">
        <f t="shared" si="17"/>
        <v>209</v>
      </c>
      <c r="E158" t="str">
        <f t="shared" si="18"/>
        <v>AntennaFlatIPADiagonal</v>
      </c>
      <c r="F158" s="4" t="str">
        <f t="shared" si="19"/>
        <v>YES</v>
      </c>
      <c r="G158" s="4" t="str">
        <f t="shared" si="20"/>
        <v>YES</v>
      </c>
      <c r="H158" s="4" t="str">
        <f t="shared" si="21"/>
        <v>YES</v>
      </c>
      <c r="I158" t="s">
        <v>874</v>
      </c>
      <c r="M158" t="str">
        <f t="shared" si="22"/>
        <v>antennalegconntype</v>
      </c>
      <c r="N158" t="s">
        <v>926</v>
      </c>
      <c r="O158" t="s">
        <v>728</v>
      </c>
      <c r="P158" t="s">
        <v>248</v>
      </c>
      <c r="T158" t="str">
        <f t="shared" si="23"/>
        <v>antennahorizontalufactor</v>
      </c>
      <c r="U158" t="s">
        <v>924</v>
      </c>
      <c r="V158" t="s">
        <v>767</v>
      </c>
      <c r="W158" t="s">
        <v>766</v>
      </c>
    </row>
    <row r="159" spans="1:23" hidden="1" x14ac:dyDescent="0.25">
      <c r="A159" t="s">
        <v>927</v>
      </c>
      <c r="B159" s="2" t="s">
        <v>251</v>
      </c>
      <c r="C159" s="3" t="str">
        <f t="shared" si="16"/>
        <v>antennalegnumbolts</v>
      </c>
      <c r="D159" s="4">
        <f t="shared" si="17"/>
        <v>210</v>
      </c>
      <c r="E159" t="str">
        <f t="shared" si="18"/>
        <v>AntennaRoundIPADiagonal</v>
      </c>
      <c r="F159" s="4" t="str">
        <f t="shared" si="19"/>
        <v>YES</v>
      </c>
      <c r="G159" s="4" t="str">
        <f t="shared" si="20"/>
        <v>YES</v>
      </c>
      <c r="H159" s="4" t="str">
        <f t="shared" si="21"/>
        <v>YES</v>
      </c>
      <c r="I159" t="s">
        <v>875</v>
      </c>
      <c r="J159" t="s">
        <v>446</v>
      </c>
      <c r="M159" t="str">
        <f t="shared" si="22"/>
        <v>antennalegnumbolts</v>
      </c>
      <c r="N159" t="s">
        <v>927</v>
      </c>
      <c r="O159" t="s">
        <v>724</v>
      </c>
      <c r="P159" t="s">
        <v>248</v>
      </c>
      <c r="T159" t="str">
        <f t="shared" si="23"/>
        <v>antennashorthorizontalufactor</v>
      </c>
      <c r="U159" t="s">
        <v>925</v>
      </c>
      <c r="V159" t="s">
        <v>767</v>
      </c>
      <c r="W159" t="s">
        <v>766</v>
      </c>
    </row>
    <row r="160" spans="1:23" hidden="1" x14ac:dyDescent="0.25">
      <c r="A160" t="s">
        <v>928</v>
      </c>
      <c r="B160" s="2" t="s">
        <v>282</v>
      </c>
      <c r="C160" s="3" t="str">
        <f t="shared" si="16"/>
        <v>antennadiagonalnumbolts</v>
      </c>
      <c r="D160" s="4">
        <f t="shared" si="17"/>
        <v>211</v>
      </c>
      <c r="E160" t="str">
        <f t="shared" si="18"/>
        <v>AntennaCSA_S37_SpeedUpFactor</v>
      </c>
      <c r="F160" s="4" t="str">
        <f t="shared" si="19"/>
        <v>YES</v>
      </c>
      <c r="G160" s="4" t="str">
        <f t="shared" si="20"/>
        <v>YES</v>
      </c>
      <c r="H160" s="4" t="str">
        <f t="shared" si="21"/>
        <v>YES</v>
      </c>
      <c r="I160" t="s">
        <v>876</v>
      </c>
      <c r="M160" t="str">
        <f t="shared" si="22"/>
        <v>antennadiagonalnumbolts</v>
      </c>
      <c r="N160" t="s">
        <v>928</v>
      </c>
      <c r="O160" t="s">
        <v>724</v>
      </c>
      <c r="P160" t="s">
        <v>248</v>
      </c>
      <c r="T160" t="str">
        <f t="shared" si="23"/>
        <v>antennalegconntype</v>
      </c>
      <c r="U160" t="s">
        <v>926</v>
      </c>
      <c r="V160" t="s">
        <v>769</v>
      </c>
      <c r="W160" t="s">
        <v>766</v>
      </c>
    </row>
    <row r="161" spans="1:23" hidden="1" x14ac:dyDescent="0.25">
      <c r="A161" t="s">
        <v>929</v>
      </c>
      <c r="B161" s="2" t="s">
        <v>283</v>
      </c>
      <c r="C161" s="3" t="str">
        <f t="shared" si="16"/>
        <v>antennatopgirtnumbolts</v>
      </c>
      <c r="D161" s="4">
        <f t="shared" si="17"/>
        <v>212</v>
      </c>
      <c r="E161" t="str">
        <f t="shared" si="18"/>
        <v>AntennaKLegs</v>
      </c>
      <c r="F161" s="4" t="str">
        <f t="shared" si="19"/>
        <v>YES</v>
      </c>
      <c r="G161" s="4" t="str">
        <f t="shared" si="20"/>
        <v>YES</v>
      </c>
      <c r="H161" s="4" t="str">
        <f t="shared" si="21"/>
        <v>YES</v>
      </c>
      <c r="I161" t="s">
        <v>877</v>
      </c>
      <c r="M161" t="str">
        <f t="shared" si="22"/>
        <v>antennatopgirtnumbolts</v>
      </c>
      <c r="N161" t="s">
        <v>929</v>
      </c>
      <c r="O161" t="s">
        <v>724</v>
      </c>
      <c r="P161" t="s">
        <v>248</v>
      </c>
      <c r="T161" t="str">
        <f t="shared" si="23"/>
        <v>antennalegnumbolts</v>
      </c>
      <c r="U161" t="s">
        <v>927</v>
      </c>
      <c r="V161" t="s">
        <v>767</v>
      </c>
      <c r="W161" t="s">
        <v>766</v>
      </c>
    </row>
    <row r="162" spans="1:23" hidden="1" x14ac:dyDescent="0.25">
      <c r="A162" t="s">
        <v>930</v>
      </c>
      <c r="B162" s="2" t="s">
        <v>284</v>
      </c>
      <c r="C162" s="3" t="str">
        <f t="shared" si="16"/>
        <v>antennabotgirtnumbolts</v>
      </c>
      <c r="D162" s="4">
        <f t="shared" si="17"/>
        <v>213</v>
      </c>
      <c r="E162" t="str">
        <f t="shared" si="18"/>
        <v>AntennaKXBracedDiags</v>
      </c>
      <c r="F162" s="4" t="str">
        <f t="shared" si="19"/>
        <v>YES</v>
      </c>
      <c r="G162" s="4" t="str">
        <f t="shared" si="20"/>
        <v>YES</v>
      </c>
      <c r="H162" s="4" t="str">
        <f t="shared" si="21"/>
        <v>YES</v>
      </c>
      <c r="I162" t="s">
        <v>878</v>
      </c>
      <c r="M162" t="str">
        <f t="shared" si="22"/>
        <v>antennabotgirtnumbolts</v>
      </c>
      <c r="N162" t="s">
        <v>930</v>
      </c>
      <c r="O162" t="s">
        <v>724</v>
      </c>
      <c r="P162" t="s">
        <v>248</v>
      </c>
      <c r="T162" t="str">
        <f t="shared" si="23"/>
        <v>antennadiagonalnumbolts</v>
      </c>
      <c r="U162" t="s">
        <v>928</v>
      </c>
      <c r="V162" t="s">
        <v>767</v>
      </c>
      <c r="W162" t="s">
        <v>766</v>
      </c>
    </row>
    <row r="163" spans="1:23" hidden="1" x14ac:dyDescent="0.25">
      <c r="A163" t="s">
        <v>931</v>
      </c>
      <c r="B163" s="2" t="s">
        <v>254</v>
      </c>
      <c r="C163" s="3" t="str">
        <f t="shared" si="16"/>
        <v>antennainnergirtnumbolts</v>
      </c>
      <c r="D163" s="4">
        <f t="shared" si="17"/>
        <v>214</v>
      </c>
      <c r="E163" t="str">
        <f t="shared" si="18"/>
        <v>AntennaKKBracedDiags</v>
      </c>
      <c r="F163" s="4" t="str">
        <f t="shared" si="19"/>
        <v>YES</v>
      </c>
      <c r="G163" s="4" t="str">
        <f t="shared" si="20"/>
        <v>YES</v>
      </c>
      <c r="H163" s="4" t="str">
        <f t="shared" si="21"/>
        <v>YES</v>
      </c>
      <c r="I163" t="s">
        <v>879</v>
      </c>
      <c r="J163" t="s">
        <v>346</v>
      </c>
      <c r="M163" t="str">
        <f t="shared" si="22"/>
        <v>antennainnergirtnumbolts</v>
      </c>
      <c r="N163" t="s">
        <v>931</v>
      </c>
      <c r="O163" t="s">
        <v>724</v>
      </c>
      <c r="P163" t="s">
        <v>248</v>
      </c>
      <c r="T163" t="str">
        <f t="shared" si="23"/>
        <v>antennatopgirtnumbolts</v>
      </c>
      <c r="U163" t="s">
        <v>929</v>
      </c>
      <c r="V163" t="s">
        <v>767</v>
      </c>
      <c r="W163" t="s">
        <v>766</v>
      </c>
    </row>
    <row r="164" spans="1:23" hidden="1" x14ac:dyDescent="0.25">
      <c r="A164" t="s">
        <v>932</v>
      </c>
      <c r="B164" s="2" t="s">
        <v>284</v>
      </c>
      <c r="C164" s="3" t="str">
        <f t="shared" si="16"/>
        <v>antennahorizontalnumbolts</v>
      </c>
      <c r="D164" s="4">
        <f t="shared" si="17"/>
        <v>215</v>
      </c>
      <c r="E164" t="str">
        <f t="shared" si="18"/>
        <v>AntennaKZBracedDiags</v>
      </c>
      <c r="F164" s="4" t="str">
        <f t="shared" si="19"/>
        <v>YES</v>
      </c>
      <c r="G164" s="4" t="str">
        <f t="shared" si="20"/>
        <v>YES</v>
      </c>
      <c r="H164" s="4" t="str">
        <f t="shared" si="21"/>
        <v>YES</v>
      </c>
      <c r="I164" t="s">
        <v>880</v>
      </c>
      <c r="M164" t="str">
        <f t="shared" si="22"/>
        <v>antennahorizontalnumbolts</v>
      </c>
      <c r="N164" t="s">
        <v>932</v>
      </c>
      <c r="O164" t="s">
        <v>724</v>
      </c>
      <c r="P164" t="s">
        <v>248</v>
      </c>
      <c r="T164" t="str">
        <f t="shared" si="23"/>
        <v>antennabotgirtnumbolts</v>
      </c>
      <c r="U164" t="s">
        <v>930</v>
      </c>
      <c r="V164" t="s">
        <v>767</v>
      </c>
      <c r="W164" t="s">
        <v>766</v>
      </c>
    </row>
    <row r="165" spans="1:23" hidden="1" x14ac:dyDescent="0.25">
      <c r="A165" t="s">
        <v>933</v>
      </c>
      <c r="B165" s="2" t="s">
        <v>254</v>
      </c>
      <c r="C165" s="3" t="str">
        <f t="shared" si="16"/>
        <v>antennashorthorizontalnumbolts</v>
      </c>
      <c r="D165" s="4">
        <f t="shared" si="17"/>
        <v>216</v>
      </c>
      <c r="E165" t="str">
        <f t="shared" si="18"/>
        <v>AntennaKHorzs</v>
      </c>
      <c r="F165" s="4" t="str">
        <f t="shared" si="19"/>
        <v>YES</v>
      </c>
      <c r="G165" s="4" t="str">
        <f t="shared" si="20"/>
        <v>YES</v>
      </c>
      <c r="H165" s="4" t="str">
        <f t="shared" si="21"/>
        <v>YES</v>
      </c>
      <c r="I165" t="s">
        <v>881</v>
      </c>
      <c r="M165" t="str">
        <f t="shared" si="22"/>
        <v>antennashorthorizontalnumbolts</v>
      </c>
      <c r="N165" t="s">
        <v>933</v>
      </c>
      <c r="O165" t="s">
        <v>724</v>
      </c>
      <c r="P165" t="s">
        <v>248</v>
      </c>
      <c r="T165" t="str">
        <f t="shared" si="23"/>
        <v>antennainnergirtnumbolts</v>
      </c>
      <c r="U165" t="s">
        <v>931</v>
      </c>
      <c r="V165" t="s">
        <v>767</v>
      </c>
      <c r="W165" t="s">
        <v>766</v>
      </c>
    </row>
    <row r="166" spans="1:23" hidden="1" x14ac:dyDescent="0.25">
      <c r="A166" t="s">
        <v>934</v>
      </c>
      <c r="B166" s="2" t="s">
        <v>284</v>
      </c>
      <c r="C166" s="3" t="str">
        <f t="shared" si="16"/>
        <v>antennalegboltgrade</v>
      </c>
      <c r="D166" s="4">
        <f t="shared" si="17"/>
        <v>217</v>
      </c>
      <c r="E166" t="str">
        <f t="shared" si="18"/>
        <v>AntennaKSecHorzs</v>
      </c>
      <c r="F166" s="4" t="str">
        <f t="shared" si="19"/>
        <v>YES</v>
      </c>
      <c r="G166" s="4" t="str">
        <f t="shared" si="20"/>
        <v>YES</v>
      </c>
      <c r="H166" s="4" t="str">
        <f t="shared" si="21"/>
        <v>YES</v>
      </c>
      <c r="I166" t="s">
        <v>882</v>
      </c>
      <c r="M166" t="str">
        <f t="shared" si="22"/>
        <v>antennalegboltgrade</v>
      </c>
      <c r="N166" t="s">
        <v>934</v>
      </c>
      <c r="O166" t="s">
        <v>728</v>
      </c>
      <c r="P166" t="s">
        <v>248</v>
      </c>
      <c r="T166" t="str">
        <f t="shared" si="23"/>
        <v>antennahorizontalnumbolts</v>
      </c>
      <c r="U166" t="s">
        <v>932</v>
      </c>
      <c r="V166" t="s">
        <v>767</v>
      </c>
      <c r="W166" t="s">
        <v>766</v>
      </c>
    </row>
    <row r="167" spans="1:23" hidden="1" x14ac:dyDescent="0.25">
      <c r="A167" t="s">
        <v>935</v>
      </c>
      <c r="B167" s="2" t="s">
        <v>254</v>
      </c>
      <c r="C167" s="3" t="str">
        <f t="shared" si="16"/>
        <v>antennalegboltsize</v>
      </c>
      <c r="D167" s="4">
        <f t="shared" si="17"/>
        <v>218</v>
      </c>
      <c r="E167" t="str">
        <f t="shared" si="18"/>
        <v>AntennaKGirts</v>
      </c>
      <c r="F167" s="4" t="str">
        <f t="shared" si="19"/>
        <v>YES</v>
      </c>
      <c r="G167" s="4" t="str">
        <f t="shared" si="20"/>
        <v>YES</v>
      </c>
      <c r="H167" s="4" t="str">
        <f t="shared" si="21"/>
        <v>YES</v>
      </c>
      <c r="I167" t="s">
        <v>883</v>
      </c>
      <c r="J167">
        <v>1.05</v>
      </c>
      <c r="M167" t="str">
        <f t="shared" si="22"/>
        <v>antennalegboltsize</v>
      </c>
      <c r="N167" t="s">
        <v>935</v>
      </c>
      <c r="O167" t="s">
        <v>727</v>
      </c>
      <c r="P167" t="s">
        <v>723</v>
      </c>
      <c r="Q167" t="s">
        <v>248</v>
      </c>
      <c r="T167" t="str">
        <f t="shared" si="23"/>
        <v>antennashorthorizontalnumbolts</v>
      </c>
      <c r="U167" t="s">
        <v>933</v>
      </c>
      <c r="V167" t="s">
        <v>767</v>
      </c>
      <c r="W167" t="s">
        <v>766</v>
      </c>
    </row>
    <row r="168" spans="1:23" hidden="1" x14ac:dyDescent="0.25">
      <c r="A168" t="s">
        <v>936</v>
      </c>
      <c r="B168" s="2" t="s">
        <v>282</v>
      </c>
      <c r="C168" s="3" t="str">
        <f t="shared" si="16"/>
        <v>antennadiagonalboltgrade</v>
      </c>
      <c r="D168" s="4">
        <f t="shared" si="17"/>
        <v>219</v>
      </c>
      <c r="E168" t="str">
        <f t="shared" si="18"/>
        <v>AntennaKInners</v>
      </c>
      <c r="F168" s="4" t="str">
        <f t="shared" si="19"/>
        <v>YES</v>
      </c>
      <c r="G168" s="4" t="str">
        <f t="shared" si="20"/>
        <v>YES</v>
      </c>
      <c r="H168" s="4" t="str">
        <f t="shared" si="21"/>
        <v>YES</v>
      </c>
      <c r="I168" t="s">
        <v>884</v>
      </c>
      <c r="J168">
        <v>1</v>
      </c>
      <c r="M168" t="str">
        <f t="shared" si="22"/>
        <v>antennadiagonalboltgrade</v>
      </c>
      <c r="N168" t="s">
        <v>936</v>
      </c>
      <c r="O168" t="s">
        <v>728</v>
      </c>
      <c r="P168" t="s">
        <v>248</v>
      </c>
      <c r="T168" t="str">
        <f t="shared" si="23"/>
        <v>antennalegboltgrade</v>
      </c>
      <c r="U168" t="s">
        <v>934</v>
      </c>
      <c r="V168" t="s">
        <v>769</v>
      </c>
      <c r="W168" t="s">
        <v>766</v>
      </c>
    </row>
    <row r="169" spans="1:23" hidden="1" x14ac:dyDescent="0.25">
      <c r="A169" t="s">
        <v>937</v>
      </c>
      <c r="B169" s="2" t="s">
        <v>278</v>
      </c>
      <c r="C169" s="3" t="str">
        <f t="shared" si="16"/>
        <v>antennadiagonalboltsize</v>
      </c>
      <c r="D169" s="4">
        <f t="shared" si="17"/>
        <v>220</v>
      </c>
      <c r="E169" t="str">
        <f t="shared" si="18"/>
        <v>AntennaKXBracedDiagsY</v>
      </c>
      <c r="F169" s="4" t="str">
        <f t="shared" si="19"/>
        <v>YES</v>
      </c>
      <c r="G169" s="4" t="str">
        <f t="shared" si="20"/>
        <v>YES</v>
      </c>
      <c r="H169" s="4" t="str">
        <f t="shared" si="21"/>
        <v>YES</v>
      </c>
      <c r="I169" t="s">
        <v>885</v>
      </c>
      <c r="J169" t="s">
        <v>305</v>
      </c>
      <c r="M169" t="str">
        <f t="shared" si="22"/>
        <v>antennadiagonalboltsize</v>
      </c>
      <c r="N169" t="s">
        <v>937</v>
      </c>
      <c r="O169" t="s">
        <v>727</v>
      </c>
      <c r="P169" t="s">
        <v>723</v>
      </c>
      <c r="Q169" t="s">
        <v>248</v>
      </c>
      <c r="T169" t="str">
        <f t="shared" si="23"/>
        <v>antennalegboltsize</v>
      </c>
      <c r="U169" t="s">
        <v>935</v>
      </c>
      <c r="V169" t="s">
        <v>767</v>
      </c>
      <c r="W169" t="s">
        <v>766</v>
      </c>
    </row>
    <row r="170" spans="1:23" hidden="1" x14ac:dyDescent="0.25">
      <c r="A170" t="s">
        <v>938</v>
      </c>
      <c r="B170" s="2" t="s">
        <v>282</v>
      </c>
      <c r="C170" s="3" t="str">
        <f t="shared" si="16"/>
        <v>antennatopgirtboltgrade</v>
      </c>
      <c r="D170" s="4">
        <f t="shared" si="17"/>
        <v>221</v>
      </c>
      <c r="E170" t="str">
        <f t="shared" si="18"/>
        <v>AntennaKKBracedDiagsY</v>
      </c>
      <c r="F170" s="4" t="str">
        <f t="shared" si="19"/>
        <v>YES</v>
      </c>
      <c r="G170" s="4" t="str">
        <f t="shared" si="20"/>
        <v>YES</v>
      </c>
      <c r="H170" s="4" t="str">
        <f t="shared" si="21"/>
        <v>YES</v>
      </c>
      <c r="I170" t="s">
        <v>886</v>
      </c>
      <c r="J170" t="s">
        <v>303</v>
      </c>
      <c r="M170" t="str">
        <f t="shared" si="22"/>
        <v>antennatopgirtboltgrade</v>
      </c>
      <c r="N170" t="s">
        <v>938</v>
      </c>
      <c r="O170" t="s">
        <v>728</v>
      </c>
      <c r="P170" t="s">
        <v>248</v>
      </c>
      <c r="T170" t="str">
        <f t="shared" si="23"/>
        <v>antennadiagonalboltgrade</v>
      </c>
      <c r="U170" t="s">
        <v>936</v>
      </c>
      <c r="V170" t="s">
        <v>769</v>
      </c>
      <c r="W170" t="s">
        <v>766</v>
      </c>
    </row>
    <row r="171" spans="1:23" hidden="1" x14ac:dyDescent="0.25">
      <c r="A171" t="s">
        <v>939</v>
      </c>
      <c r="B171" s="2" t="s">
        <v>283</v>
      </c>
      <c r="C171" s="3" t="str">
        <f t="shared" si="16"/>
        <v>antennatopgirtboltsize</v>
      </c>
      <c r="D171" s="4">
        <f t="shared" si="17"/>
        <v>222</v>
      </c>
      <c r="E171" t="str">
        <f t="shared" si="18"/>
        <v>AntennaKZBracedDiagsY</v>
      </c>
      <c r="F171" s="4" t="str">
        <f t="shared" si="19"/>
        <v>YES</v>
      </c>
      <c r="G171" s="4" t="str">
        <f t="shared" si="20"/>
        <v>YES</v>
      </c>
      <c r="H171" s="4" t="str">
        <f t="shared" si="21"/>
        <v>YES</v>
      </c>
      <c r="I171" t="s">
        <v>887</v>
      </c>
      <c r="J171">
        <v>0</v>
      </c>
      <c r="M171" t="str">
        <f t="shared" si="22"/>
        <v>antennatopgirtboltsize</v>
      </c>
      <c r="N171" t="s">
        <v>939</v>
      </c>
      <c r="O171" t="s">
        <v>727</v>
      </c>
      <c r="P171" t="s">
        <v>723</v>
      </c>
      <c r="Q171" t="s">
        <v>248</v>
      </c>
      <c r="T171" t="str">
        <f t="shared" si="23"/>
        <v>antennadiagonalboltsize</v>
      </c>
      <c r="U171" t="s">
        <v>937</v>
      </c>
      <c r="V171" t="s">
        <v>767</v>
      </c>
      <c r="W171" t="s">
        <v>766</v>
      </c>
    </row>
    <row r="172" spans="1:23" hidden="1" x14ac:dyDescent="0.25">
      <c r="A172" t="s">
        <v>940</v>
      </c>
      <c r="B172" s="2" t="s">
        <v>254</v>
      </c>
      <c r="C172" s="3" t="str">
        <f t="shared" si="16"/>
        <v>antennabotgirtboltgrade</v>
      </c>
      <c r="D172" s="4">
        <f t="shared" si="17"/>
        <v>223</v>
      </c>
      <c r="E172" t="str">
        <f t="shared" si="18"/>
        <v>AntennaKHorzsY</v>
      </c>
      <c r="F172" s="4" t="str">
        <f t="shared" si="19"/>
        <v>YES</v>
      </c>
      <c r="G172" s="4" t="str">
        <f t="shared" si="20"/>
        <v>YES</v>
      </c>
      <c r="H172" s="4" t="str">
        <f t="shared" si="21"/>
        <v>YES</v>
      </c>
      <c r="I172" t="s">
        <v>888</v>
      </c>
      <c r="J172">
        <v>0.375</v>
      </c>
      <c r="M172" t="str">
        <f t="shared" si="22"/>
        <v>antennabotgirtboltgrade</v>
      </c>
      <c r="N172" t="s">
        <v>940</v>
      </c>
      <c r="O172" t="s">
        <v>728</v>
      </c>
      <c r="P172" t="s">
        <v>248</v>
      </c>
      <c r="T172" t="str">
        <f t="shared" si="23"/>
        <v>antennatopgirtboltgrade</v>
      </c>
      <c r="U172" t="s">
        <v>938</v>
      </c>
      <c r="V172" t="s">
        <v>769</v>
      </c>
      <c r="W172" t="s">
        <v>766</v>
      </c>
    </row>
    <row r="173" spans="1:23" hidden="1" x14ac:dyDescent="0.25">
      <c r="A173" t="s">
        <v>941</v>
      </c>
      <c r="B173" s="2" t="s">
        <v>254</v>
      </c>
      <c r="C173" s="3" t="str">
        <f t="shared" si="16"/>
        <v>antennabotgirtboltsize</v>
      </c>
      <c r="D173" s="4">
        <f t="shared" si="17"/>
        <v>224</v>
      </c>
      <c r="E173" t="str">
        <f t="shared" si="18"/>
        <v>AntennaKSecHorzsY</v>
      </c>
      <c r="F173" s="4" t="str">
        <f t="shared" si="19"/>
        <v>YES</v>
      </c>
      <c r="G173" s="4" t="str">
        <f t="shared" si="20"/>
        <v>YES</v>
      </c>
      <c r="H173" s="4" t="str">
        <f t="shared" si="21"/>
        <v>YES</v>
      </c>
      <c r="I173" t="s">
        <v>889</v>
      </c>
      <c r="J173">
        <v>1.1875</v>
      </c>
      <c r="M173" t="str">
        <f t="shared" si="22"/>
        <v>antennabotgirtboltsize</v>
      </c>
      <c r="N173" t="s">
        <v>941</v>
      </c>
      <c r="O173" t="s">
        <v>727</v>
      </c>
      <c r="P173" t="s">
        <v>723</v>
      </c>
      <c r="Q173" t="s">
        <v>248</v>
      </c>
      <c r="T173" t="str">
        <f t="shared" si="23"/>
        <v>antennatopgirtboltsize</v>
      </c>
      <c r="U173" t="s">
        <v>939</v>
      </c>
      <c r="V173" t="s">
        <v>767</v>
      </c>
      <c r="W173" t="s">
        <v>766</v>
      </c>
    </row>
    <row r="174" spans="1:23" hidden="1" x14ac:dyDescent="0.25">
      <c r="A174" t="s">
        <v>942</v>
      </c>
      <c r="B174" s="2" t="s">
        <v>254</v>
      </c>
      <c r="C174" s="3" t="str">
        <f t="shared" si="16"/>
        <v>antennainnergirtboltgrade</v>
      </c>
      <c r="D174" s="4">
        <f t="shared" si="17"/>
        <v>225</v>
      </c>
      <c r="E174" t="str">
        <f t="shared" si="18"/>
        <v>AntennaKGirtsY</v>
      </c>
      <c r="F174" s="4" t="str">
        <f t="shared" si="19"/>
        <v>YES</v>
      </c>
      <c r="G174" s="4" t="str">
        <f t="shared" si="20"/>
        <v>YES</v>
      </c>
      <c r="H174" s="4" t="str">
        <f t="shared" si="21"/>
        <v>YES</v>
      </c>
      <c r="I174" t="s">
        <v>890</v>
      </c>
      <c r="J174">
        <v>36</v>
      </c>
      <c r="M174" t="str">
        <f t="shared" si="22"/>
        <v>antennainnergirtboltgrade</v>
      </c>
      <c r="N174" t="s">
        <v>942</v>
      </c>
      <c r="O174" t="s">
        <v>728</v>
      </c>
      <c r="P174" t="s">
        <v>248</v>
      </c>
      <c r="T174" t="str">
        <f t="shared" si="23"/>
        <v>antennabotgirtboltgrade</v>
      </c>
      <c r="U174" t="s">
        <v>940</v>
      </c>
      <c r="V174" t="s">
        <v>769</v>
      </c>
      <c r="W174" t="s">
        <v>766</v>
      </c>
    </row>
    <row r="175" spans="1:23" hidden="1" x14ac:dyDescent="0.25">
      <c r="A175" t="s">
        <v>943</v>
      </c>
      <c r="B175" s="2" t="s">
        <v>254</v>
      </c>
      <c r="C175" s="3" t="str">
        <f t="shared" si="16"/>
        <v>antennainnergirtboltsize</v>
      </c>
      <c r="D175" s="4">
        <f t="shared" si="17"/>
        <v>226</v>
      </c>
      <c r="E175" t="str">
        <f t="shared" si="18"/>
        <v>AntennaKInnersY</v>
      </c>
      <c r="F175" s="4" t="str">
        <f t="shared" si="19"/>
        <v>YES</v>
      </c>
      <c r="G175" s="4" t="str">
        <f t="shared" si="20"/>
        <v>YES</v>
      </c>
      <c r="H175" s="4" t="str">
        <f t="shared" si="21"/>
        <v>YES</v>
      </c>
      <c r="I175" t="s">
        <v>891</v>
      </c>
      <c r="J175" t="s">
        <v>320</v>
      </c>
      <c r="M175" t="str">
        <f t="shared" si="22"/>
        <v>antennainnergirtboltsize</v>
      </c>
      <c r="N175" t="s">
        <v>943</v>
      </c>
      <c r="O175" t="s">
        <v>727</v>
      </c>
      <c r="P175" t="s">
        <v>723</v>
      </c>
      <c r="Q175" t="s">
        <v>248</v>
      </c>
      <c r="T175" t="str">
        <f t="shared" si="23"/>
        <v>antennabotgirtboltsize</v>
      </c>
      <c r="U175" t="s">
        <v>941</v>
      </c>
      <c r="V175" t="s">
        <v>767</v>
      </c>
      <c r="W175" t="s">
        <v>766</v>
      </c>
    </row>
    <row r="176" spans="1:23" hidden="1" x14ac:dyDescent="0.25">
      <c r="A176" t="s">
        <v>944</v>
      </c>
      <c r="B176" s="2" t="s">
        <v>254</v>
      </c>
      <c r="C176" s="3" t="str">
        <f t="shared" si="16"/>
        <v>antennahorizontalboltgrade</v>
      </c>
      <c r="D176" s="4">
        <f t="shared" si="17"/>
        <v>227</v>
      </c>
      <c r="E176" t="str">
        <f t="shared" si="18"/>
        <v>AntennaKRedHorz</v>
      </c>
      <c r="F176" s="4" t="str">
        <f t="shared" si="19"/>
        <v>YES</v>
      </c>
      <c r="G176" s="4" t="str">
        <f t="shared" si="20"/>
        <v>YES</v>
      </c>
      <c r="H176" s="4" t="str">
        <f t="shared" si="21"/>
        <v>YES</v>
      </c>
      <c r="I176" t="s">
        <v>892</v>
      </c>
      <c r="J176">
        <v>1</v>
      </c>
      <c r="M176" t="str">
        <f t="shared" si="22"/>
        <v>antennahorizontalboltgrade</v>
      </c>
      <c r="N176" t="s">
        <v>944</v>
      </c>
      <c r="O176" t="s">
        <v>728</v>
      </c>
      <c r="P176" t="s">
        <v>248</v>
      </c>
      <c r="T176" t="str">
        <f t="shared" si="23"/>
        <v>antennainnergirtboltgrade</v>
      </c>
      <c r="U176" t="s">
        <v>942</v>
      </c>
      <c r="V176" t="s">
        <v>769</v>
      </c>
      <c r="W176" t="s">
        <v>766</v>
      </c>
    </row>
    <row r="177" spans="1:23" hidden="1" x14ac:dyDescent="0.25">
      <c r="A177" t="s">
        <v>945</v>
      </c>
      <c r="B177" s="2" t="s">
        <v>254</v>
      </c>
      <c r="C177" s="3" t="str">
        <f t="shared" si="16"/>
        <v>antennahorizontalboltsize</v>
      </c>
      <c r="D177" s="4">
        <f t="shared" si="17"/>
        <v>228</v>
      </c>
      <c r="E177" t="str">
        <f t="shared" si="18"/>
        <v>AntennaKRedDiag</v>
      </c>
      <c r="F177" s="4" t="str">
        <f t="shared" si="19"/>
        <v>YES</v>
      </c>
      <c r="G177" s="4" t="str">
        <f t="shared" si="20"/>
        <v>YES</v>
      </c>
      <c r="H177" s="4" t="str">
        <f t="shared" si="21"/>
        <v>YES</v>
      </c>
      <c r="I177" t="s">
        <v>893</v>
      </c>
      <c r="J177">
        <v>1.03</v>
      </c>
      <c r="M177" t="str">
        <f t="shared" si="22"/>
        <v>antennahorizontalboltsize</v>
      </c>
      <c r="N177" t="s">
        <v>945</v>
      </c>
      <c r="O177" t="s">
        <v>727</v>
      </c>
      <c r="P177" t="s">
        <v>723</v>
      </c>
      <c r="Q177" t="s">
        <v>248</v>
      </c>
      <c r="T177" t="str">
        <f t="shared" si="23"/>
        <v>antennainnergirtboltsize</v>
      </c>
      <c r="U177" t="s">
        <v>943</v>
      </c>
      <c r="V177" t="s">
        <v>767</v>
      </c>
      <c r="W177" t="s">
        <v>766</v>
      </c>
    </row>
    <row r="178" spans="1:23" hidden="1" x14ac:dyDescent="0.25">
      <c r="A178" t="s">
        <v>946</v>
      </c>
      <c r="B178" s="2" t="s">
        <v>254</v>
      </c>
      <c r="C178" s="3" t="str">
        <f t="shared" si="16"/>
        <v>antennashorthorizontalboltgrade</v>
      </c>
      <c r="D178" s="4">
        <f t="shared" si="17"/>
        <v>229</v>
      </c>
      <c r="E178" t="str">
        <f t="shared" si="18"/>
        <v>AntennaKRedSubDiag</v>
      </c>
      <c r="F178" s="4" t="str">
        <f t="shared" si="19"/>
        <v>YES</v>
      </c>
      <c r="G178" s="4" t="str">
        <f t="shared" si="20"/>
        <v>YES</v>
      </c>
      <c r="H178" s="4" t="str">
        <f t="shared" si="21"/>
        <v>YES</v>
      </c>
      <c r="I178" t="s">
        <v>894</v>
      </c>
      <c r="J178">
        <v>0</v>
      </c>
      <c r="M178" t="str">
        <f t="shared" si="22"/>
        <v>antennashorthorizontalboltgrade</v>
      </c>
      <c r="N178" t="s">
        <v>946</v>
      </c>
      <c r="O178" t="s">
        <v>728</v>
      </c>
      <c r="P178" t="s">
        <v>248</v>
      </c>
      <c r="T178" t="str">
        <f t="shared" si="23"/>
        <v>antennahorizontalboltgrade</v>
      </c>
      <c r="U178" t="s">
        <v>944</v>
      </c>
      <c r="V178" t="s">
        <v>769</v>
      </c>
      <c r="W178" t="s">
        <v>766</v>
      </c>
    </row>
    <row r="179" spans="1:23" hidden="1" x14ac:dyDescent="0.25">
      <c r="A179" t="s">
        <v>947</v>
      </c>
      <c r="B179" s="2" t="s">
        <v>254</v>
      </c>
      <c r="C179" s="3" t="str">
        <f t="shared" si="16"/>
        <v>antennashorthorizontalboltsize</v>
      </c>
      <c r="D179" s="4">
        <f t="shared" si="17"/>
        <v>230</v>
      </c>
      <c r="E179" t="str">
        <f t="shared" si="18"/>
        <v>AntennaKRedSubHorz</v>
      </c>
      <c r="F179" s="4" t="str">
        <f t="shared" si="19"/>
        <v>YES</v>
      </c>
      <c r="G179" s="4" t="str">
        <f t="shared" si="20"/>
        <v>YES</v>
      </c>
      <c r="H179" s="4" t="str">
        <f t="shared" si="21"/>
        <v>YES</v>
      </c>
      <c r="I179" t="s">
        <v>895</v>
      </c>
      <c r="J179">
        <v>0</v>
      </c>
      <c r="M179" t="str">
        <f t="shared" si="22"/>
        <v>antennashorthorizontalboltsize</v>
      </c>
      <c r="N179" t="s">
        <v>947</v>
      </c>
      <c r="O179" t="s">
        <v>727</v>
      </c>
      <c r="P179" t="s">
        <v>723</v>
      </c>
      <c r="Q179" t="s">
        <v>248</v>
      </c>
      <c r="T179" t="str">
        <f t="shared" si="23"/>
        <v>antennahorizontalboltsize</v>
      </c>
      <c r="U179" t="s">
        <v>945</v>
      </c>
      <c r="V179" t="s">
        <v>767</v>
      </c>
      <c r="W179" t="s">
        <v>766</v>
      </c>
    </row>
    <row r="180" spans="1:23" hidden="1" x14ac:dyDescent="0.25">
      <c r="A180" t="s">
        <v>948</v>
      </c>
      <c r="B180" s="2" t="s">
        <v>254</v>
      </c>
      <c r="C180" s="3" t="str">
        <f t="shared" si="16"/>
        <v>antennalegboltedgedistance</v>
      </c>
      <c r="D180" s="4">
        <f t="shared" si="17"/>
        <v>231</v>
      </c>
      <c r="E180" t="str">
        <f t="shared" si="18"/>
        <v>AntennaKRedVert</v>
      </c>
      <c r="F180" s="4" t="str">
        <f t="shared" si="19"/>
        <v>YES</v>
      </c>
      <c r="G180" s="4" t="str">
        <f t="shared" si="20"/>
        <v>YES</v>
      </c>
      <c r="H180" s="4" t="str">
        <f t="shared" si="21"/>
        <v>YES</v>
      </c>
      <c r="I180" t="s">
        <v>896</v>
      </c>
      <c r="J180">
        <v>0</v>
      </c>
      <c r="M180" t="str">
        <f t="shared" si="22"/>
        <v>antennalegboltedgedistance</v>
      </c>
      <c r="N180" t="s">
        <v>948</v>
      </c>
      <c r="O180" t="s">
        <v>727</v>
      </c>
      <c r="P180" t="s">
        <v>723</v>
      </c>
      <c r="Q180" t="s">
        <v>248</v>
      </c>
      <c r="T180" t="str">
        <f t="shared" si="23"/>
        <v>antennashorthorizontalboltgrade</v>
      </c>
      <c r="U180" t="s">
        <v>946</v>
      </c>
      <c r="V180" t="s">
        <v>769</v>
      </c>
      <c r="W180" t="s">
        <v>766</v>
      </c>
    </row>
    <row r="181" spans="1:23" hidden="1" x14ac:dyDescent="0.25">
      <c r="A181" t="s">
        <v>949</v>
      </c>
      <c r="B181" s="2" t="s">
        <v>254</v>
      </c>
      <c r="C181" s="3" t="str">
        <f t="shared" si="16"/>
        <v>antennadiagonalboltedgedistance</v>
      </c>
      <c r="D181" s="4">
        <f t="shared" si="17"/>
        <v>232</v>
      </c>
      <c r="E181" t="str">
        <f t="shared" si="18"/>
        <v>AntennaKRedHip</v>
      </c>
      <c r="F181" s="4" t="str">
        <f t="shared" si="19"/>
        <v>YES</v>
      </c>
      <c r="G181" s="4" t="str">
        <f t="shared" si="20"/>
        <v>YES</v>
      </c>
      <c r="H181" s="4" t="str">
        <f t="shared" si="21"/>
        <v>YES</v>
      </c>
      <c r="I181" t="s">
        <v>897</v>
      </c>
      <c r="J181">
        <v>0</v>
      </c>
      <c r="M181" t="str">
        <f t="shared" si="22"/>
        <v>antennadiagonalboltedgedistance</v>
      </c>
      <c r="N181" t="s">
        <v>949</v>
      </c>
      <c r="O181" t="s">
        <v>727</v>
      </c>
      <c r="P181" t="s">
        <v>723</v>
      </c>
      <c r="Q181" t="s">
        <v>248</v>
      </c>
      <c r="T181" t="str">
        <f t="shared" si="23"/>
        <v>antennashorthorizontalboltsize</v>
      </c>
      <c r="U181" t="s">
        <v>947</v>
      </c>
      <c r="V181" t="s">
        <v>767</v>
      </c>
      <c r="W181" t="s">
        <v>766</v>
      </c>
    </row>
    <row r="182" spans="1:23" hidden="1" x14ac:dyDescent="0.25">
      <c r="A182" t="s">
        <v>950</v>
      </c>
      <c r="B182" s="2" t="s">
        <v>254</v>
      </c>
      <c r="C182" s="3" t="str">
        <f t="shared" si="16"/>
        <v>antennatopgirtboltedgedistance</v>
      </c>
      <c r="D182" s="4">
        <f t="shared" si="17"/>
        <v>233</v>
      </c>
      <c r="E182" t="str">
        <f t="shared" si="18"/>
        <v>AntennaKRedHipDiag</v>
      </c>
      <c r="F182" s="4" t="str">
        <f t="shared" si="19"/>
        <v>YES</v>
      </c>
      <c r="G182" s="4" t="str">
        <f t="shared" si="20"/>
        <v>YES</v>
      </c>
      <c r="H182" s="4" t="str">
        <f t="shared" si="21"/>
        <v>YES</v>
      </c>
      <c r="I182" t="s">
        <v>898</v>
      </c>
      <c r="J182">
        <v>0</v>
      </c>
      <c r="M182" t="str">
        <f t="shared" si="22"/>
        <v>antennatopgirtboltedgedistance</v>
      </c>
      <c r="N182" t="s">
        <v>950</v>
      </c>
      <c r="O182" t="s">
        <v>727</v>
      </c>
      <c r="P182" t="s">
        <v>723</v>
      </c>
      <c r="Q182" t="s">
        <v>248</v>
      </c>
      <c r="T182" t="str">
        <f t="shared" si="23"/>
        <v>antennalegboltedgedistance</v>
      </c>
      <c r="U182" t="s">
        <v>948</v>
      </c>
      <c r="V182" t="s">
        <v>767</v>
      </c>
      <c r="W182" t="s">
        <v>766</v>
      </c>
    </row>
    <row r="183" spans="1:23" hidden="1" x14ac:dyDescent="0.25">
      <c r="A183" t="s">
        <v>951</v>
      </c>
      <c r="B183" s="2" t="s">
        <v>254</v>
      </c>
      <c r="C183" s="3" t="str">
        <f t="shared" si="16"/>
        <v>antennabotgirtboltedgedistance</v>
      </c>
      <c r="D183" s="4">
        <f t="shared" si="17"/>
        <v>234</v>
      </c>
      <c r="E183" t="str">
        <f t="shared" si="18"/>
        <v>AntennaKTLX</v>
      </c>
      <c r="F183" s="4" t="str">
        <f t="shared" si="19"/>
        <v>YES</v>
      </c>
      <c r="G183" s="4" t="str">
        <f t="shared" si="20"/>
        <v>YES</v>
      </c>
      <c r="H183" s="4" t="str">
        <f t="shared" si="21"/>
        <v>YES</v>
      </c>
      <c r="I183" t="s">
        <v>899</v>
      </c>
      <c r="J183">
        <v>0</v>
      </c>
      <c r="M183" t="str">
        <f t="shared" si="22"/>
        <v>antennabotgirtboltedgedistance</v>
      </c>
      <c r="N183" t="s">
        <v>951</v>
      </c>
      <c r="O183" t="s">
        <v>727</v>
      </c>
      <c r="P183" t="s">
        <v>723</v>
      </c>
      <c r="Q183" t="s">
        <v>248</v>
      </c>
      <c r="T183" t="str">
        <f t="shared" si="23"/>
        <v>antennadiagonalboltedgedistance</v>
      </c>
      <c r="U183" t="s">
        <v>949</v>
      </c>
      <c r="V183" t="s">
        <v>767</v>
      </c>
      <c r="W183" t="s">
        <v>766</v>
      </c>
    </row>
    <row r="184" spans="1:23" hidden="1" x14ac:dyDescent="0.25">
      <c r="A184" t="s">
        <v>952</v>
      </c>
      <c r="B184" s="2" t="s">
        <v>254</v>
      </c>
      <c r="C184" s="3" t="str">
        <f t="shared" si="16"/>
        <v>antennainnergirtboltedgedistance</v>
      </c>
      <c r="D184" s="4">
        <f t="shared" si="17"/>
        <v>235</v>
      </c>
      <c r="E184" t="str">
        <f t="shared" si="18"/>
        <v>AntennaKTLZ</v>
      </c>
      <c r="F184" s="4" t="str">
        <f t="shared" si="19"/>
        <v>YES</v>
      </c>
      <c r="G184" s="4" t="str">
        <f t="shared" si="20"/>
        <v>YES</v>
      </c>
      <c r="H184" s="4" t="str">
        <f t="shared" si="21"/>
        <v>YES</v>
      </c>
      <c r="I184" t="s">
        <v>900</v>
      </c>
      <c r="J184">
        <v>0</v>
      </c>
      <c r="M184" t="str">
        <f t="shared" si="22"/>
        <v>antennainnergirtboltedgedistance</v>
      </c>
      <c r="N184" t="s">
        <v>952</v>
      </c>
      <c r="O184" t="s">
        <v>727</v>
      </c>
      <c r="P184" t="s">
        <v>723</v>
      </c>
      <c r="Q184" t="s">
        <v>248</v>
      </c>
      <c r="T184" t="str">
        <f t="shared" si="23"/>
        <v>antennatopgirtboltedgedistance</v>
      </c>
      <c r="U184" t="s">
        <v>950</v>
      </c>
      <c r="V184" t="s">
        <v>767</v>
      </c>
      <c r="W184" t="s">
        <v>766</v>
      </c>
    </row>
    <row r="185" spans="1:23" hidden="1" x14ac:dyDescent="0.25">
      <c r="A185" t="s">
        <v>953</v>
      </c>
      <c r="B185" s="2" t="s">
        <v>248</v>
      </c>
      <c r="C185" s="3" t="str">
        <f t="shared" si="16"/>
        <v>antennahorizontalboltedgedistance</v>
      </c>
      <c r="D185" s="4">
        <f t="shared" si="17"/>
        <v>236</v>
      </c>
      <c r="E185" t="str">
        <f t="shared" si="18"/>
        <v>AntennaKTLLeg</v>
      </c>
      <c r="F185" s="4" t="str">
        <f t="shared" si="19"/>
        <v>YES</v>
      </c>
      <c r="G185" s="4" t="str">
        <f t="shared" si="20"/>
        <v>YES</v>
      </c>
      <c r="H185" s="4" t="str">
        <f t="shared" si="21"/>
        <v>YES</v>
      </c>
      <c r="I185" t="s">
        <v>901</v>
      </c>
      <c r="J185">
        <v>0</v>
      </c>
      <c r="M185" t="str">
        <f t="shared" si="22"/>
        <v>antennahorizontalboltedgedistance</v>
      </c>
      <c r="N185" t="s">
        <v>953</v>
      </c>
      <c r="O185" t="s">
        <v>727</v>
      </c>
      <c r="P185" t="s">
        <v>723</v>
      </c>
      <c r="Q185" t="s">
        <v>248</v>
      </c>
      <c r="T185" t="str">
        <f t="shared" si="23"/>
        <v>antennabotgirtboltedgedistance</v>
      </c>
      <c r="U185" t="s">
        <v>951</v>
      </c>
      <c r="V185" t="s">
        <v>767</v>
      </c>
      <c r="W185" t="s">
        <v>766</v>
      </c>
    </row>
    <row r="186" spans="1:23" hidden="1" x14ac:dyDescent="0.25">
      <c r="A186" t="s">
        <v>954</v>
      </c>
      <c r="B186" s="2" t="s">
        <v>248</v>
      </c>
      <c r="C186" s="3" t="str">
        <f t="shared" si="16"/>
        <v>antennashorthorizontalboltedgedistance</v>
      </c>
      <c r="D186" s="4">
        <f t="shared" si="17"/>
        <v>237</v>
      </c>
      <c r="E186" t="str">
        <f t="shared" si="18"/>
        <v>AntennaInnerKTLX</v>
      </c>
      <c r="F186" s="4" t="str">
        <f t="shared" si="19"/>
        <v>YES</v>
      </c>
      <c r="G186" s="4" t="str">
        <f t="shared" si="20"/>
        <v>YES</v>
      </c>
      <c r="H186" s="4" t="str">
        <f t="shared" si="21"/>
        <v>YES</v>
      </c>
      <c r="I186" t="s">
        <v>902</v>
      </c>
      <c r="J186">
        <v>1</v>
      </c>
      <c r="M186" t="str">
        <f t="shared" si="22"/>
        <v>antennashorthorizontalboltedgedistance</v>
      </c>
      <c r="N186" t="s">
        <v>954</v>
      </c>
      <c r="O186" t="s">
        <v>727</v>
      </c>
      <c r="P186" t="s">
        <v>723</v>
      </c>
      <c r="Q186" t="s">
        <v>248</v>
      </c>
      <c r="T186" t="str">
        <f t="shared" si="23"/>
        <v>antennainnergirtboltedgedistance</v>
      </c>
      <c r="U186" t="s">
        <v>952</v>
      </c>
      <c r="V186" t="s">
        <v>767</v>
      </c>
      <c r="W186" t="s">
        <v>766</v>
      </c>
    </row>
    <row r="187" spans="1:23" hidden="1" x14ac:dyDescent="0.25">
      <c r="A187" t="s">
        <v>955</v>
      </c>
      <c r="B187" s="2" t="s">
        <v>248</v>
      </c>
      <c r="C187" s="3" t="str">
        <f t="shared" si="16"/>
        <v>antennadiagonalgageg1distance</v>
      </c>
      <c r="D187" s="4">
        <f t="shared" si="17"/>
        <v>238</v>
      </c>
      <c r="E187" t="str">
        <f t="shared" si="18"/>
        <v>AntennaInnerKTLZ</v>
      </c>
      <c r="F187" s="4" t="str">
        <f t="shared" si="19"/>
        <v>YES</v>
      </c>
      <c r="G187" s="4" t="str">
        <f t="shared" si="20"/>
        <v>YES</v>
      </c>
      <c r="H187" s="4" t="str">
        <f t="shared" si="21"/>
        <v>YES</v>
      </c>
      <c r="I187" t="s">
        <v>903</v>
      </c>
      <c r="J187">
        <v>1</v>
      </c>
      <c r="M187" t="str">
        <f t="shared" si="22"/>
        <v>antennadiagonalgageg1distance</v>
      </c>
      <c r="N187" t="s">
        <v>955</v>
      </c>
      <c r="O187" t="s">
        <v>727</v>
      </c>
      <c r="P187" t="s">
        <v>723</v>
      </c>
      <c r="Q187" t="s">
        <v>248</v>
      </c>
      <c r="T187" t="str">
        <f t="shared" si="23"/>
        <v>antennahorizontalboltedgedistance</v>
      </c>
      <c r="U187" t="s">
        <v>953</v>
      </c>
      <c r="V187" t="s">
        <v>767</v>
      </c>
      <c r="W187" t="s">
        <v>766</v>
      </c>
    </row>
    <row r="188" spans="1:23" hidden="1" x14ac:dyDescent="0.25">
      <c r="A188" t="s">
        <v>956</v>
      </c>
      <c r="B188" s="2" t="s">
        <v>248</v>
      </c>
      <c r="C188" s="3" t="str">
        <f t="shared" si="16"/>
        <v>antennatopgirtgageg1distance</v>
      </c>
      <c r="D188" s="4">
        <f t="shared" si="17"/>
        <v>239</v>
      </c>
      <c r="E188" t="str">
        <f t="shared" si="18"/>
        <v>AntennaInnerKTLLeg</v>
      </c>
      <c r="F188" s="4" t="str">
        <f t="shared" si="19"/>
        <v>YES</v>
      </c>
      <c r="G188" s="4" t="str">
        <f t="shared" si="20"/>
        <v>YES</v>
      </c>
      <c r="H188" s="4" t="str">
        <f t="shared" si="21"/>
        <v>YES</v>
      </c>
      <c r="I188" t="s">
        <v>904</v>
      </c>
      <c r="J188">
        <v>1</v>
      </c>
      <c r="M188" t="str">
        <f t="shared" si="22"/>
        <v>antennatopgirtgageg1distance</v>
      </c>
      <c r="N188" t="s">
        <v>956</v>
      </c>
      <c r="O188" t="s">
        <v>727</v>
      </c>
      <c r="P188" t="s">
        <v>723</v>
      </c>
      <c r="Q188" t="s">
        <v>248</v>
      </c>
      <c r="T188" t="str">
        <f t="shared" si="23"/>
        <v>antennashorthorizontalboltedgedistance</v>
      </c>
      <c r="U188" t="s">
        <v>954</v>
      </c>
      <c r="V188" t="s">
        <v>767</v>
      </c>
      <c r="W188" t="s">
        <v>766</v>
      </c>
    </row>
    <row r="189" spans="1:23" hidden="1" x14ac:dyDescent="0.25">
      <c r="A189" t="s">
        <v>957</v>
      </c>
      <c r="B189" s="2" t="s">
        <v>248</v>
      </c>
      <c r="C189" s="3" t="str">
        <f t="shared" si="16"/>
        <v>antennabotgirtgageg1distance</v>
      </c>
      <c r="D189" s="4">
        <f t="shared" si="17"/>
        <v>240</v>
      </c>
      <c r="E189" t="str">
        <f t="shared" si="18"/>
        <v>AntennaStitchBoltLocationHoriz</v>
      </c>
      <c r="F189" s="4" t="str">
        <f t="shared" si="19"/>
        <v>YES</v>
      </c>
      <c r="G189" s="4" t="str">
        <f t="shared" si="20"/>
        <v>YES</v>
      </c>
      <c r="H189" s="4" t="str">
        <f t="shared" si="21"/>
        <v>YES</v>
      </c>
      <c r="I189" t="s">
        <v>905</v>
      </c>
      <c r="J189">
        <v>1</v>
      </c>
      <c r="M189" t="str">
        <f t="shared" si="22"/>
        <v>antennabotgirtgageg1distance</v>
      </c>
      <c r="N189" t="s">
        <v>957</v>
      </c>
      <c r="O189" t="s">
        <v>727</v>
      </c>
      <c r="P189" t="s">
        <v>723</v>
      </c>
      <c r="Q189" t="s">
        <v>248</v>
      </c>
      <c r="T189" t="str">
        <f t="shared" si="23"/>
        <v>antennadiagonalgageg1distance</v>
      </c>
      <c r="U189" t="s">
        <v>955</v>
      </c>
      <c r="V189" t="s">
        <v>767</v>
      </c>
      <c r="W189" t="s">
        <v>766</v>
      </c>
    </row>
    <row r="190" spans="1:23" hidden="1" x14ac:dyDescent="0.25">
      <c r="A190" t="s">
        <v>958</v>
      </c>
      <c r="B190" s="2" t="s">
        <v>248</v>
      </c>
      <c r="C190" s="3" t="str">
        <f t="shared" si="16"/>
        <v>antennainnergirtgageg1distance</v>
      </c>
      <c r="D190" s="4">
        <f t="shared" si="17"/>
        <v>241</v>
      </c>
      <c r="E190" t="str">
        <f t="shared" si="18"/>
        <v>AntennaStitchBoltLocationDiag</v>
      </c>
      <c r="F190" s="4" t="str">
        <f t="shared" si="19"/>
        <v>YES</v>
      </c>
      <c r="G190" s="4" t="str">
        <f t="shared" si="20"/>
        <v>YES</v>
      </c>
      <c r="H190" s="4" t="str">
        <f t="shared" si="21"/>
        <v>YES</v>
      </c>
      <c r="I190" t="s">
        <v>906</v>
      </c>
      <c r="J190">
        <v>1</v>
      </c>
      <c r="M190" t="str">
        <f t="shared" si="22"/>
        <v>antennainnergirtgageg1distance</v>
      </c>
      <c r="N190" t="s">
        <v>958</v>
      </c>
      <c r="O190" t="s">
        <v>727</v>
      </c>
      <c r="P190" t="s">
        <v>723</v>
      </c>
      <c r="Q190" t="s">
        <v>248</v>
      </c>
      <c r="T190" t="str">
        <f t="shared" si="23"/>
        <v>antennatopgirtgageg1distance</v>
      </c>
      <c r="U190" t="s">
        <v>956</v>
      </c>
      <c r="V190" t="s">
        <v>767</v>
      </c>
      <c r="W190" t="s">
        <v>766</v>
      </c>
    </row>
    <row r="191" spans="1:23" hidden="1" x14ac:dyDescent="0.25">
      <c r="A191" t="s">
        <v>959</v>
      </c>
      <c r="B191" s="2" t="s">
        <v>248</v>
      </c>
      <c r="C191" s="3" t="str">
        <f t="shared" si="16"/>
        <v>antennahorizontalgageg1distance</v>
      </c>
      <c r="D191" s="4">
        <f t="shared" si="17"/>
        <v>242</v>
      </c>
      <c r="E191" t="str">
        <f t="shared" si="18"/>
        <v>AntennaStitchSpacing</v>
      </c>
      <c r="F191" s="4" t="str">
        <f t="shared" si="19"/>
        <v>YES</v>
      </c>
      <c r="G191" s="4" t="str">
        <f t="shared" si="20"/>
        <v>YES</v>
      </c>
      <c r="H191" s="4" t="str">
        <f t="shared" si="21"/>
        <v>YES</v>
      </c>
      <c r="I191" t="s">
        <v>907</v>
      </c>
      <c r="J191">
        <v>1</v>
      </c>
      <c r="M191" t="str">
        <f t="shared" si="22"/>
        <v>antennahorizontalgageg1distance</v>
      </c>
      <c r="N191" t="s">
        <v>959</v>
      </c>
      <c r="O191" t="s">
        <v>727</v>
      </c>
      <c r="P191" t="s">
        <v>723</v>
      </c>
      <c r="Q191" t="s">
        <v>248</v>
      </c>
      <c r="T191" t="str">
        <f t="shared" si="23"/>
        <v>antennabotgirtgageg1distance</v>
      </c>
      <c r="U191" t="s">
        <v>957</v>
      </c>
      <c r="V191" t="s">
        <v>767</v>
      </c>
      <c r="W191" t="s">
        <v>766</v>
      </c>
    </row>
    <row r="192" spans="1:23" hidden="1" x14ac:dyDescent="0.25">
      <c r="A192" t="s">
        <v>960</v>
      </c>
      <c r="B192" s="2" t="s">
        <v>248</v>
      </c>
      <c r="C192" s="3" t="str">
        <f t="shared" si="16"/>
        <v>antennashorthorizontalgageg1distance</v>
      </c>
      <c r="D192" s="4">
        <f t="shared" si="17"/>
        <v>243</v>
      </c>
      <c r="E192" t="str">
        <f t="shared" si="18"/>
        <v>AntennaStitchSpacingHorz</v>
      </c>
      <c r="F192" s="4" t="str">
        <f t="shared" si="19"/>
        <v>YES</v>
      </c>
      <c r="G192" s="4" t="str">
        <f t="shared" si="20"/>
        <v>YES</v>
      </c>
      <c r="H192" s="4" t="str">
        <f t="shared" si="21"/>
        <v>YES</v>
      </c>
      <c r="I192" t="s">
        <v>908</v>
      </c>
      <c r="J192">
        <v>1</v>
      </c>
      <c r="M192" t="str">
        <f t="shared" si="22"/>
        <v>antennashorthorizontalgageg1distance</v>
      </c>
      <c r="N192" t="s">
        <v>960</v>
      </c>
      <c r="O192" t="s">
        <v>727</v>
      </c>
      <c r="P192" t="s">
        <v>723</v>
      </c>
      <c r="Q192" t="s">
        <v>248</v>
      </c>
      <c r="T192" t="str">
        <f t="shared" si="23"/>
        <v>antennainnergirtgageg1distance</v>
      </c>
      <c r="U192" t="s">
        <v>958</v>
      </c>
      <c r="V192" t="s">
        <v>767</v>
      </c>
      <c r="W192" t="s">
        <v>766</v>
      </c>
    </row>
    <row r="193" spans="1:23" hidden="1" x14ac:dyDescent="0.25">
      <c r="A193" t="s">
        <v>971</v>
      </c>
      <c r="B193" s="2" t="s">
        <v>248</v>
      </c>
      <c r="C193" s="3" t="str">
        <f t="shared" si="16"/>
        <v>antennaredundanthorizontalboltgrade</v>
      </c>
      <c r="D193" s="4" t="e">
        <f t="shared" si="17"/>
        <v>#N/A</v>
      </c>
      <c r="E193" t="str">
        <f t="shared" si="18"/>
        <v>AntennaStitchSpacingDiag</v>
      </c>
      <c r="F193" s="4" t="str">
        <f t="shared" si="19"/>
        <v>YES</v>
      </c>
      <c r="G193" s="4" t="str">
        <f t="shared" si="20"/>
        <v>YES</v>
      </c>
      <c r="H193" s="4" t="str">
        <f t="shared" si="21"/>
        <v>YES</v>
      </c>
      <c r="I193" t="s">
        <v>909</v>
      </c>
      <c r="J193">
        <v>1</v>
      </c>
      <c r="M193" t="str">
        <f t="shared" si="22"/>
        <v>antennaredundanthorizontalboltgrade</v>
      </c>
      <c r="N193" t="s">
        <v>971</v>
      </c>
      <c r="O193" t="s">
        <v>728</v>
      </c>
      <c r="P193" t="s">
        <v>248</v>
      </c>
      <c r="T193" t="str">
        <f t="shared" si="23"/>
        <v>antennahorizontalgageg1distance</v>
      </c>
      <c r="U193" t="s">
        <v>959</v>
      </c>
      <c r="V193" t="s">
        <v>767</v>
      </c>
      <c r="W193" t="s">
        <v>766</v>
      </c>
    </row>
    <row r="194" spans="1:23" hidden="1" x14ac:dyDescent="0.25">
      <c r="A194" t="s">
        <v>972</v>
      </c>
      <c r="B194" s="2" t="s">
        <v>248</v>
      </c>
      <c r="C194" s="3" t="str">
        <f t="shared" si="16"/>
        <v>antennaredundanthorizontalboltsize</v>
      </c>
      <c r="D194" s="4" t="e">
        <f t="shared" si="17"/>
        <v>#N/A</v>
      </c>
      <c r="E194" t="str">
        <f t="shared" si="18"/>
        <v>AntennaStitchSpacingRed</v>
      </c>
      <c r="F194" s="4" t="str">
        <f t="shared" si="19"/>
        <v>YES</v>
      </c>
      <c r="G194" s="4" t="str">
        <f t="shared" si="20"/>
        <v>YES</v>
      </c>
      <c r="H194" s="4" t="str">
        <f t="shared" si="21"/>
        <v>YES</v>
      </c>
      <c r="I194" t="s">
        <v>910</v>
      </c>
      <c r="J194">
        <v>1</v>
      </c>
      <c r="M194" t="str">
        <f t="shared" si="22"/>
        <v>antennaredundanthorizontalboltsize</v>
      </c>
      <c r="N194" t="s">
        <v>972</v>
      </c>
      <c r="O194" t="s">
        <v>727</v>
      </c>
      <c r="P194" t="s">
        <v>723</v>
      </c>
      <c r="Q194" t="s">
        <v>248</v>
      </c>
      <c r="T194" t="str">
        <f t="shared" si="23"/>
        <v>antennashorthorizontalgageg1distance</v>
      </c>
      <c r="U194" t="s">
        <v>960</v>
      </c>
      <c r="V194" t="s">
        <v>767</v>
      </c>
      <c r="W194" t="s">
        <v>766</v>
      </c>
    </row>
    <row r="195" spans="1:23" hidden="1" x14ac:dyDescent="0.25">
      <c r="A195" t="s">
        <v>973</v>
      </c>
      <c r="B195" s="2" t="s">
        <v>248</v>
      </c>
      <c r="C195" s="3" t="str">
        <f t="shared" si="16"/>
        <v>antennaredundanthorizontalnumbolts</v>
      </c>
      <c r="D195" s="4" t="e">
        <f t="shared" si="17"/>
        <v>#N/A</v>
      </c>
      <c r="E195" t="str">
        <f t="shared" si="18"/>
        <v>AntennaLegNetWidthDeduct</v>
      </c>
      <c r="F195" s="4" t="str">
        <f t="shared" si="19"/>
        <v>YES</v>
      </c>
      <c r="G195" s="4" t="str">
        <f t="shared" si="20"/>
        <v>YES</v>
      </c>
      <c r="H195" s="4" t="str">
        <f t="shared" si="21"/>
        <v>YES</v>
      </c>
      <c r="I195" t="s">
        <v>911</v>
      </c>
      <c r="J195">
        <v>1</v>
      </c>
      <c r="M195" t="str">
        <f t="shared" si="22"/>
        <v>antennaredundanthorizontalnumbolts</v>
      </c>
      <c r="N195" t="s">
        <v>973</v>
      </c>
      <c r="O195" t="s">
        <v>724</v>
      </c>
      <c r="P195" t="s">
        <v>248</v>
      </c>
      <c r="T195" t="str">
        <f t="shared" si="23"/>
        <v>antennadiagoffsetney</v>
      </c>
      <c r="U195" t="s">
        <v>961</v>
      </c>
      <c r="V195" t="s">
        <v>767</v>
      </c>
      <c r="W195" t="s">
        <v>766</v>
      </c>
    </row>
    <row r="196" spans="1:23" hidden="1" x14ac:dyDescent="0.25">
      <c r="A196" t="s">
        <v>974</v>
      </c>
      <c r="B196" s="2" t="s">
        <v>248</v>
      </c>
      <c r="C196" s="3" t="str">
        <f t="shared" si="16"/>
        <v>antennaredundanthorizontalboltedgedistance</v>
      </c>
      <c r="D196" s="4" t="e">
        <f t="shared" si="17"/>
        <v>#N/A</v>
      </c>
      <c r="E196" t="str">
        <f t="shared" si="18"/>
        <v>AntennaLegUFactor</v>
      </c>
      <c r="F196" s="4" t="str">
        <f t="shared" si="19"/>
        <v>YES</v>
      </c>
      <c r="G196" s="4" t="str">
        <f t="shared" si="20"/>
        <v>YES</v>
      </c>
      <c r="H196" s="4" t="str">
        <f t="shared" si="21"/>
        <v>YES</v>
      </c>
      <c r="I196" t="s">
        <v>912</v>
      </c>
      <c r="J196">
        <v>1</v>
      </c>
      <c r="M196" t="str">
        <f t="shared" si="22"/>
        <v>antennaredundanthorizontalboltedgedistance</v>
      </c>
      <c r="N196" t="s">
        <v>974</v>
      </c>
      <c r="O196" t="s">
        <v>727</v>
      </c>
      <c r="P196" t="s">
        <v>723</v>
      </c>
      <c r="Q196" t="s">
        <v>248</v>
      </c>
      <c r="T196" t="str">
        <f t="shared" si="23"/>
        <v>antennadiagoffsetnex</v>
      </c>
      <c r="U196" t="s">
        <v>962</v>
      </c>
      <c r="V196" t="s">
        <v>767</v>
      </c>
      <c r="W196" t="s">
        <v>766</v>
      </c>
    </row>
    <row r="197" spans="1:23" hidden="1" x14ac:dyDescent="0.25">
      <c r="A197" t="s">
        <v>975</v>
      </c>
      <c r="B197" s="2" t="s">
        <v>248</v>
      </c>
      <c r="C197" s="3" t="str">
        <f t="shared" ref="C197:C249" si="24">TRIM(LOWER(SUBSTITUTE(SUBSTITUTE(A197,",","")," ","")))</f>
        <v>antennaredundanthorizontalgageg1distance</v>
      </c>
      <c r="D197" s="4" t="e">
        <f t="shared" ref="D197:D260" si="25">MATCH(C197,E:E,0)</f>
        <v>#N/A</v>
      </c>
      <c r="E197" t="str">
        <f t="shared" ref="E197:E260" si="26">TRIM((SUBSTITUTE(SUBSTITUTE(I197,",","")," ","")))</f>
        <v>AntennaDiagonalNetWidthDeduct</v>
      </c>
      <c r="F197" s="4" t="str">
        <f t="shared" ref="F197:F260" si="27">IFERROR(IF(MATCH(E197,C:C,0)&gt;0,"YES"),"NO")</f>
        <v>YES</v>
      </c>
      <c r="G197" s="4" t="str">
        <f t="shared" ref="G197:G260" si="28">IFERROR(IF(MATCH(E197,M:M,0)&gt;0,"YES"),"NO")</f>
        <v>YES</v>
      </c>
      <c r="H197" s="4" t="str">
        <f t="shared" ref="H197:H260" si="29">IFERROR(IF(MATCH(E197,T:T,0)&gt;0,"YES"),"NO")</f>
        <v>YES</v>
      </c>
      <c r="I197" t="s">
        <v>913</v>
      </c>
      <c r="J197">
        <v>1</v>
      </c>
      <c r="M197" t="str">
        <f t="shared" ref="M197:M249" si="30">TRIM(LOWER(N197))</f>
        <v>antennaredundanthorizontalgageg1distance</v>
      </c>
      <c r="N197" t="s">
        <v>975</v>
      </c>
      <c r="O197" t="s">
        <v>727</v>
      </c>
      <c r="P197" t="s">
        <v>723</v>
      </c>
      <c r="Q197" t="s">
        <v>248</v>
      </c>
      <c r="T197" t="str">
        <f t="shared" ref="T197:T249" si="31">TRIM(LOWER(U197))</f>
        <v>antennadiagoffsetpey</v>
      </c>
      <c r="U197" t="s">
        <v>963</v>
      </c>
      <c r="V197" t="s">
        <v>767</v>
      </c>
      <c r="W197" t="s">
        <v>766</v>
      </c>
    </row>
    <row r="198" spans="1:23" hidden="1" x14ac:dyDescent="0.25">
      <c r="A198" t="s">
        <v>976</v>
      </c>
      <c r="B198" s="2" t="s">
        <v>248</v>
      </c>
      <c r="C198" s="3" t="str">
        <f t="shared" si="24"/>
        <v>antennaredundanthorizontalnetwidthdeduct</v>
      </c>
      <c r="D198" s="4" t="e">
        <f t="shared" si="25"/>
        <v>#N/A</v>
      </c>
      <c r="E198" t="str">
        <f t="shared" si="26"/>
        <v>AntennaTopGirtNetWidthDeduct</v>
      </c>
      <c r="F198" s="4" t="str">
        <f t="shared" si="27"/>
        <v>YES</v>
      </c>
      <c r="G198" s="4" t="str">
        <f t="shared" si="28"/>
        <v>YES</v>
      </c>
      <c r="H198" s="4" t="str">
        <f t="shared" si="29"/>
        <v>YES</v>
      </c>
      <c r="I198" t="s">
        <v>914</v>
      </c>
      <c r="J198">
        <v>1</v>
      </c>
      <c r="M198" t="str">
        <f t="shared" si="30"/>
        <v>antennaredundanthorizontalnetwidthdeduct</v>
      </c>
      <c r="N198" t="s">
        <v>976</v>
      </c>
      <c r="O198" t="s">
        <v>727</v>
      </c>
      <c r="P198" t="s">
        <v>723</v>
      </c>
      <c r="Q198" t="s">
        <v>248</v>
      </c>
      <c r="T198" t="str">
        <f t="shared" si="31"/>
        <v>antennadiagoffsetpex</v>
      </c>
      <c r="U198" t="s">
        <v>964</v>
      </c>
      <c r="V198" t="s">
        <v>767</v>
      </c>
      <c r="W198" t="s">
        <v>766</v>
      </c>
    </row>
    <row r="199" spans="1:23" hidden="1" x14ac:dyDescent="0.25">
      <c r="A199" t="s">
        <v>977</v>
      </c>
      <c r="B199" s="2" t="s">
        <v>284</v>
      </c>
      <c r="C199" s="3" t="str">
        <f t="shared" si="24"/>
        <v>antennaredundanthorizontalufactor</v>
      </c>
      <c r="D199" s="4" t="e">
        <f t="shared" si="25"/>
        <v>#N/A</v>
      </c>
      <c r="E199" t="str">
        <f t="shared" si="26"/>
        <v>AntennaBotGirtNetWidthDeduct</v>
      </c>
      <c r="F199" s="4" t="str">
        <f t="shared" si="27"/>
        <v>YES</v>
      </c>
      <c r="G199" s="4" t="str">
        <f t="shared" si="28"/>
        <v>YES</v>
      </c>
      <c r="H199" s="4" t="str">
        <f t="shared" si="29"/>
        <v>YES</v>
      </c>
      <c r="I199" t="s">
        <v>915</v>
      </c>
      <c r="J199">
        <v>1</v>
      </c>
      <c r="M199" t="str">
        <f t="shared" si="30"/>
        <v>antennaredundanthorizontalufactor</v>
      </c>
      <c r="N199" t="s">
        <v>977</v>
      </c>
      <c r="O199" t="s">
        <v>727</v>
      </c>
      <c r="P199" t="s">
        <v>723</v>
      </c>
      <c r="Q199" t="s">
        <v>248</v>
      </c>
      <c r="T199" t="str">
        <f t="shared" si="31"/>
        <v>antennakbraceoffsetney</v>
      </c>
      <c r="U199" t="s">
        <v>965</v>
      </c>
      <c r="V199" t="s">
        <v>767</v>
      </c>
      <c r="W199" t="s">
        <v>766</v>
      </c>
    </row>
    <row r="200" spans="1:23" hidden="1" x14ac:dyDescent="0.25">
      <c r="A200" t="s">
        <v>978</v>
      </c>
      <c r="B200" s="2" t="s">
        <v>283</v>
      </c>
      <c r="C200" s="3" t="str">
        <f t="shared" si="24"/>
        <v>antennaredundantdiagonalboltgrade</v>
      </c>
      <c r="D200" s="4" t="e">
        <f t="shared" si="25"/>
        <v>#N/A</v>
      </c>
      <c r="E200" t="str">
        <f t="shared" si="26"/>
        <v>AntennaInnerGirtNetWidthDeduct</v>
      </c>
      <c r="F200" s="4" t="str">
        <f t="shared" si="27"/>
        <v>YES</v>
      </c>
      <c r="G200" s="4" t="str">
        <f t="shared" si="28"/>
        <v>YES</v>
      </c>
      <c r="H200" s="4" t="str">
        <f t="shared" si="29"/>
        <v>YES</v>
      </c>
      <c r="I200" t="s">
        <v>916</v>
      </c>
      <c r="J200">
        <v>1</v>
      </c>
      <c r="M200" t="str">
        <f t="shared" si="30"/>
        <v>antennaredundantdiagonalboltgrade</v>
      </c>
      <c r="N200" t="s">
        <v>978</v>
      </c>
      <c r="O200" t="s">
        <v>728</v>
      </c>
      <c r="P200" t="s">
        <v>248</v>
      </c>
      <c r="T200" t="str">
        <f t="shared" si="31"/>
        <v>antennakbraceoffsetnex</v>
      </c>
      <c r="U200" t="s">
        <v>966</v>
      </c>
      <c r="V200" t="s">
        <v>767</v>
      </c>
      <c r="W200" t="s">
        <v>766</v>
      </c>
    </row>
    <row r="201" spans="1:23" hidden="1" x14ac:dyDescent="0.25">
      <c r="A201" t="s">
        <v>979</v>
      </c>
      <c r="B201" s="2" t="s">
        <v>254</v>
      </c>
      <c r="C201" s="3" t="str">
        <f t="shared" si="24"/>
        <v>antennaredundantdiagonalboltsize</v>
      </c>
      <c r="D201" s="4" t="e">
        <f t="shared" si="25"/>
        <v>#N/A</v>
      </c>
      <c r="E201" t="str">
        <f t="shared" si="26"/>
        <v>AntennaHorizontalNetWidthDeduct</v>
      </c>
      <c r="F201" s="4" t="str">
        <f t="shared" si="27"/>
        <v>YES</v>
      </c>
      <c r="G201" s="4" t="str">
        <f t="shared" si="28"/>
        <v>YES</v>
      </c>
      <c r="H201" s="4" t="str">
        <f t="shared" si="29"/>
        <v>NO</v>
      </c>
      <c r="I201" t="s">
        <v>970</v>
      </c>
      <c r="J201">
        <v>1</v>
      </c>
      <c r="M201" t="str">
        <f t="shared" si="30"/>
        <v>antennaredundantdiagonalboltsize</v>
      </c>
      <c r="N201" t="s">
        <v>979</v>
      </c>
      <c r="O201" t="s">
        <v>727</v>
      </c>
      <c r="P201" t="s">
        <v>723</v>
      </c>
      <c r="Q201" t="s">
        <v>248</v>
      </c>
      <c r="T201" t="str">
        <f t="shared" si="31"/>
        <v>antennakbraceoffsetpey</v>
      </c>
      <c r="U201" t="s">
        <v>967</v>
      </c>
      <c r="V201" t="s">
        <v>767</v>
      </c>
      <c r="W201" t="s">
        <v>766</v>
      </c>
    </row>
    <row r="202" spans="1:23" hidden="1" x14ac:dyDescent="0.25">
      <c r="A202" t="s">
        <v>980</v>
      </c>
      <c r="B202" s="2" t="s">
        <v>254</v>
      </c>
      <c r="C202" s="3" t="str">
        <f t="shared" si="24"/>
        <v>antennaredundantdiagonalnumbolts</v>
      </c>
      <c r="D202" s="4" t="e">
        <f t="shared" si="25"/>
        <v>#N/A</v>
      </c>
      <c r="E202" t="str">
        <f t="shared" si="26"/>
        <v>AntennaShortHorizontalNetWidthDeduct</v>
      </c>
      <c r="F202" s="4" t="str">
        <f t="shared" si="27"/>
        <v>YES</v>
      </c>
      <c r="G202" s="4" t="str">
        <f t="shared" si="28"/>
        <v>YES</v>
      </c>
      <c r="H202" s="4" t="str">
        <f t="shared" si="29"/>
        <v>YES</v>
      </c>
      <c r="I202" t="s">
        <v>919</v>
      </c>
      <c r="J202">
        <v>1</v>
      </c>
      <c r="M202" t="str">
        <f t="shared" si="30"/>
        <v>antennaredundantdiagonalnumbolts</v>
      </c>
      <c r="N202" t="s">
        <v>980</v>
      </c>
      <c r="O202" t="s">
        <v>724</v>
      </c>
      <c r="P202" t="s">
        <v>248</v>
      </c>
      <c r="T202" t="str">
        <f t="shared" si="31"/>
        <v>antennakbraceoffsetpex</v>
      </c>
      <c r="U202" t="s">
        <v>968</v>
      </c>
      <c r="V202" t="s">
        <v>767</v>
      </c>
      <c r="W202" t="s">
        <v>766</v>
      </c>
    </row>
    <row r="203" spans="1:23" hidden="1" x14ac:dyDescent="0.25">
      <c r="A203" t="s">
        <v>981</v>
      </c>
      <c r="B203" s="2" t="s">
        <v>254</v>
      </c>
      <c r="C203" s="3" t="str">
        <f t="shared" si="24"/>
        <v>antennaredundantdiagonalboltedgedistance</v>
      </c>
      <c r="D203" s="4" t="e">
        <f t="shared" si="25"/>
        <v>#N/A</v>
      </c>
      <c r="E203" t="str">
        <f t="shared" si="26"/>
        <v>AntennaDiagonalUFactor</v>
      </c>
      <c r="F203" s="4" t="str">
        <f t="shared" si="27"/>
        <v>YES</v>
      </c>
      <c r="G203" s="4" t="str">
        <f t="shared" si="28"/>
        <v>YES</v>
      </c>
      <c r="H203" s="4" t="str">
        <f t="shared" si="29"/>
        <v>YES</v>
      </c>
      <c r="I203" t="s">
        <v>920</v>
      </c>
      <c r="J203">
        <v>1</v>
      </c>
      <c r="M203" t="str">
        <f t="shared" si="30"/>
        <v>antennaredundantdiagonalboltedgedistance</v>
      </c>
      <c r="N203" t="s">
        <v>981</v>
      </c>
      <c r="O203" t="s">
        <v>727</v>
      </c>
      <c r="P203" t="s">
        <v>723</v>
      </c>
      <c r="Q203" t="s">
        <v>248</v>
      </c>
      <c r="T203" t="str">
        <f t="shared" si="31"/>
        <v/>
      </c>
      <c r="V203" t="s">
        <v>764</v>
      </c>
    </row>
    <row r="204" spans="1:23" hidden="1" x14ac:dyDescent="0.25">
      <c r="A204" t="s">
        <v>982</v>
      </c>
      <c r="B204" s="2" t="s">
        <v>254</v>
      </c>
      <c r="C204" s="3" t="str">
        <f t="shared" si="24"/>
        <v>antennaredundantdiagonalgageg1distance</v>
      </c>
      <c r="D204" s="4" t="e">
        <f t="shared" si="25"/>
        <v>#N/A</v>
      </c>
      <c r="E204" t="str">
        <f t="shared" si="26"/>
        <v>AntennaTopGirtUFactor</v>
      </c>
      <c r="F204" s="4" t="str">
        <f t="shared" si="27"/>
        <v>YES</v>
      </c>
      <c r="G204" s="4" t="str">
        <f t="shared" si="28"/>
        <v>YES</v>
      </c>
      <c r="H204" s="4" t="str">
        <f t="shared" si="29"/>
        <v>YES</v>
      </c>
      <c r="I204" t="s">
        <v>921</v>
      </c>
      <c r="J204">
        <v>1</v>
      </c>
      <c r="M204" t="str">
        <f t="shared" si="30"/>
        <v>antennaredundantdiagonalgageg1distance</v>
      </c>
      <c r="N204" t="s">
        <v>982</v>
      </c>
      <c r="O204" t="s">
        <v>727</v>
      </c>
      <c r="P204" t="s">
        <v>723</v>
      </c>
      <c r="Q204" t="s">
        <v>248</v>
      </c>
      <c r="T204" t="str">
        <f t="shared" si="31"/>
        <v/>
      </c>
    </row>
    <row r="205" spans="1:23" hidden="1" x14ac:dyDescent="0.25">
      <c r="A205" t="s">
        <v>983</v>
      </c>
      <c r="B205" s="2" t="s">
        <v>278</v>
      </c>
      <c r="C205" s="3" t="str">
        <f t="shared" si="24"/>
        <v>antennaredundantdiagonalnetwidthdeduct</v>
      </c>
      <c r="D205" s="4" t="e">
        <f t="shared" si="25"/>
        <v>#N/A</v>
      </c>
      <c r="E205" t="str">
        <f t="shared" si="26"/>
        <v>AntennaBotGirtUFactor</v>
      </c>
      <c r="F205" s="4" t="str">
        <f t="shared" si="27"/>
        <v>YES</v>
      </c>
      <c r="G205" s="4" t="str">
        <f t="shared" si="28"/>
        <v>YES</v>
      </c>
      <c r="H205" s="4" t="str">
        <f t="shared" si="29"/>
        <v>YES</v>
      </c>
      <c r="I205" t="s">
        <v>922</v>
      </c>
      <c r="J205">
        <v>1</v>
      </c>
      <c r="M205" t="str">
        <f t="shared" si="30"/>
        <v>antennaredundantdiagonalnetwidthdeduct</v>
      </c>
      <c r="N205" t="s">
        <v>983</v>
      </c>
      <c r="O205" t="s">
        <v>727</v>
      </c>
      <c r="P205" t="s">
        <v>723</v>
      </c>
      <c r="Q205" t="s">
        <v>248</v>
      </c>
      <c r="T205" t="str">
        <f t="shared" si="31"/>
        <v/>
      </c>
    </row>
    <row r="206" spans="1:23" hidden="1" x14ac:dyDescent="0.25">
      <c r="A206" t="s">
        <v>984</v>
      </c>
      <c r="B206" s="2" t="s">
        <v>284</v>
      </c>
      <c r="C206" s="3" t="str">
        <f t="shared" si="24"/>
        <v>antennaredundantdiagonalufactor</v>
      </c>
      <c r="D206" s="4" t="e">
        <f t="shared" si="25"/>
        <v>#N/A</v>
      </c>
      <c r="E206" t="str">
        <f t="shared" si="26"/>
        <v>AntennaInnerGirtUFactor</v>
      </c>
      <c r="F206" s="4" t="str">
        <f t="shared" si="27"/>
        <v>YES</v>
      </c>
      <c r="G206" s="4" t="str">
        <f t="shared" si="28"/>
        <v>YES</v>
      </c>
      <c r="H206" s="4" t="str">
        <f t="shared" si="29"/>
        <v>YES</v>
      </c>
      <c r="I206" t="s">
        <v>923</v>
      </c>
      <c r="J206">
        <v>1</v>
      </c>
      <c r="M206" t="str">
        <f t="shared" si="30"/>
        <v>antennaredundantdiagonalufactor</v>
      </c>
      <c r="N206" t="s">
        <v>984</v>
      </c>
      <c r="O206" t="s">
        <v>727</v>
      </c>
      <c r="P206" t="s">
        <v>723</v>
      </c>
      <c r="Q206" t="s">
        <v>248</v>
      </c>
      <c r="T206" t="str">
        <f t="shared" si="31"/>
        <v/>
      </c>
    </row>
    <row r="207" spans="1:23" hidden="1" x14ac:dyDescent="0.25">
      <c r="A207" t="s">
        <v>985</v>
      </c>
      <c r="B207" s="2" t="s">
        <v>283</v>
      </c>
      <c r="C207" s="3" t="str">
        <f t="shared" si="24"/>
        <v>antennaredundantsubdiagonalboltgrade</v>
      </c>
      <c r="D207" s="4">
        <f t="shared" si="25"/>
        <v>300</v>
      </c>
      <c r="E207" t="str">
        <f t="shared" si="26"/>
        <v>AntennaHorizontalUFactor</v>
      </c>
      <c r="F207" s="4" t="str">
        <f t="shared" si="27"/>
        <v>YES</v>
      </c>
      <c r="G207" s="4" t="str">
        <f t="shared" si="28"/>
        <v>YES</v>
      </c>
      <c r="H207" s="4" t="str">
        <f t="shared" si="29"/>
        <v>YES</v>
      </c>
      <c r="I207" t="s">
        <v>924</v>
      </c>
      <c r="J207">
        <v>1</v>
      </c>
      <c r="M207" t="str">
        <f t="shared" si="30"/>
        <v>antennaredundantsubdiagonalboltgrade</v>
      </c>
      <c r="N207" t="s">
        <v>985</v>
      </c>
      <c r="O207" t="s">
        <v>728</v>
      </c>
      <c r="P207" t="s">
        <v>248</v>
      </c>
      <c r="T207" t="str">
        <f t="shared" si="31"/>
        <v/>
      </c>
    </row>
    <row r="208" spans="1:23" hidden="1" x14ac:dyDescent="0.25">
      <c r="A208" t="s">
        <v>986</v>
      </c>
      <c r="B208" s="2" t="s">
        <v>254</v>
      </c>
      <c r="C208" s="3" t="str">
        <f t="shared" si="24"/>
        <v>antennaredundantsubdiagonalboltsize</v>
      </c>
      <c r="D208" s="4">
        <f t="shared" si="25"/>
        <v>301</v>
      </c>
      <c r="E208" t="str">
        <f t="shared" si="26"/>
        <v>AntennaShortHorizontalUFactor</v>
      </c>
      <c r="F208" s="4" t="str">
        <f t="shared" si="27"/>
        <v>YES</v>
      </c>
      <c r="G208" s="4" t="str">
        <f t="shared" si="28"/>
        <v>YES</v>
      </c>
      <c r="H208" s="4" t="str">
        <f t="shared" si="29"/>
        <v>YES</v>
      </c>
      <c r="I208" t="s">
        <v>925</v>
      </c>
      <c r="J208">
        <v>1</v>
      </c>
      <c r="M208" t="str">
        <f t="shared" si="30"/>
        <v>antennaredundantsubdiagonalboltsize</v>
      </c>
      <c r="N208" t="s">
        <v>986</v>
      </c>
      <c r="O208" t="s">
        <v>727</v>
      </c>
      <c r="P208" t="s">
        <v>723</v>
      </c>
      <c r="Q208" t="s">
        <v>248</v>
      </c>
      <c r="T208" t="str">
        <f t="shared" si="31"/>
        <v/>
      </c>
    </row>
    <row r="209" spans="1:20" hidden="1" x14ac:dyDescent="0.25">
      <c r="A209" t="s">
        <v>987</v>
      </c>
      <c r="B209" s="2" t="s">
        <v>254</v>
      </c>
      <c r="C209" s="3" t="str">
        <f t="shared" si="24"/>
        <v>antennaredundantsubdiagonalnumbolts</v>
      </c>
      <c r="D209" s="4">
        <f t="shared" si="25"/>
        <v>302</v>
      </c>
      <c r="E209" t="str">
        <f t="shared" si="26"/>
        <v>AntennaLegConnType</v>
      </c>
      <c r="F209" s="4" t="str">
        <f t="shared" si="27"/>
        <v>YES</v>
      </c>
      <c r="G209" s="4" t="str">
        <f t="shared" si="28"/>
        <v>YES</v>
      </c>
      <c r="H209" s="4" t="str">
        <f t="shared" si="29"/>
        <v>YES</v>
      </c>
      <c r="I209" t="s">
        <v>926</v>
      </c>
      <c r="J209">
        <v>1</v>
      </c>
      <c r="M209" t="str">
        <f t="shared" si="30"/>
        <v>antennaredundantsubdiagonalnumbolts</v>
      </c>
      <c r="N209" t="s">
        <v>987</v>
      </c>
      <c r="O209" t="s">
        <v>724</v>
      </c>
      <c r="P209" t="s">
        <v>248</v>
      </c>
      <c r="T209" t="str">
        <f t="shared" si="31"/>
        <v/>
      </c>
    </row>
    <row r="210" spans="1:20" hidden="1" x14ac:dyDescent="0.25">
      <c r="A210" t="s">
        <v>988</v>
      </c>
      <c r="B210" s="2" t="s">
        <v>254</v>
      </c>
      <c r="C210" s="3" t="str">
        <f t="shared" si="24"/>
        <v>antennaredundantsubdiagonalboltedgedistance</v>
      </c>
      <c r="D210" s="4">
        <f t="shared" si="25"/>
        <v>303</v>
      </c>
      <c r="E210" t="str">
        <f t="shared" si="26"/>
        <v>AntennaLegNumBolts</v>
      </c>
      <c r="F210" s="4" t="str">
        <f t="shared" si="27"/>
        <v>YES</v>
      </c>
      <c r="G210" s="4" t="str">
        <f t="shared" si="28"/>
        <v>YES</v>
      </c>
      <c r="H210" s="4" t="str">
        <f t="shared" si="29"/>
        <v>YES</v>
      </c>
      <c r="I210" t="s">
        <v>927</v>
      </c>
      <c r="J210">
        <v>1</v>
      </c>
      <c r="M210" t="str">
        <f t="shared" si="30"/>
        <v>antennaredundantsubdiagonalboltedgedistance</v>
      </c>
      <c r="N210" t="s">
        <v>988</v>
      </c>
      <c r="O210" t="s">
        <v>727</v>
      </c>
      <c r="P210" t="s">
        <v>723</v>
      </c>
      <c r="Q210" t="s">
        <v>248</v>
      </c>
      <c r="T210" t="str">
        <f t="shared" si="31"/>
        <v/>
      </c>
    </row>
    <row r="211" spans="1:20" hidden="1" x14ac:dyDescent="0.25">
      <c r="A211" t="s">
        <v>989</v>
      </c>
      <c r="B211" s="2" t="s">
        <v>254</v>
      </c>
      <c r="C211" s="3" t="str">
        <f t="shared" si="24"/>
        <v>antennaredundantsubdiagonalgageg1distance</v>
      </c>
      <c r="D211" s="4">
        <f t="shared" si="25"/>
        <v>304</v>
      </c>
      <c r="E211" t="str">
        <f t="shared" si="26"/>
        <v>AntennaDiagonalNumBolts</v>
      </c>
      <c r="F211" s="4" t="str">
        <f t="shared" si="27"/>
        <v>YES</v>
      </c>
      <c r="G211" s="4" t="str">
        <f t="shared" si="28"/>
        <v>YES</v>
      </c>
      <c r="H211" s="4" t="str">
        <f t="shared" si="29"/>
        <v>YES</v>
      </c>
      <c r="I211" t="s">
        <v>928</v>
      </c>
      <c r="J211">
        <v>1</v>
      </c>
      <c r="M211" t="str">
        <f t="shared" si="30"/>
        <v>antennaredundantsubdiagonalgageg1distance</v>
      </c>
      <c r="N211" t="s">
        <v>989</v>
      </c>
      <c r="O211" t="s">
        <v>727</v>
      </c>
      <c r="P211" t="s">
        <v>723</v>
      </c>
      <c r="Q211" t="s">
        <v>248</v>
      </c>
      <c r="T211" t="str">
        <f t="shared" si="31"/>
        <v/>
      </c>
    </row>
    <row r="212" spans="1:20" hidden="1" x14ac:dyDescent="0.25">
      <c r="A212" t="s">
        <v>990</v>
      </c>
      <c r="B212" s="2" t="s">
        <v>278</v>
      </c>
      <c r="C212" s="3" t="str">
        <f t="shared" si="24"/>
        <v>antennaredundantsubdiagonalnetwidthdeduct</v>
      </c>
      <c r="D212" s="4">
        <f t="shared" si="25"/>
        <v>305</v>
      </c>
      <c r="E212" t="str">
        <f t="shared" si="26"/>
        <v>AntennaTopGirtNumBolts</v>
      </c>
      <c r="F212" s="4" t="str">
        <f t="shared" si="27"/>
        <v>YES</v>
      </c>
      <c r="G212" s="4" t="str">
        <f t="shared" si="28"/>
        <v>YES</v>
      </c>
      <c r="H212" s="4" t="str">
        <f t="shared" si="29"/>
        <v>YES</v>
      </c>
      <c r="I212" t="s">
        <v>929</v>
      </c>
      <c r="J212">
        <v>1</v>
      </c>
      <c r="M212" t="str">
        <f t="shared" si="30"/>
        <v>antennaredundantsubdiagonalnetwidthdeduct</v>
      </c>
      <c r="N212" t="s">
        <v>990</v>
      </c>
      <c r="O212" t="s">
        <v>727</v>
      </c>
      <c r="P212" t="s">
        <v>723</v>
      </c>
      <c r="Q212" t="s">
        <v>248</v>
      </c>
      <c r="T212" t="str">
        <f t="shared" si="31"/>
        <v/>
      </c>
    </row>
    <row r="213" spans="1:20" hidden="1" x14ac:dyDescent="0.25">
      <c r="A213" t="s">
        <v>991</v>
      </c>
      <c r="B213" s="2" t="s">
        <v>284</v>
      </c>
      <c r="C213" s="3" t="str">
        <f t="shared" si="24"/>
        <v>antennaredundantsubdiagonalufactor</v>
      </c>
      <c r="D213" s="4">
        <f t="shared" si="25"/>
        <v>306</v>
      </c>
      <c r="E213" t="str">
        <f t="shared" si="26"/>
        <v>AntennaBotGirtNumBolts</v>
      </c>
      <c r="F213" s="4" t="str">
        <f t="shared" si="27"/>
        <v>YES</v>
      </c>
      <c r="G213" s="4" t="str">
        <f t="shared" si="28"/>
        <v>YES</v>
      </c>
      <c r="H213" s="4" t="str">
        <f t="shared" si="29"/>
        <v>YES</v>
      </c>
      <c r="I213" t="s">
        <v>930</v>
      </c>
      <c r="J213">
        <v>1</v>
      </c>
      <c r="M213" t="str">
        <f t="shared" si="30"/>
        <v>antennaredundantsubdiagonalufactor</v>
      </c>
      <c r="N213" t="s">
        <v>991</v>
      </c>
      <c r="O213" t="s">
        <v>727</v>
      </c>
      <c r="P213" t="s">
        <v>723</v>
      </c>
      <c r="Q213" t="s">
        <v>248</v>
      </c>
      <c r="T213" t="str">
        <f t="shared" si="31"/>
        <v/>
      </c>
    </row>
    <row r="214" spans="1:20" hidden="1" x14ac:dyDescent="0.25">
      <c r="A214" t="s">
        <v>992</v>
      </c>
      <c r="B214" s="2" t="s">
        <v>283</v>
      </c>
      <c r="C214" s="3" t="str">
        <f t="shared" si="24"/>
        <v>antennaredundantsubhorizontalboltgrade</v>
      </c>
      <c r="D214" s="4">
        <f t="shared" si="25"/>
        <v>307</v>
      </c>
      <c r="E214" t="str">
        <f t="shared" si="26"/>
        <v>AntennaInnerGirtNumBolts</v>
      </c>
      <c r="F214" s="4" t="str">
        <f t="shared" si="27"/>
        <v>YES</v>
      </c>
      <c r="G214" s="4" t="str">
        <f t="shared" si="28"/>
        <v>YES</v>
      </c>
      <c r="H214" s="4" t="str">
        <f t="shared" si="29"/>
        <v>YES</v>
      </c>
      <c r="I214" t="s">
        <v>931</v>
      </c>
      <c r="J214">
        <v>1</v>
      </c>
      <c r="M214" t="str">
        <f t="shared" si="30"/>
        <v>antennaredundantsubhorizontalboltgrade</v>
      </c>
      <c r="N214" t="s">
        <v>992</v>
      </c>
      <c r="O214" t="s">
        <v>728</v>
      </c>
      <c r="P214" t="s">
        <v>248</v>
      </c>
      <c r="T214" t="str">
        <f t="shared" si="31"/>
        <v/>
      </c>
    </row>
    <row r="215" spans="1:20" hidden="1" x14ac:dyDescent="0.25">
      <c r="A215" t="s">
        <v>993</v>
      </c>
      <c r="B215" s="2" t="s">
        <v>254</v>
      </c>
      <c r="C215" s="3" t="str">
        <f t="shared" si="24"/>
        <v>antennaredundantsubhorizontalboltsize</v>
      </c>
      <c r="D215" s="4">
        <f t="shared" si="25"/>
        <v>308</v>
      </c>
      <c r="E215" t="str">
        <f t="shared" si="26"/>
        <v>AntennaHorizontalNumBolts</v>
      </c>
      <c r="F215" s="4" t="str">
        <f t="shared" si="27"/>
        <v>YES</v>
      </c>
      <c r="G215" s="4" t="str">
        <f t="shared" si="28"/>
        <v>YES</v>
      </c>
      <c r="H215" s="4" t="str">
        <f t="shared" si="29"/>
        <v>YES</v>
      </c>
      <c r="I215" t="s">
        <v>932</v>
      </c>
      <c r="J215" t="s">
        <v>515</v>
      </c>
      <c r="M215" t="str">
        <f t="shared" si="30"/>
        <v>antennaredundantsubhorizontalboltsize</v>
      </c>
      <c r="N215" t="s">
        <v>993</v>
      </c>
      <c r="O215" t="s">
        <v>727</v>
      </c>
      <c r="P215" t="s">
        <v>723</v>
      </c>
      <c r="Q215" t="s">
        <v>248</v>
      </c>
      <c r="T215" t="str">
        <f t="shared" si="31"/>
        <v/>
      </c>
    </row>
    <row r="216" spans="1:20" hidden="1" x14ac:dyDescent="0.25">
      <c r="A216" t="s">
        <v>994</v>
      </c>
      <c r="B216" s="2" t="s">
        <v>254</v>
      </c>
      <c r="C216" s="3" t="str">
        <f t="shared" si="24"/>
        <v>antennaredundantsubhorizontalnumbolts</v>
      </c>
      <c r="D216" s="4">
        <f t="shared" si="25"/>
        <v>309</v>
      </c>
      <c r="E216" t="str">
        <f t="shared" si="26"/>
        <v>AntennaShortHorizontalNumBolts</v>
      </c>
      <c r="F216" s="4" t="str">
        <f t="shared" si="27"/>
        <v>YES</v>
      </c>
      <c r="G216" s="4" t="str">
        <f t="shared" si="28"/>
        <v>YES</v>
      </c>
      <c r="H216" s="4" t="str">
        <f t="shared" si="29"/>
        <v>YES</v>
      </c>
      <c r="I216" t="s">
        <v>933</v>
      </c>
      <c r="J216" t="s">
        <v>515</v>
      </c>
      <c r="M216" t="str">
        <f t="shared" si="30"/>
        <v>antennaredundantsubhorizontalnumbolts</v>
      </c>
      <c r="N216" t="s">
        <v>994</v>
      </c>
      <c r="O216" t="s">
        <v>724</v>
      </c>
      <c r="P216" t="s">
        <v>248</v>
      </c>
      <c r="T216" t="str">
        <f t="shared" si="31"/>
        <v/>
      </c>
    </row>
    <row r="217" spans="1:20" hidden="1" x14ac:dyDescent="0.25">
      <c r="A217" t="s">
        <v>995</v>
      </c>
      <c r="B217" s="2" t="s">
        <v>254</v>
      </c>
      <c r="C217" s="3" t="str">
        <f t="shared" si="24"/>
        <v>antennaredundantsubhorizontalboltedgedistance</v>
      </c>
      <c r="D217" s="4">
        <f t="shared" si="25"/>
        <v>310</v>
      </c>
      <c r="E217" t="str">
        <f t="shared" si="26"/>
        <v>AntennaLegBoltGrade</v>
      </c>
      <c r="F217" s="4" t="str">
        <f t="shared" si="27"/>
        <v>YES</v>
      </c>
      <c r="G217" s="4" t="str">
        <f t="shared" si="28"/>
        <v>YES</v>
      </c>
      <c r="H217" s="4" t="str">
        <f t="shared" si="29"/>
        <v>YES</v>
      </c>
      <c r="I217" t="s">
        <v>934</v>
      </c>
      <c r="J217" t="s">
        <v>515</v>
      </c>
      <c r="M217" t="str">
        <f t="shared" si="30"/>
        <v>antennaredundantsubhorizontalboltedgedistance</v>
      </c>
      <c r="N217" t="s">
        <v>995</v>
      </c>
      <c r="O217" t="s">
        <v>727</v>
      </c>
      <c r="P217" t="s">
        <v>723</v>
      </c>
      <c r="Q217" t="s">
        <v>248</v>
      </c>
      <c r="T217" t="str">
        <f t="shared" si="31"/>
        <v/>
      </c>
    </row>
    <row r="218" spans="1:20" hidden="1" x14ac:dyDescent="0.25">
      <c r="A218" t="s">
        <v>996</v>
      </c>
      <c r="B218" s="2" t="s">
        <v>254</v>
      </c>
      <c r="C218" s="3" t="str">
        <f t="shared" si="24"/>
        <v>antennaredundantsubhorizontalgageg1distance</v>
      </c>
      <c r="D218" s="4">
        <f t="shared" si="25"/>
        <v>311</v>
      </c>
      <c r="E218" t="str">
        <f t="shared" si="26"/>
        <v>AntennaLegBoltSize</v>
      </c>
      <c r="F218" s="4" t="str">
        <f t="shared" si="27"/>
        <v>YES</v>
      </c>
      <c r="G218" s="4" t="str">
        <f t="shared" si="28"/>
        <v>YES</v>
      </c>
      <c r="H218" s="4" t="str">
        <f t="shared" si="29"/>
        <v>YES</v>
      </c>
      <c r="I218" t="s">
        <v>935</v>
      </c>
      <c r="J218">
        <v>0</v>
      </c>
      <c r="M218" t="str">
        <f t="shared" si="30"/>
        <v>antennaredundantsubhorizontalgageg1distance</v>
      </c>
      <c r="N218" t="s">
        <v>996</v>
      </c>
      <c r="O218" t="s">
        <v>727</v>
      </c>
      <c r="P218" t="s">
        <v>723</v>
      </c>
      <c r="Q218" t="s">
        <v>248</v>
      </c>
      <c r="T218" t="str">
        <f t="shared" si="31"/>
        <v/>
      </c>
    </row>
    <row r="219" spans="1:20" hidden="1" x14ac:dyDescent="0.25">
      <c r="A219" t="s">
        <v>997</v>
      </c>
      <c r="B219" s="2" t="s">
        <v>278</v>
      </c>
      <c r="C219" s="3" t="str">
        <f t="shared" si="24"/>
        <v>antennaredundantsubhorizontalnetwidthdeduct</v>
      </c>
      <c r="D219" s="4">
        <f t="shared" si="25"/>
        <v>312</v>
      </c>
      <c r="E219" t="str">
        <f t="shared" si="26"/>
        <v>AntennaDiagonalBoltGrade</v>
      </c>
      <c r="F219" s="4" t="str">
        <f t="shared" si="27"/>
        <v>YES</v>
      </c>
      <c r="G219" s="4" t="str">
        <f t="shared" si="28"/>
        <v>YES</v>
      </c>
      <c r="H219" s="4" t="str">
        <f t="shared" si="29"/>
        <v>YES</v>
      </c>
      <c r="I219" t="s">
        <v>936</v>
      </c>
      <c r="J219">
        <v>0</v>
      </c>
      <c r="M219" t="str">
        <f t="shared" si="30"/>
        <v>antennaredundantsubhorizontalnetwidthdeduct</v>
      </c>
      <c r="N219" t="s">
        <v>997</v>
      </c>
      <c r="O219" t="s">
        <v>727</v>
      </c>
      <c r="P219" t="s">
        <v>723</v>
      </c>
      <c r="Q219" t="s">
        <v>248</v>
      </c>
      <c r="T219" t="str">
        <f t="shared" si="31"/>
        <v/>
      </c>
    </row>
    <row r="220" spans="1:20" hidden="1" x14ac:dyDescent="0.25">
      <c r="A220" t="s">
        <v>998</v>
      </c>
      <c r="B220" s="2" t="s">
        <v>248</v>
      </c>
      <c r="C220" s="3" t="str">
        <f t="shared" si="24"/>
        <v>antennaredundantsubhorizontalufactor</v>
      </c>
      <c r="D220" s="4">
        <f t="shared" si="25"/>
        <v>313</v>
      </c>
      <c r="E220" t="str">
        <f t="shared" si="26"/>
        <v>AntennaDiagonalBoltSize</v>
      </c>
      <c r="F220" s="4" t="str">
        <f t="shared" si="27"/>
        <v>YES</v>
      </c>
      <c r="G220" s="4" t="str">
        <f t="shared" si="28"/>
        <v>YES</v>
      </c>
      <c r="H220" s="4" t="str">
        <f t="shared" si="29"/>
        <v>YES</v>
      </c>
      <c r="I220" t="s">
        <v>937</v>
      </c>
      <c r="J220">
        <v>0</v>
      </c>
      <c r="M220" t="str">
        <f t="shared" si="30"/>
        <v>antennaredundantsubhorizontalufactor</v>
      </c>
      <c r="N220" t="s">
        <v>998</v>
      </c>
      <c r="O220" t="s">
        <v>727</v>
      </c>
      <c r="P220" t="s">
        <v>723</v>
      </c>
      <c r="Q220" t="s">
        <v>248</v>
      </c>
      <c r="T220" t="str">
        <f t="shared" si="31"/>
        <v/>
      </c>
    </row>
    <row r="221" spans="1:20" hidden="1" x14ac:dyDescent="0.25">
      <c r="A221" t="s">
        <v>999</v>
      </c>
      <c r="B221" s="2" t="s">
        <v>248</v>
      </c>
      <c r="C221" s="3" t="str">
        <f t="shared" si="24"/>
        <v>antennaredundantverticalboltgrade</v>
      </c>
      <c r="D221" s="4">
        <f t="shared" si="25"/>
        <v>314</v>
      </c>
      <c r="E221" t="str">
        <f t="shared" si="26"/>
        <v>AntennaTopGirtBoltGrade</v>
      </c>
      <c r="F221" s="4" t="str">
        <f t="shared" si="27"/>
        <v>YES</v>
      </c>
      <c r="G221" s="4" t="str">
        <f t="shared" si="28"/>
        <v>YES</v>
      </c>
      <c r="H221" s="4" t="str">
        <f t="shared" si="29"/>
        <v>YES</v>
      </c>
      <c r="I221" t="s">
        <v>938</v>
      </c>
      <c r="J221">
        <v>0</v>
      </c>
      <c r="M221" t="str">
        <f t="shared" si="30"/>
        <v>antennaredundantverticalboltgrade</v>
      </c>
      <c r="N221" t="s">
        <v>999</v>
      </c>
      <c r="O221" t="s">
        <v>728</v>
      </c>
      <c r="P221" t="s">
        <v>248</v>
      </c>
      <c r="T221" t="str">
        <f t="shared" si="31"/>
        <v/>
      </c>
    </row>
    <row r="222" spans="1:20" hidden="1" x14ac:dyDescent="0.25">
      <c r="A222" t="s">
        <v>1000</v>
      </c>
      <c r="B222" s="2" t="s">
        <v>248</v>
      </c>
      <c r="C222" s="3" t="str">
        <f t="shared" si="24"/>
        <v>antennaredundantverticalboltsize</v>
      </c>
      <c r="D222" s="4">
        <f t="shared" si="25"/>
        <v>315</v>
      </c>
      <c r="E222" t="str">
        <f t="shared" si="26"/>
        <v>AntennaTopGirtBoltSize</v>
      </c>
      <c r="F222" s="4" t="str">
        <f t="shared" si="27"/>
        <v>YES</v>
      </c>
      <c r="G222" s="4" t="str">
        <f t="shared" si="28"/>
        <v>YES</v>
      </c>
      <c r="H222" s="4" t="str">
        <f t="shared" si="29"/>
        <v>YES</v>
      </c>
      <c r="I222" t="s">
        <v>939</v>
      </c>
      <c r="J222">
        <v>0</v>
      </c>
      <c r="M222" t="str">
        <f t="shared" si="30"/>
        <v>antennaredundantverticalboltsize</v>
      </c>
      <c r="N222" t="s">
        <v>1000</v>
      </c>
      <c r="O222" t="s">
        <v>727</v>
      </c>
      <c r="P222" t="s">
        <v>723</v>
      </c>
      <c r="Q222" t="s">
        <v>248</v>
      </c>
      <c r="T222" t="str">
        <f t="shared" si="31"/>
        <v/>
      </c>
    </row>
    <row r="223" spans="1:20" hidden="1" x14ac:dyDescent="0.25">
      <c r="A223" t="s">
        <v>1001</v>
      </c>
      <c r="B223" s="2" t="s">
        <v>248</v>
      </c>
      <c r="C223" s="3" t="str">
        <f t="shared" si="24"/>
        <v>antennaredundantverticalnumbolts</v>
      </c>
      <c r="D223" s="4">
        <f t="shared" si="25"/>
        <v>316</v>
      </c>
      <c r="E223" t="str">
        <f t="shared" si="26"/>
        <v>AntennaBotGirtBoltGrade</v>
      </c>
      <c r="F223" s="4" t="str">
        <f t="shared" si="27"/>
        <v>YES</v>
      </c>
      <c r="G223" s="4" t="str">
        <f t="shared" si="28"/>
        <v>YES</v>
      </c>
      <c r="H223" s="4" t="str">
        <f t="shared" si="29"/>
        <v>YES</v>
      </c>
      <c r="I223" t="s">
        <v>940</v>
      </c>
      <c r="J223">
        <v>1</v>
      </c>
      <c r="M223" t="str">
        <f t="shared" si="30"/>
        <v>antennaredundantverticalnumbolts</v>
      </c>
      <c r="N223" t="s">
        <v>1001</v>
      </c>
      <c r="O223" t="s">
        <v>724</v>
      </c>
      <c r="P223" t="s">
        <v>248</v>
      </c>
      <c r="T223" t="str">
        <f t="shared" si="31"/>
        <v/>
      </c>
    </row>
    <row r="224" spans="1:20" hidden="1" x14ac:dyDescent="0.25">
      <c r="A224" t="s">
        <v>1002</v>
      </c>
      <c r="B224" s="2" t="s">
        <v>248</v>
      </c>
      <c r="C224" s="3" t="str">
        <f t="shared" si="24"/>
        <v>antennaredundantverticalboltedgedistance</v>
      </c>
      <c r="D224" s="4">
        <f t="shared" si="25"/>
        <v>317</v>
      </c>
      <c r="E224" t="str">
        <f t="shared" si="26"/>
        <v>AntennaBotGirtBoltSize</v>
      </c>
      <c r="F224" s="4" t="str">
        <f t="shared" si="27"/>
        <v>YES</v>
      </c>
      <c r="G224" s="4" t="str">
        <f t="shared" si="28"/>
        <v>YES</v>
      </c>
      <c r="H224" s="4" t="str">
        <f t="shared" si="29"/>
        <v>YES</v>
      </c>
      <c r="I224" t="s">
        <v>941</v>
      </c>
      <c r="J224">
        <v>0</v>
      </c>
      <c r="M224" t="str">
        <f t="shared" si="30"/>
        <v>antennaredundantverticalboltedgedistance</v>
      </c>
      <c r="N224" t="s">
        <v>1002</v>
      </c>
      <c r="O224" t="s">
        <v>727</v>
      </c>
      <c r="P224" t="s">
        <v>723</v>
      </c>
      <c r="Q224" t="s">
        <v>248</v>
      </c>
      <c r="T224" t="str">
        <f t="shared" si="31"/>
        <v/>
      </c>
    </row>
    <row r="225" spans="1:20" hidden="1" x14ac:dyDescent="0.25">
      <c r="A225" t="s">
        <v>1003</v>
      </c>
      <c r="B225" s="2" t="s">
        <v>248</v>
      </c>
      <c r="C225" s="3" t="str">
        <f t="shared" si="24"/>
        <v>antennaredundantverticalgageg1distance</v>
      </c>
      <c r="D225" s="4">
        <f t="shared" si="25"/>
        <v>318</v>
      </c>
      <c r="E225" t="str">
        <f t="shared" si="26"/>
        <v>AntennaInnerGirtBoltGrade</v>
      </c>
      <c r="F225" s="4" t="str">
        <f t="shared" si="27"/>
        <v>YES</v>
      </c>
      <c r="G225" s="4" t="str">
        <f t="shared" si="28"/>
        <v>YES</v>
      </c>
      <c r="H225" s="4" t="str">
        <f t="shared" si="29"/>
        <v>YES</v>
      </c>
      <c r="I225" t="s">
        <v>942</v>
      </c>
      <c r="J225">
        <v>0</v>
      </c>
      <c r="M225" t="str">
        <f t="shared" si="30"/>
        <v>antennaredundantverticalgageg1distance</v>
      </c>
      <c r="N225" t="s">
        <v>1003</v>
      </c>
      <c r="O225" t="s">
        <v>727</v>
      </c>
      <c r="P225" t="s">
        <v>723</v>
      </c>
      <c r="Q225" t="s">
        <v>248</v>
      </c>
      <c r="T225" t="str">
        <f t="shared" si="31"/>
        <v/>
      </c>
    </row>
    <row r="226" spans="1:20" hidden="1" x14ac:dyDescent="0.25">
      <c r="A226" t="s">
        <v>1004</v>
      </c>
      <c r="B226" s="2" t="s">
        <v>248</v>
      </c>
      <c r="C226" s="3" t="str">
        <f t="shared" si="24"/>
        <v>antennaredundantverticalnetwidthdeduct</v>
      </c>
      <c r="D226" s="4">
        <f t="shared" si="25"/>
        <v>319</v>
      </c>
      <c r="E226" t="str">
        <f t="shared" si="26"/>
        <v>AntennaInnerGirtBoltSize</v>
      </c>
      <c r="F226" s="4" t="str">
        <f t="shared" si="27"/>
        <v>YES</v>
      </c>
      <c r="G226" s="4" t="str">
        <f t="shared" si="28"/>
        <v>YES</v>
      </c>
      <c r="H226" s="4" t="str">
        <f t="shared" si="29"/>
        <v>YES</v>
      </c>
      <c r="I226" t="s">
        <v>943</v>
      </c>
      <c r="J226">
        <v>0</v>
      </c>
      <c r="M226" t="str">
        <f t="shared" si="30"/>
        <v>antennaredundantverticalnetwidthdeduct</v>
      </c>
      <c r="N226" t="s">
        <v>1004</v>
      </c>
      <c r="O226" t="s">
        <v>727</v>
      </c>
      <c r="P226" t="s">
        <v>723</v>
      </c>
      <c r="Q226" t="s">
        <v>248</v>
      </c>
      <c r="T226" t="str">
        <f t="shared" si="31"/>
        <v/>
      </c>
    </row>
    <row r="227" spans="1:20" hidden="1" x14ac:dyDescent="0.25">
      <c r="A227" t="s">
        <v>1005</v>
      </c>
      <c r="B227" s="2" t="s">
        <v>248</v>
      </c>
      <c r="C227" s="3" t="str">
        <f t="shared" si="24"/>
        <v>antennaredundantverticalufactor</v>
      </c>
      <c r="D227" s="4">
        <f t="shared" si="25"/>
        <v>320</v>
      </c>
      <c r="E227" t="str">
        <f t="shared" si="26"/>
        <v>AntennaHorizontalBoltGrade</v>
      </c>
      <c r="F227" s="4" t="str">
        <f t="shared" si="27"/>
        <v>YES</v>
      </c>
      <c r="G227" s="4" t="str">
        <f t="shared" si="28"/>
        <v>YES</v>
      </c>
      <c r="H227" s="4" t="str">
        <f t="shared" si="29"/>
        <v>YES</v>
      </c>
      <c r="I227" t="s">
        <v>944</v>
      </c>
      <c r="J227">
        <v>0</v>
      </c>
      <c r="M227" t="str">
        <f t="shared" si="30"/>
        <v>antennaredundantverticalufactor</v>
      </c>
      <c r="N227" t="s">
        <v>1005</v>
      </c>
      <c r="O227" t="s">
        <v>727</v>
      </c>
      <c r="P227" t="s">
        <v>723</v>
      </c>
      <c r="Q227" t="s">
        <v>248</v>
      </c>
      <c r="T227" t="str">
        <f t="shared" si="31"/>
        <v/>
      </c>
    </row>
    <row r="228" spans="1:20" hidden="1" x14ac:dyDescent="0.25">
      <c r="A228" t="s">
        <v>1006</v>
      </c>
      <c r="B228" s="2" t="s">
        <v>248</v>
      </c>
      <c r="C228" s="3" t="str">
        <f t="shared" si="24"/>
        <v>antennaredundanthipboltgrade</v>
      </c>
      <c r="D228" s="4" t="e">
        <f t="shared" si="25"/>
        <v>#N/A</v>
      </c>
      <c r="E228" t="str">
        <f t="shared" si="26"/>
        <v>AntennaHorizontalBoltSize</v>
      </c>
      <c r="F228" s="4" t="str">
        <f t="shared" si="27"/>
        <v>YES</v>
      </c>
      <c r="G228" s="4" t="str">
        <f t="shared" si="28"/>
        <v>YES</v>
      </c>
      <c r="H228" s="4" t="str">
        <f t="shared" si="29"/>
        <v>YES</v>
      </c>
      <c r="I228" t="s">
        <v>945</v>
      </c>
      <c r="J228">
        <v>0</v>
      </c>
      <c r="M228" t="str">
        <f t="shared" si="30"/>
        <v>antennaredundanthipboltgrade</v>
      </c>
      <c r="N228" t="s">
        <v>1006</v>
      </c>
      <c r="O228" t="s">
        <v>728</v>
      </c>
      <c r="P228" t="s">
        <v>248</v>
      </c>
      <c r="T228" t="str">
        <f t="shared" si="31"/>
        <v/>
      </c>
    </row>
    <row r="229" spans="1:20" hidden="1" x14ac:dyDescent="0.25">
      <c r="A229" t="s">
        <v>1007</v>
      </c>
      <c r="B229" s="2" t="s">
        <v>248</v>
      </c>
      <c r="C229" s="3" t="str">
        <f t="shared" si="24"/>
        <v>antennaredundanthipboltsize</v>
      </c>
      <c r="D229" s="4" t="e">
        <f t="shared" si="25"/>
        <v>#N/A</v>
      </c>
      <c r="E229" t="str">
        <f t="shared" si="26"/>
        <v>AntennaShortHorizontalBoltGrade</v>
      </c>
      <c r="F229" s="4" t="str">
        <f t="shared" si="27"/>
        <v>YES</v>
      </c>
      <c r="G229" s="4" t="str">
        <f t="shared" si="28"/>
        <v>YES</v>
      </c>
      <c r="H229" s="4" t="str">
        <f t="shared" si="29"/>
        <v>YES</v>
      </c>
      <c r="I229" t="s">
        <v>946</v>
      </c>
      <c r="J229">
        <v>0</v>
      </c>
      <c r="M229" t="str">
        <f t="shared" si="30"/>
        <v>antennaredundanthipboltsize</v>
      </c>
      <c r="N229" t="s">
        <v>1007</v>
      </c>
      <c r="O229" t="s">
        <v>727</v>
      </c>
      <c r="P229" t="s">
        <v>723</v>
      </c>
      <c r="Q229" t="s">
        <v>248</v>
      </c>
      <c r="T229" t="str">
        <f t="shared" si="31"/>
        <v/>
      </c>
    </row>
    <row r="230" spans="1:20" hidden="1" x14ac:dyDescent="0.25">
      <c r="A230" t="s">
        <v>1008</v>
      </c>
      <c r="B230" s="2" t="s">
        <v>248</v>
      </c>
      <c r="C230" s="3" t="str">
        <f t="shared" si="24"/>
        <v>antennaredundanthipnumbolts</v>
      </c>
      <c r="D230" s="4" t="e">
        <f t="shared" si="25"/>
        <v>#N/A</v>
      </c>
      <c r="E230" t="str">
        <f t="shared" si="26"/>
        <v>AntennaShortHorizontalBoltSize</v>
      </c>
      <c r="F230" s="4" t="str">
        <f t="shared" si="27"/>
        <v>YES</v>
      </c>
      <c r="G230" s="4" t="str">
        <f t="shared" si="28"/>
        <v>YES</v>
      </c>
      <c r="H230" s="4" t="str">
        <f t="shared" si="29"/>
        <v>YES</v>
      </c>
      <c r="I230" t="s">
        <v>947</v>
      </c>
      <c r="J230">
        <v>1</v>
      </c>
      <c r="M230" t="str">
        <f t="shared" si="30"/>
        <v>antennaredundanthipnumbolts</v>
      </c>
      <c r="N230" t="s">
        <v>1008</v>
      </c>
      <c r="O230" t="s">
        <v>724</v>
      </c>
      <c r="P230" t="s">
        <v>248</v>
      </c>
      <c r="T230" t="str">
        <f t="shared" si="31"/>
        <v/>
      </c>
    </row>
    <row r="231" spans="1:20" hidden="1" x14ac:dyDescent="0.25">
      <c r="A231" t="s">
        <v>1009</v>
      </c>
      <c r="B231" s="2" t="s">
        <v>248</v>
      </c>
      <c r="C231" s="3" t="str">
        <f t="shared" si="24"/>
        <v>antennaredundanthipboltedgedistance</v>
      </c>
      <c r="D231" s="4" t="e">
        <f t="shared" si="25"/>
        <v>#N/A</v>
      </c>
      <c r="E231" t="str">
        <f t="shared" si="26"/>
        <v>AntennaLegBoltEdgeDistance</v>
      </c>
      <c r="F231" s="4" t="str">
        <f t="shared" si="27"/>
        <v>YES</v>
      </c>
      <c r="G231" s="4" t="str">
        <f t="shared" si="28"/>
        <v>YES</v>
      </c>
      <c r="H231" s="4" t="str">
        <f t="shared" si="29"/>
        <v>YES</v>
      </c>
      <c r="I231" t="s">
        <v>948</v>
      </c>
      <c r="J231">
        <v>0.75</v>
      </c>
      <c r="M231" t="str">
        <f t="shared" si="30"/>
        <v>antennaredundanthipboltedgedistance</v>
      </c>
      <c r="N231" t="s">
        <v>1009</v>
      </c>
      <c r="O231" t="s">
        <v>727</v>
      </c>
      <c r="P231" t="s">
        <v>723</v>
      </c>
      <c r="Q231" t="s">
        <v>248</v>
      </c>
      <c r="T231" t="str">
        <f t="shared" si="31"/>
        <v/>
      </c>
    </row>
    <row r="232" spans="1:20" hidden="1" x14ac:dyDescent="0.25">
      <c r="A232" t="s">
        <v>1010</v>
      </c>
      <c r="B232" s="2" t="s">
        <v>248</v>
      </c>
      <c r="C232" s="3" t="str">
        <f t="shared" si="24"/>
        <v>antennaredundanthipgageg1distance</v>
      </c>
      <c r="D232" s="4" t="e">
        <f t="shared" si="25"/>
        <v>#N/A</v>
      </c>
      <c r="E232" t="str">
        <f t="shared" si="26"/>
        <v>AntennaDiagonalBoltEdgeDistance</v>
      </c>
      <c r="F232" s="4" t="str">
        <f t="shared" si="27"/>
        <v>YES</v>
      </c>
      <c r="G232" s="4" t="str">
        <f t="shared" si="28"/>
        <v>YES</v>
      </c>
      <c r="H232" s="4" t="str">
        <f t="shared" si="29"/>
        <v>YES</v>
      </c>
      <c r="I232" t="s">
        <v>949</v>
      </c>
      <c r="J232">
        <v>1</v>
      </c>
      <c r="M232" t="str">
        <f t="shared" si="30"/>
        <v>antennaredundanthipgageg1distance</v>
      </c>
      <c r="N232" t="s">
        <v>1010</v>
      </c>
      <c r="O232" t="s">
        <v>727</v>
      </c>
      <c r="P232" t="s">
        <v>723</v>
      </c>
      <c r="Q232" t="s">
        <v>248</v>
      </c>
      <c r="T232" t="str">
        <f t="shared" si="31"/>
        <v/>
      </c>
    </row>
    <row r="233" spans="1:20" hidden="1" x14ac:dyDescent="0.25">
      <c r="A233" t="s">
        <v>1011</v>
      </c>
      <c r="B233" s="2" t="s">
        <v>248</v>
      </c>
      <c r="C233" s="3" t="str">
        <f t="shared" si="24"/>
        <v>antennaredundanthipnetwidthdeduct</v>
      </c>
      <c r="D233" s="4" t="e">
        <f t="shared" si="25"/>
        <v>#N/A</v>
      </c>
      <c r="E233" t="str">
        <f t="shared" si="26"/>
        <v>AntennaTopGirtBoltEdgeDistance</v>
      </c>
      <c r="F233" s="4" t="str">
        <f t="shared" si="27"/>
        <v>YES</v>
      </c>
      <c r="G233" s="4" t="str">
        <f t="shared" si="28"/>
        <v>YES</v>
      </c>
      <c r="H233" s="4" t="str">
        <f t="shared" si="29"/>
        <v>YES</v>
      </c>
      <c r="I233" t="s">
        <v>950</v>
      </c>
      <c r="J233">
        <v>1</v>
      </c>
      <c r="M233" t="str">
        <f t="shared" si="30"/>
        <v>antennaredundanthipnetwidthdeduct</v>
      </c>
      <c r="N233" t="s">
        <v>1011</v>
      </c>
      <c r="O233" t="s">
        <v>727</v>
      </c>
      <c r="P233" t="s">
        <v>723</v>
      </c>
      <c r="Q233" t="s">
        <v>248</v>
      </c>
      <c r="T233" t="str">
        <f t="shared" si="31"/>
        <v/>
      </c>
    </row>
    <row r="234" spans="1:20" hidden="1" x14ac:dyDescent="0.25">
      <c r="A234" t="s">
        <v>1012</v>
      </c>
      <c r="B234" s="2" t="s">
        <v>255</v>
      </c>
      <c r="C234" s="3" t="str">
        <f t="shared" si="24"/>
        <v>antennaredundanthipufactor</v>
      </c>
      <c r="D234" s="4" t="e">
        <f t="shared" si="25"/>
        <v>#N/A</v>
      </c>
      <c r="E234" t="str">
        <f t="shared" si="26"/>
        <v>AntennaBotGirtBoltEdgeDistance</v>
      </c>
      <c r="F234" s="4" t="str">
        <f t="shared" si="27"/>
        <v>YES</v>
      </c>
      <c r="G234" s="4" t="str">
        <f t="shared" si="28"/>
        <v>YES</v>
      </c>
      <c r="H234" s="4" t="str">
        <f t="shared" si="29"/>
        <v>YES</v>
      </c>
      <c r="I234" t="s">
        <v>951</v>
      </c>
      <c r="J234">
        <v>1</v>
      </c>
      <c r="M234" t="str">
        <f t="shared" si="30"/>
        <v>antennaredundanthipufactor</v>
      </c>
      <c r="N234" t="s">
        <v>1012</v>
      </c>
      <c r="O234" t="s">
        <v>727</v>
      </c>
      <c r="P234" t="s">
        <v>723</v>
      </c>
      <c r="Q234" t="s">
        <v>248</v>
      </c>
      <c r="T234" t="str">
        <f t="shared" si="31"/>
        <v/>
      </c>
    </row>
    <row r="235" spans="1:20" hidden="1" x14ac:dyDescent="0.25">
      <c r="A235" t="s">
        <v>1013</v>
      </c>
      <c r="B235" s="2" t="s">
        <v>255</v>
      </c>
      <c r="C235" s="3" t="str">
        <f t="shared" si="24"/>
        <v>antennaredundanthipdiagonalboltgrade</v>
      </c>
      <c r="D235" s="4" t="e">
        <f t="shared" si="25"/>
        <v>#N/A</v>
      </c>
      <c r="E235" t="str">
        <f t="shared" si="26"/>
        <v>AntennaInnerGirtBoltEdgeDistance</v>
      </c>
      <c r="F235" s="4" t="str">
        <f t="shared" si="27"/>
        <v>YES</v>
      </c>
      <c r="G235" s="4" t="str">
        <f t="shared" si="28"/>
        <v>YES</v>
      </c>
      <c r="H235" s="4" t="str">
        <f t="shared" si="29"/>
        <v>YES</v>
      </c>
      <c r="I235" t="s">
        <v>952</v>
      </c>
      <c r="J235">
        <v>0.75</v>
      </c>
      <c r="M235" t="str">
        <f t="shared" si="30"/>
        <v>antennaredundanthipdiagonalboltgrade</v>
      </c>
      <c r="N235" t="s">
        <v>1013</v>
      </c>
      <c r="O235" t="s">
        <v>728</v>
      </c>
      <c r="P235" t="s">
        <v>248</v>
      </c>
      <c r="T235" t="str">
        <f t="shared" si="31"/>
        <v/>
      </c>
    </row>
    <row r="236" spans="1:20" hidden="1" x14ac:dyDescent="0.25">
      <c r="A236" t="s">
        <v>1014</v>
      </c>
      <c r="B236" s="2" t="s">
        <v>255</v>
      </c>
      <c r="C236" s="3" t="str">
        <f t="shared" si="24"/>
        <v>antennaredundanthipdiagonalboltsize</v>
      </c>
      <c r="D236" s="4" t="e">
        <f t="shared" si="25"/>
        <v>#N/A</v>
      </c>
      <c r="E236" t="str">
        <f t="shared" si="26"/>
        <v>AntennaHorizontalBoltEdgeDistance</v>
      </c>
      <c r="F236" s="4" t="str">
        <f t="shared" si="27"/>
        <v>YES</v>
      </c>
      <c r="G236" s="4" t="str">
        <f t="shared" si="28"/>
        <v>YES</v>
      </c>
      <c r="H236" s="4" t="str">
        <f t="shared" si="29"/>
        <v>YES</v>
      </c>
      <c r="I236" t="s">
        <v>953</v>
      </c>
      <c r="J236" t="s">
        <v>537</v>
      </c>
      <c r="M236" t="str">
        <f t="shared" si="30"/>
        <v>antennaredundanthipdiagonalboltsize</v>
      </c>
      <c r="N236" t="s">
        <v>1014</v>
      </c>
      <c r="O236" t="s">
        <v>727</v>
      </c>
      <c r="P236" t="s">
        <v>723</v>
      </c>
      <c r="Q236" t="s">
        <v>248</v>
      </c>
      <c r="T236" t="str">
        <f t="shared" si="31"/>
        <v/>
      </c>
    </row>
    <row r="237" spans="1:20" hidden="1" x14ac:dyDescent="0.25">
      <c r="A237" t="s">
        <v>1015</v>
      </c>
      <c r="B237" s="2" t="s">
        <v>255</v>
      </c>
      <c r="C237" s="3" t="str">
        <f t="shared" si="24"/>
        <v>antennaredundanthipdiagonalnumbolts</v>
      </c>
      <c r="D237" s="4" t="e">
        <f t="shared" si="25"/>
        <v>#N/A</v>
      </c>
      <c r="E237" t="str">
        <f t="shared" si="26"/>
        <v>AntennaShortHorizontalBoltEdgeDistance</v>
      </c>
      <c r="F237" s="4" t="str">
        <f t="shared" si="27"/>
        <v>YES</v>
      </c>
      <c r="G237" s="4" t="str">
        <f t="shared" si="28"/>
        <v>YES</v>
      </c>
      <c r="H237" s="4" t="str">
        <f t="shared" si="29"/>
        <v>YES</v>
      </c>
      <c r="I237" t="s">
        <v>954</v>
      </c>
      <c r="J237">
        <v>0</v>
      </c>
      <c r="M237" t="str">
        <f t="shared" si="30"/>
        <v>antennaredundanthipdiagonalnumbolts</v>
      </c>
      <c r="N237" t="s">
        <v>1015</v>
      </c>
      <c r="O237" t="s">
        <v>724</v>
      </c>
      <c r="P237" t="s">
        <v>248</v>
      </c>
      <c r="T237" t="str">
        <f t="shared" si="31"/>
        <v/>
      </c>
    </row>
    <row r="238" spans="1:20" hidden="1" x14ac:dyDescent="0.25">
      <c r="A238" t="s">
        <v>1016</v>
      </c>
      <c r="B238" s="2" t="s">
        <v>255</v>
      </c>
      <c r="C238" s="3" t="str">
        <f t="shared" si="24"/>
        <v>antennaredundanthipdiagonalboltedgedistance</v>
      </c>
      <c r="D238" s="4" t="e">
        <f t="shared" si="25"/>
        <v>#N/A</v>
      </c>
      <c r="E238" t="str">
        <f t="shared" si="26"/>
        <v>AntennaDiagonalGageG1Distance</v>
      </c>
      <c r="F238" s="4" t="str">
        <f t="shared" si="27"/>
        <v>YES</v>
      </c>
      <c r="G238" s="4" t="str">
        <f t="shared" si="28"/>
        <v>YES</v>
      </c>
      <c r="H238" s="4" t="str">
        <f t="shared" si="29"/>
        <v>YES</v>
      </c>
      <c r="I238" t="s">
        <v>955</v>
      </c>
      <c r="J238">
        <v>3</v>
      </c>
      <c r="M238" t="str">
        <f t="shared" si="30"/>
        <v>antennaredundanthipdiagonalboltedgedistance</v>
      </c>
      <c r="N238" t="s">
        <v>1016</v>
      </c>
      <c r="O238" t="s">
        <v>727</v>
      </c>
      <c r="P238" t="s">
        <v>723</v>
      </c>
      <c r="Q238" t="s">
        <v>248</v>
      </c>
      <c r="T238" t="str">
        <f t="shared" si="31"/>
        <v/>
      </c>
    </row>
    <row r="239" spans="1:20" hidden="1" x14ac:dyDescent="0.25">
      <c r="A239" t="s">
        <v>1017</v>
      </c>
      <c r="B239" s="2" t="s">
        <v>255</v>
      </c>
      <c r="C239" s="3" t="str">
        <f t="shared" si="24"/>
        <v>antennaredundanthipdiagonalgageg1distance</v>
      </c>
      <c r="D239" s="4" t="e">
        <f t="shared" si="25"/>
        <v>#N/A</v>
      </c>
      <c r="E239" t="str">
        <f t="shared" si="26"/>
        <v>AntennaTopGirtGageG1Distance</v>
      </c>
      <c r="F239" s="4" t="str">
        <f t="shared" si="27"/>
        <v>YES</v>
      </c>
      <c r="G239" s="4" t="str">
        <f t="shared" si="28"/>
        <v>YES</v>
      </c>
      <c r="H239" s="4" t="str">
        <f t="shared" si="29"/>
        <v>YES</v>
      </c>
      <c r="I239" t="s">
        <v>956</v>
      </c>
      <c r="J239">
        <v>0</v>
      </c>
      <c r="M239" t="str">
        <f t="shared" si="30"/>
        <v>antennaredundanthipdiagonalgageg1distance</v>
      </c>
      <c r="N239" t="s">
        <v>1017</v>
      </c>
      <c r="O239" t="s">
        <v>727</v>
      </c>
      <c r="P239" t="s">
        <v>723</v>
      </c>
      <c r="Q239" t="s">
        <v>248</v>
      </c>
      <c r="T239" t="str">
        <f t="shared" si="31"/>
        <v/>
      </c>
    </row>
    <row r="240" spans="1:20" hidden="1" x14ac:dyDescent="0.25">
      <c r="A240" t="s">
        <v>1018</v>
      </c>
      <c r="B240" s="2" t="s">
        <v>254</v>
      </c>
      <c r="C240" s="3" t="str">
        <f t="shared" si="24"/>
        <v>antennaredundanthipdiagonalnetwidthdeduct</v>
      </c>
      <c r="D240" s="4" t="e">
        <f t="shared" si="25"/>
        <v>#N/A</v>
      </c>
      <c r="E240" t="str">
        <f t="shared" si="26"/>
        <v>AntennaBotGirtGageG1Distance</v>
      </c>
      <c r="F240" s="4" t="str">
        <f t="shared" si="27"/>
        <v>YES</v>
      </c>
      <c r="G240" s="4" t="str">
        <f t="shared" si="28"/>
        <v>YES</v>
      </c>
      <c r="H240" s="4" t="str">
        <f t="shared" si="29"/>
        <v>YES</v>
      </c>
      <c r="I240" t="s">
        <v>957</v>
      </c>
      <c r="J240">
        <v>0</v>
      </c>
      <c r="M240" t="str">
        <f t="shared" si="30"/>
        <v>antennaredundanthipdiagonalnetwidthdeduct</v>
      </c>
      <c r="N240" t="s">
        <v>1018</v>
      </c>
      <c r="O240" t="s">
        <v>727</v>
      </c>
      <c r="P240" t="s">
        <v>723</v>
      </c>
      <c r="Q240" t="s">
        <v>248</v>
      </c>
      <c r="T240" t="str">
        <f t="shared" si="31"/>
        <v/>
      </c>
    </row>
    <row r="241" spans="1:20" hidden="1" x14ac:dyDescent="0.25">
      <c r="A241" t="s">
        <v>1019</v>
      </c>
      <c r="B241" s="2" t="s">
        <v>254</v>
      </c>
      <c r="C241" s="3" t="str">
        <f t="shared" si="24"/>
        <v>antennaredundanthipdiagonalufactor</v>
      </c>
      <c r="D241" s="4" t="e">
        <f t="shared" si="25"/>
        <v>#N/A</v>
      </c>
      <c r="E241" t="str">
        <f t="shared" si="26"/>
        <v>AntennaInnerGirtGageG1Distance</v>
      </c>
      <c r="F241" s="4" t="str">
        <f t="shared" si="27"/>
        <v>YES</v>
      </c>
      <c r="G241" s="4" t="str">
        <f t="shared" si="28"/>
        <v>YES</v>
      </c>
      <c r="H241" s="4" t="str">
        <f t="shared" si="29"/>
        <v>YES</v>
      </c>
      <c r="I241" t="s">
        <v>958</v>
      </c>
      <c r="J241">
        <v>0</v>
      </c>
      <c r="M241" t="str">
        <f t="shared" si="30"/>
        <v>antennaredundanthipdiagonalufactor</v>
      </c>
      <c r="N241" t="s">
        <v>1019</v>
      </c>
      <c r="O241" t="s">
        <v>727</v>
      </c>
      <c r="P241" t="s">
        <v>723</v>
      </c>
      <c r="Q241" t="s">
        <v>248</v>
      </c>
      <c r="T241" t="str">
        <f t="shared" si="31"/>
        <v/>
      </c>
    </row>
    <row r="242" spans="1:20" hidden="1" x14ac:dyDescent="0.25">
      <c r="A242" t="s">
        <v>1020</v>
      </c>
      <c r="B242" s="2" t="s">
        <v>254</v>
      </c>
      <c r="C242" s="3" t="str">
        <f t="shared" si="24"/>
        <v>antennadiagonaloutofplanerestraint</v>
      </c>
      <c r="D242" s="4">
        <f t="shared" si="25"/>
        <v>377</v>
      </c>
      <c r="E242" t="str">
        <f t="shared" si="26"/>
        <v>AntennaHorizontalGageG1Distance</v>
      </c>
      <c r="F242" s="4" t="str">
        <f t="shared" si="27"/>
        <v>YES</v>
      </c>
      <c r="G242" s="4" t="str">
        <f t="shared" si="28"/>
        <v>YES</v>
      </c>
      <c r="H242" s="4" t="str">
        <f t="shared" si="29"/>
        <v>YES</v>
      </c>
      <c r="I242" t="s">
        <v>959</v>
      </c>
      <c r="J242">
        <v>2</v>
      </c>
      <c r="M242" t="str">
        <f t="shared" si="30"/>
        <v>antennadiagonaloutofplanerestraint</v>
      </c>
      <c r="N242" t="s">
        <v>1020</v>
      </c>
      <c r="O242" t="s">
        <v>729</v>
      </c>
      <c r="P242" t="s">
        <v>248</v>
      </c>
      <c r="T242" t="str">
        <f t="shared" si="31"/>
        <v/>
      </c>
    </row>
    <row r="243" spans="1:20" hidden="1" x14ac:dyDescent="0.25">
      <c r="A243" t="s">
        <v>1021</v>
      </c>
      <c r="B243" s="2" t="s">
        <v>254</v>
      </c>
      <c r="C243" s="3" t="str">
        <f t="shared" si="24"/>
        <v>antennatopgirtoutofplanerestraint</v>
      </c>
      <c r="D243" s="4">
        <f t="shared" si="25"/>
        <v>378</v>
      </c>
      <c r="E243" t="str">
        <f t="shared" si="26"/>
        <v>AntennaShortHorizontalGageG1Distance</v>
      </c>
      <c r="F243" s="4" t="str">
        <f t="shared" si="27"/>
        <v>YES</v>
      </c>
      <c r="G243" s="4" t="str">
        <f t="shared" si="28"/>
        <v>YES</v>
      </c>
      <c r="H243" s="4" t="str">
        <f t="shared" si="29"/>
        <v>YES</v>
      </c>
      <c r="I243" t="s">
        <v>960</v>
      </c>
      <c r="J243">
        <v>0</v>
      </c>
      <c r="M243" t="str">
        <f t="shared" si="30"/>
        <v>antennatopgirtoutofplanerestraint</v>
      </c>
      <c r="N243" t="s">
        <v>1021</v>
      </c>
      <c r="O243" t="s">
        <v>729</v>
      </c>
      <c r="P243" t="s">
        <v>248</v>
      </c>
      <c r="T243" t="str">
        <f t="shared" si="31"/>
        <v/>
      </c>
    </row>
    <row r="244" spans="1:20" x14ac:dyDescent="0.25">
      <c r="A244" t="s">
        <v>1022</v>
      </c>
      <c r="B244" s="2" t="s">
        <v>254</v>
      </c>
      <c r="C244" s="3" t="str">
        <f t="shared" si="24"/>
        <v>antennabottomgirtoutofplanerestraint</v>
      </c>
      <c r="D244" s="4">
        <f t="shared" si="25"/>
        <v>379</v>
      </c>
      <c r="E244" t="str">
        <f t="shared" si="26"/>
        <v>AntennaRedundantHorizontalBoltGrade1</v>
      </c>
      <c r="F244" s="4" t="str">
        <f t="shared" si="27"/>
        <v>NO</v>
      </c>
      <c r="G244" s="4" t="str">
        <f t="shared" si="28"/>
        <v>NO</v>
      </c>
      <c r="H244" s="4" t="str">
        <f t="shared" si="29"/>
        <v>NO</v>
      </c>
      <c r="I244" t="s">
        <v>1095</v>
      </c>
      <c r="J244" t="s">
        <v>546</v>
      </c>
      <c r="M244" t="str">
        <f t="shared" si="30"/>
        <v>antennabottomgirtoutofplanerestraint</v>
      </c>
      <c r="N244" t="s">
        <v>1022</v>
      </c>
      <c r="O244" t="s">
        <v>729</v>
      </c>
      <c r="P244" t="s">
        <v>248</v>
      </c>
      <c r="T244" t="str">
        <f t="shared" si="31"/>
        <v/>
      </c>
    </row>
    <row r="245" spans="1:20" x14ac:dyDescent="0.25">
      <c r="A245" t="s">
        <v>1023</v>
      </c>
      <c r="B245" s="2" t="s">
        <v>254</v>
      </c>
      <c r="C245" s="3" t="str">
        <f t="shared" si="24"/>
        <v>antennamidgirtoutofplanerestraint</v>
      </c>
      <c r="D245" s="4">
        <f t="shared" si="25"/>
        <v>380</v>
      </c>
      <c r="E245" t="str">
        <f t="shared" si="26"/>
        <v>AntennaRedundantHorizontalBoltSize1</v>
      </c>
      <c r="F245" s="4" t="str">
        <f t="shared" si="27"/>
        <v>NO</v>
      </c>
      <c r="G245" s="4" t="str">
        <f t="shared" si="28"/>
        <v>NO</v>
      </c>
      <c r="H245" s="4" t="str">
        <f t="shared" si="29"/>
        <v>NO</v>
      </c>
      <c r="I245" t="s">
        <v>1096</v>
      </c>
      <c r="J245">
        <v>1</v>
      </c>
      <c r="M245" t="str">
        <f t="shared" si="30"/>
        <v>antennamidgirtoutofplanerestraint</v>
      </c>
      <c r="N245" t="s">
        <v>1023</v>
      </c>
      <c r="O245" t="s">
        <v>729</v>
      </c>
      <c r="P245" t="s">
        <v>248</v>
      </c>
      <c r="T245" t="str">
        <f t="shared" si="31"/>
        <v/>
      </c>
    </row>
    <row r="246" spans="1:20" x14ac:dyDescent="0.25">
      <c r="A246" t="s">
        <v>1024</v>
      </c>
      <c r="B246" s="2" t="s">
        <v>254</v>
      </c>
      <c r="C246" s="3" t="str">
        <f t="shared" si="24"/>
        <v>antennahorizontaloutofplanerestraint</v>
      </c>
      <c r="D246" s="4">
        <f t="shared" si="25"/>
        <v>381</v>
      </c>
      <c r="E246" t="str">
        <f t="shared" si="26"/>
        <v>AntennaRedundantHorizontalNumBolts1</v>
      </c>
      <c r="F246" s="4" t="str">
        <f t="shared" si="27"/>
        <v>NO</v>
      </c>
      <c r="G246" s="4" t="str">
        <f t="shared" si="28"/>
        <v>NO</v>
      </c>
      <c r="H246" s="4" t="str">
        <f t="shared" si="29"/>
        <v>NO</v>
      </c>
      <c r="I246" t="s">
        <v>1097</v>
      </c>
      <c r="J246" t="s">
        <v>546</v>
      </c>
      <c r="M246" t="str">
        <f t="shared" si="30"/>
        <v>antennahorizontaloutofplanerestraint</v>
      </c>
      <c r="N246" t="s">
        <v>1024</v>
      </c>
      <c r="O246" t="s">
        <v>729</v>
      </c>
      <c r="P246" t="s">
        <v>248</v>
      </c>
      <c r="T246" t="str">
        <f t="shared" si="31"/>
        <v/>
      </c>
    </row>
    <row r="247" spans="1:20" x14ac:dyDescent="0.25">
      <c r="A247" t="s">
        <v>1025</v>
      </c>
      <c r="B247" s="2" t="s">
        <v>254</v>
      </c>
      <c r="C247" s="3" t="str">
        <f t="shared" si="24"/>
        <v>antennasecondaryhorizontaloutofplanerestraint</v>
      </c>
      <c r="D247" s="4">
        <f t="shared" si="25"/>
        <v>382</v>
      </c>
      <c r="E247" t="str">
        <f t="shared" si="26"/>
        <v>AntennaRedundantHorizontalBoltEdgeDistance1</v>
      </c>
      <c r="F247" s="4" t="str">
        <f t="shared" si="27"/>
        <v>NO</v>
      </c>
      <c r="G247" s="4" t="str">
        <f t="shared" si="28"/>
        <v>NO</v>
      </c>
      <c r="H247" s="4" t="str">
        <f t="shared" si="29"/>
        <v>NO</v>
      </c>
      <c r="I247" t="s">
        <v>1098</v>
      </c>
      <c r="J247">
        <v>0.625</v>
      </c>
      <c r="M247" t="str">
        <f t="shared" si="30"/>
        <v>antennasecondaryhorizontaloutofplanerestraint</v>
      </c>
      <c r="N247" t="s">
        <v>1025</v>
      </c>
      <c r="O247" t="s">
        <v>729</v>
      </c>
      <c r="P247" t="s">
        <v>248</v>
      </c>
      <c r="T247" t="str">
        <f t="shared" si="31"/>
        <v/>
      </c>
    </row>
    <row r="248" spans="1:20" x14ac:dyDescent="0.25">
      <c r="A248" t="s">
        <v>961</v>
      </c>
      <c r="B248" s="2" t="s">
        <v>285</v>
      </c>
      <c r="C248" s="3" t="str">
        <f t="shared" si="24"/>
        <v>antennadiagoffsetney</v>
      </c>
      <c r="D248" s="4">
        <f t="shared" si="25"/>
        <v>383</v>
      </c>
      <c r="E248" t="str">
        <f t="shared" si="26"/>
        <v>AntennaRedundantHorizontalGageG1Distance1</v>
      </c>
      <c r="F248" s="4" t="str">
        <f t="shared" si="27"/>
        <v>NO</v>
      </c>
      <c r="G248" s="4" t="str">
        <f t="shared" si="28"/>
        <v>NO</v>
      </c>
      <c r="H248" s="4" t="str">
        <f t="shared" si="29"/>
        <v>NO</v>
      </c>
      <c r="I248" t="s">
        <v>1099</v>
      </c>
      <c r="J248" t="s">
        <v>551</v>
      </c>
      <c r="M248" t="str">
        <f t="shared" si="30"/>
        <v>antennadiagoffsetney</v>
      </c>
      <c r="N248" t="s">
        <v>961</v>
      </c>
      <c r="O248" t="s">
        <v>727</v>
      </c>
      <c r="P248" t="s">
        <v>723</v>
      </c>
      <c r="Q248" t="s">
        <v>248</v>
      </c>
      <c r="T248" t="str">
        <f t="shared" si="31"/>
        <v/>
      </c>
    </row>
    <row r="249" spans="1:20" x14ac:dyDescent="0.25">
      <c r="A249" t="s">
        <v>962</v>
      </c>
      <c r="B249" s="2" t="s">
        <v>286</v>
      </c>
      <c r="C249" s="3" t="str">
        <f t="shared" si="24"/>
        <v>antennadiagoffsetnex</v>
      </c>
      <c r="D249" s="4">
        <f t="shared" si="25"/>
        <v>384</v>
      </c>
      <c r="E249" t="str">
        <f t="shared" si="26"/>
        <v>AntennaRedundantHorizontalNetWidthDeduct1</v>
      </c>
      <c r="F249" s="4" t="str">
        <f t="shared" si="27"/>
        <v>NO</v>
      </c>
      <c r="G249" s="4" t="str">
        <f t="shared" si="28"/>
        <v>NO</v>
      </c>
      <c r="H249" s="4" t="str">
        <f t="shared" si="29"/>
        <v>NO</v>
      </c>
      <c r="I249" t="s">
        <v>1100</v>
      </c>
      <c r="J249">
        <v>0</v>
      </c>
      <c r="M249" t="str">
        <f t="shared" si="30"/>
        <v>antennadiagoffsetnex</v>
      </c>
      <c r="N249" t="s">
        <v>962</v>
      </c>
      <c r="O249" t="s">
        <v>727</v>
      </c>
      <c r="P249" t="s">
        <v>723</v>
      </c>
      <c r="Q249" t="s">
        <v>248</v>
      </c>
      <c r="T249" t="str">
        <f t="shared" si="31"/>
        <v/>
      </c>
    </row>
    <row r="250" spans="1:20" x14ac:dyDescent="0.25">
      <c r="A250" t="s">
        <v>963</v>
      </c>
      <c r="D250" s="4" t="e">
        <f t="shared" si="25"/>
        <v>#N/A</v>
      </c>
      <c r="E250" t="str">
        <f t="shared" si="26"/>
        <v>AntennaRedundantHorizontalUFactor1</v>
      </c>
      <c r="F250" s="4" t="str">
        <f t="shared" si="27"/>
        <v>NO</v>
      </c>
      <c r="G250" s="4" t="str">
        <f t="shared" si="28"/>
        <v>NO</v>
      </c>
      <c r="H250" s="4" t="str">
        <f t="shared" si="29"/>
        <v>NO</v>
      </c>
      <c r="I250" t="s">
        <v>1101</v>
      </c>
      <c r="J250" t="s">
        <v>551</v>
      </c>
      <c r="N250" t="s">
        <v>963</v>
      </c>
      <c r="O250" t="s">
        <v>727</v>
      </c>
      <c r="P250" t="s">
        <v>723</v>
      </c>
      <c r="Q250" t="s">
        <v>248</v>
      </c>
    </row>
    <row r="251" spans="1:20" x14ac:dyDescent="0.25">
      <c r="A251" t="s">
        <v>964</v>
      </c>
      <c r="D251" s="4" t="e">
        <f t="shared" si="25"/>
        <v>#N/A</v>
      </c>
      <c r="E251" t="str">
        <f t="shared" si="26"/>
        <v>AntennaRedundantHorizontalBoltGrade2</v>
      </c>
      <c r="F251" s="4" t="str">
        <f t="shared" si="27"/>
        <v>NO</v>
      </c>
      <c r="G251" s="4" t="str">
        <f t="shared" si="28"/>
        <v>NO</v>
      </c>
      <c r="H251" s="4" t="str">
        <f t="shared" si="29"/>
        <v>NO</v>
      </c>
      <c r="I251" t="s">
        <v>1102</v>
      </c>
      <c r="J251">
        <v>0</v>
      </c>
      <c r="N251" t="s">
        <v>964</v>
      </c>
      <c r="O251" t="s">
        <v>727</v>
      </c>
      <c r="P251" t="s">
        <v>723</v>
      </c>
      <c r="Q251" t="s">
        <v>248</v>
      </c>
    </row>
    <row r="252" spans="1:20" x14ac:dyDescent="0.25">
      <c r="A252" t="s">
        <v>965</v>
      </c>
      <c r="D252" s="4" t="e">
        <f t="shared" si="25"/>
        <v>#N/A</v>
      </c>
      <c r="E252" t="str">
        <f t="shared" si="26"/>
        <v>AntennaRedundantHorizontalBoltSize2</v>
      </c>
      <c r="F252" s="4" t="str">
        <f t="shared" si="27"/>
        <v>NO</v>
      </c>
      <c r="G252" s="4" t="str">
        <f t="shared" si="28"/>
        <v>NO</v>
      </c>
      <c r="H252" s="4" t="str">
        <f t="shared" si="29"/>
        <v>NO</v>
      </c>
      <c r="I252" t="s">
        <v>1103</v>
      </c>
      <c r="J252" t="s">
        <v>551</v>
      </c>
      <c r="N252" t="s">
        <v>965</v>
      </c>
      <c r="O252" t="s">
        <v>727</v>
      </c>
      <c r="P252" t="s">
        <v>723</v>
      </c>
      <c r="Q252" t="s">
        <v>248</v>
      </c>
    </row>
    <row r="253" spans="1:20" x14ac:dyDescent="0.25">
      <c r="A253" t="s">
        <v>966</v>
      </c>
      <c r="D253" s="4" t="e">
        <f t="shared" si="25"/>
        <v>#N/A</v>
      </c>
      <c r="E253" t="str">
        <f t="shared" si="26"/>
        <v>AntennaRedundantHorizontalNumBolts2</v>
      </c>
      <c r="F253" s="4" t="str">
        <f t="shared" si="27"/>
        <v>NO</v>
      </c>
      <c r="G253" s="4" t="str">
        <f t="shared" si="28"/>
        <v>NO</v>
      </c>
      <c r="H253" s="4" t="str">
        <f t="shared" si="29"/>
        <v>NO</v>
      </c>
      <c r="I253" t="s">
        <v>1104</v>
      </c>
      <c r="J253">
        <v>0</v>
      </c>
      <c r="N253" t="s">
        <v>966</v>
      </c>
      <c r="O253" t="s">
        <v>727</v>
      </c>
      <c r="P253" t="s">
        <v>723</v>
      </c>
      <c r="Q253" t="s">
        <v>248</v>
      </c>
    </row>
    <row r="254" spans="1:20" x14ac:dyDescent="0.25">
      <c r="A254" t="s">
        <v>967</v>
      </c>
      <c r="D254" s="4" t="e">
        <f t="shared" si="25"/>
        <v>#N/A</v>
      </c>
      <c r="E254" t="str">
        <f t="shared" si="26"/>
        <v>AntennaRedundantHorizontalBoltEdgeDistance2</v>
      </c>
      <c r="F254" s="4" t="str">
        <f t="shared" si="27"/>
        <v>NO</v>
      </c>
      <c r="G254" s="4" t="str">
        <f t="shared" si="28"/>
        <v>NO</v>
      </c>
      <c r="H254" s="4" t="str">
        <f t="shared" si="29"/>
        <v>NO</v>
      </c>
      <c r="I254" t="s">
        <v>1105</v>
      </c>
      <c r="J254" t="s">
        <v>546</v>
      </c>
      <c r="N254" t="s">
        <v>967</v>
      </c>
      <c r="O254" t="s">
        <v>727</v>
      </c>
      <c r="P254" t="s">
        <v>723</v>
      </c>
      <c r="Q254" t="s">
        <v>248</v>
      </c>
    </row>
    <row r="255" spans="1:20" x14ac:dyDescent="0.25">
      <c r="A255" t="s">
        <v>968</v>
      </c>
      <c r="D255" s="4" t="e">
        <f t="shared" si="25"/>
        <v>#N/A</v>
      </c>
      <c r="E255" t="str">
        <f t="shared" si="26"/>
        <v>AntennaRedundantHorizontalGageG1Distance2</v>
      </c>
      <c r="F255" s="4" t="str">
        <f t="shared" si="27"/>
        <v>NO</v>
      </c>
      <c r="G255" s="4" t="str">
        <f t="shared" si="28"/>
        <v>NO</v>
      </c>
      <c r="H255" s="4" t="str">
        <f t="shared" si="29"/>
        <v>NO</v>
      </c>
      <c r="I255" t="s">
        <v>1106</v>
      </c>
      <c r="J255">
        <v>0.75</v>
      </c>
      <c r="N255" t="s">
        <v>968</v>
      </c>
      <c r="O255" t="s">
        <v>727</v>
      </c>
      <c r="P255" t="s">
        <v>723</v>
      </c>
      <c r="Q255" t="s">
        <v>248</v>
      </c>
    </row>
    <row r="256" spans="1:20" x14ac:dyDescent="0.25">
      <c r="D256" s="4" t="e">
        <f t="shared" si="25"/>
        <v>#N/A</v>
      </c>
      <c r="E256" t="str">
        <f t="shared" si="26"/>
        <v>AntennaRedundantHorizontalNetWidthDeduct2</v>
      </c>
      <c r="F256" s="4" t="str">
        <f t="shared" si="27"/>
        <v>NO</v>
      </c>
      <c r="G256" s="4" t="str">
        <f t="shared" si="28"/>
        <v>NO</v>
      </c>
      <c r="H256" s="4" t="str">
        <f t="shared" si="29"/>
        <v>NO</v>
      </c>
      <c r="I256" t="s">
        <v>1107</v>
      </c>
      <c r="J256" t="s">
        <v>546</v>
      </c>
    </row>
    <row r="257" spans="4:10" x14ac:dyDescent="0.25">
      <c r="D257" s="4" t="e">
        <f t="shared" si="25"/>
        <v>#N/A</v>
      </c>
      <c r="E257" t="str">
        <f t="shared" si="26"/>
        <v>AntennaRedundantHorizontalUFactor2</v>
      </c>
      <c r="F257" s="4" t="str">
        <f t="shared" si="27"/>
        <v>NO</v>
      </c>
      <c r="G257" s="4" t="str">
        <f t="shared" si="28"/>
        <v>NO</v>
      </c>
      <c r="H257" s="4" t="str">
        <f t="shared" si="29"/>
        <v>NO</v>
      </c>
      <c r="I257" t="s">
        <v>1108</v>
      </c>
      <c r="J257">
        <v>0.625</v>
      </c>
    </row>
    <row r="258" spans="4:10" x14ac:dyDescent="0.25">
      <c r="D258" s="4" t="e">
        <f t="shared" si="25"/>
        <v>#N/A</v>
      </c>
      <c r="E258" t="str">
        <f t="shared" si="26"/>
        <v>AntennaRedundantHorizontalBoltGrade3</v>
      </c>
      <c r="F258" s="4" t="str">
        <f t="shared" si="27"/>
        <v>NO</v>
      </c>
      <c r="G258" s="4" t="str">
        <f t="shared" si="28"/>
        <v>NO</v>
      </c>
      <c r="H258" s="4" t="str">
        <f t="shared" si="29"/>
        <v>NO</v>
      </c>
      <c r="I258" t="s">
        <v>1109</v>
      </c>
      <c r="J258">
        <v>0</v>
      </c>
    </row>
    <row r="259" spans="4:10" x14ac:dyDescent="0.25">
      <c r="D259" s="4" t="e">
        <f t="shared" si="25"/>
        <v>#N/A</v>
      </c>
      <c r="E259" t="str">
        <f t="shared" si="26"/>
        <v>AntennaRedundantHorizontalBoltSize3</v>
      </c>
      <c r="F259" s="4" t="str">
        <f t="shared" si="27"/>
        <v>NO</v>
      </c>
      <c r="G259" s="4" t="str">
        <f t="shared" si="28"/>
        <v>NO</v>
      </c>
      <c r="H259" s="4" t="str">
        <f t="shared" si="29"/>
        <v>NO</v>
      </c>
      <c r="I259" t="s">
        <v>1110</v>
      </c>
      <c r="J259">
        <v>0</v>
      </c>
    </row>
    <row r="260" spans="4:10" x14ac:dyDescent="0.25">
      <c r="D260" s="4" t="e">
        <f t="shared" si="25"/>
        <v>#N/A</v>
      </c>
      <c r="E260" t="str">
        <f t="shared" si="26"/>
        <v>AntennaRedundantHorizontalNumBolts3</v>
      </c>
      <c r="F260" s="4" t="str">
        <f t="shared" si="27"/>
        <v>NO</v>
      </c>
      <c r="G260" s="4" t="str">
        <f t="shared" si="28"/>
        <v>NO</v>
      </c>
      <c r="H260" s="4" t="str">
        <f t="shared" si="29"/>
        <v>NO</v>
      </c>
      <c r="I260" t="s">
        <v>1111</v>
      </c>
      <c r="J260">
        <v>0</v>
      </c>
    </row>
    <row r="261" spans="4:10" x14ac:dyDescent="0.25">
      <c r="D261" s="4" t="e">
        <f t="shared" ref="D261:D324" si="32">MATCH(C261,E:E,0)</f>
        <v>#N/A</v>
      </c>
      <c r="E261" t="str">
        <f t="shared" ref="E261:E324" si="33">TRIM((SUBSTITUTE(SUBSTITUTE(I261,",","")," ","")))</f>
        <v>AntennaRedundantHorizontalBoltEdgeDistance3</v>
      </c>
      <c r="F261" s="4" t="str">
        <f t="shared" ref="F261:F324" si="34">IFERROR(IF(MATCH(E261,C:C,0)&gt;0,"YES"),"NO")</f>
        <v>NO</v>
      </c>
      <c r="G261" s="4" t="str">
        <f t="shared" ref="G261:G324" si="35">IFERROR(IF(MATCH(E261,M:M,0)&gt;0,"YES"),"NO")</f>
        <v>NO</v>
      </c>
      <c r="H261" s="4" t="str">
        <f t="shared" ref="H261:H324" si="36">IFERROR(IF(MATCH(E261,T:T,0)&gt;0,"YES"),"NO")</f>
        <v>NO</v>
      </c>
      <c r="I261" t="s">
        <v>1112</v>
      </c>
      <c r="J261">
        <v>0</v>
      </c>
    </row>
    <row r="262" spans="4:10" x14ac:dyDescent="0.25">
      <c r="D262" s="4" t="e">
        <f t="shared" si="32"/>
        <v>#N/A</v>
      </c>
      <c r="E262" t="str">
        <f t="shared" si="33"/>
        <v>AntennaRedundantHorizontalGageG1Distance3</v>
      </c>
      <c r="F262" s="4" t="str">
        <f t="shared" si="34"/>
        <v>NO</v>
      </c>
      <c r="G262" s="4" t="str">
        <f t="shared" si="35"/>
        <v>NO</v>
      </c>
      <c r="H262" s="4" t="str">
        <f t="shared" si="36"/>
        <v>NO</v>
      </c>
      <c r="I262" t="s">
        <v>1113</v>
      </c>
      <c r="J262">
        <v>0</v>
      </c>
    </row>
    <row r="263" spans="4:10" x14ac:dyDescent="0.25">
      <c r="D263" s="4" t="e">
        <f t="shared" si="32"/>
        <v>#N/A</v>
      </c>
      <c r="E263" t="str">
        <f t="shared" si="33"/>
        <v>AntennaRedundantHorizontalNetWidthDeduct3</v>
      </c>
      <c r="F263" s="4" t="str">
        <f t="shared" si="34"/>
        <v>NO</v>
      </c>
      <c r="G263" s="4" t="str">
        <f t="shared" si="35"/>
        <v>NO</v>
      </c>
      <c r="H263" s="4" t="str">
        <f t="shared" si="36"/>
        <v>NO</v>
      </c>
      <c r="I263" t="s">
        <v>1114</v>
      </c>
      <c r="J263">
        <v>0</v>
      </c>
    </row>
    <row r="264" spans="4:10" x14ac:dyDescent="0.25">
      <c r="D264" s="4" t="e">
        <f t="shared" si="32"/>
        <v>#N/A</v>
      </c>
      <c r="E264" t="str">
        <f t="shared" si="33"/>
        <v>AntennaRedundantHorizontalUFactor3</v>
      </c>
      <c r="F264" s="4" t="str">
        <f t="shared" si="34"/>
        <v>NO</v>
      </c>
      <c r="G264" s="4" t="str">
        <f t="shared" si="35"/>
        <v>NO</v>
      </c>
      <c r="H264" s="4" t="str">
        <f t="shared" si="36"/>
        <v>NO</v>
      </c>
      <c r="I264" t="s">
        <v>1115</v>
      </c>
      <c r="J264">
        <v>0</v>
      </c>
    </row>
    <row r="265" spans="4:10" x14ac:dyDescent="0.25">
      <c r="D265" s="4" t="e">
        <f t="shared" si="32"/>
        <v>#N/A</v>
      </c>
      <c r="E265" t="str">
        <f t="shared" si="33"/>
        <v>AntennaRedundantHorizontalBoltGrade4</v>
      </c>
      <c r="F265" s="4" t="str">
        <f t="shared" si="34"/>
        <v>NO</v>
      </c>
      <c r="G265" s="4" t="str">
        <f t="shared" si="35"/>
        <v>NO</v>
      </c>
      <c r="H265" s="4" t="str">
        <f t="shared" si="36"/>
        <v>NO</v>
      </c>
      <c r="I265" t="s">
        <v>1116</v>
      </c>
      <c r="J265">
        <v>0</v>
      </c>
    </row>
    <row r="266" spans="4:10" x14ac:dyDescent="0.25">
      <c r="D266" s="4" t="e">
        <f t="shared" si="32"/>
        <v>#N/A</v>
      </c>
      <c r="E266" t="str">
        <f t="shared" si="33"/>
        <v>AntennaRedundantHorizontalBoltSize4</v>
      </c>
      <c r="F266" s="4" t="str">
        <f t="shared" si="34"/>
        <v>NO</v>
      </c>
      <c r="G266" s="4" t="str">
        <f t="shared" si="35"/>
        <v>NO</v>
      </c>
      <c r="H266" s="4" t="str">
        <f t="shared" si="36"/>
        <v>NO</v>
      </c>
      <c r="I266" t="s">
        <v>1117</v>
      </c>
      <c r="J266">
        <v>0</v>
      </c>
    </row>
    <row r="267" spans="4:10" x14ac:dyDescent="0.25">
      <c r="D267" s="4" t="e">
        <f t="shared" si="32"/>
        <v>#N/A</v>
      </c>
      <c r="E267" t="str">
        <f t="shared" si="33"/>
        <v>AntennaRedundantHorizontalNumBolts4</v>
      </c>
      <c r="F267" s="4" t="str">
        <f t="shared" si="34"/>
        <v>NO</v>
      </c>
      <c r="G267" s="4" t="str">
        <f t="shared" si="35"/>
        <v>NO</v>
      </c>
      <c r="H267" s="4" t="str">
        <f t="shared" si="36"/>
        <v>NO</v>
      </c>
      <c r="I267" t="s">
        <v>1118</v>
      </c>
      <c r="J267">
        <v>0</v>
      </c>
    </row>
    <row r="268" spans="4:10" x14ac:dyDescent="0.25">
      <c r="D268" s="4" t="e">
        <f t="shared" si="32"/>
        <v>#N/A</v>
      </c>
      <c r="E268" t="str">
        <f t="shared" si="33"/>
        <v>AntennaRedundantHorizontalBoltEdgeDistance4</v>
      </c>
      <c r="F268" s="4" t="str">
        <f t="shared" si="34"/>
        <v>NO</v>
      </c>
      <c r="G268" s="4" t="str">
        <f t="shared" si="35"/>
        <v>NO</v>
      </c>
      <c r="H268" s="4" t="str">
        <f t="shared" si="36"/>
        <v>NO</v>
      </c>
      <c r="I268" t="s">
        <v>1119</v>
      </c>
      <c r="J268">
        <v>0</v>
      </c>
    </row>
    <row r="269" spans="4:10" x14ac:dyDescent="0.25">
      <c r="D269" s="4" t="e">
        <f t="shared" si="32"/>
        <v>#N/A</v>
      </c>
      <c r="E269" t="str">
        <f t="shared" si="33"/>
        <v>AntennaRedundantHorizontalGageG1Distance4</v>
      </c>
      <c r="F269" s="4" t="str">
        <f t="shared" si="34"/>
        <v>NO</v>
      </c>
      <c r="G269" s="4" t="str">
        <f t="shared" si="35"/>
        <v>NO</v>
      </c>
      <c r="H269" s="4" t="str">
        <f t="shared" si="36"/>
        <v>NO</v>
      </c>
      <c r="I269" t="s">
        <v>1120</v>
      </c>
      <c r="J269">
        <v>0</v>
      </c>
    </row>
    <row r="270" spans="4:10" x14ac:dyDescent="0.25">
      <c r="D270" s="4" t="e">
        <f t="shared" si="32"/>
        <v>#N/A</v>
      </c>
      <c r="E270" t="str">
        <f t="shared" si="33"/>
        <v>AntennaRedundantHorizontalNetWidthDeduct4</v>
      </c>
      <c r="F270" s="4" t="str">
        <f t="shared" si="34"/>
        <v>NO</v>
      </c>
      <c r="G270" s="4" t="str">
        <f t="shared" si="35"/>
        <v>NO</v>
      </c>
      <c r="H270" s="4" t="str">
        <f t="shared" si="36"/>
        <v>NO</v>
      </c>
      <c r="I270" t="s">
        <v>1121</v>
      </c>
      <c r="J270">
        <v>0</v>
      </c>
    </row>
    <row r="271" spans="4:10" x14ac:dyDescent="0.25">
      <c r="D271" s="4" t="e">
        <f t="shared" si="32"/>
        <v>#N/A</v>
      </c>
      <c r="E271" t="str">
        <f t="shared" si="33"/>
        <v>AntennaRedundantHorizontalUFactor4</v>
      </c>
      <c r="F271" s="4" t="str">
        <f t="shared" si="34"/>
        <v>NO</v>
      </c>
      <c r="G271" s="4" t="str">
        <f t="shared" si="35"/>
        <v>NO</v>
      </c>
      <c r="H271" s="4" t="str">
        <f t="shared" si="36"/>
        <v>NO</v>
      </c>
      <c r="I271" t="s">
        <v>1122</v>
      </c>
    </row>
    <row r="272" spans="4:10" x14ac:dyDescent="0.25">
      <c r="D272" s="4" t="e">
        <f t="shared" si="32"/>
        <v>#N/A</v>
      </c>
      <c r="E272" t="str">
        <f t="shared" si="33"/>
        <v>AntennaRedundantDiagonalBoltGrade1</v>
      </c>
      <c r="F272" s="4" t="str">
        <f t="shared" si="34"/>
        <v>NO</v>
      </c>
      <c r="G272" s="4" t="str">
        <f t="shared" si="35"/>
        <v>NO</v>
      </c>
      <c r="H272" s="4" t="str">
        <f t="shared" si="36"/>
        <v>NO</v>
      </c>
      <c r="I272" t="s">
        <v>1123</v>
      </c>
      <c r="J272">
        <v>0</v>
      </c>
    </row>
    <row r="273" spans="4:10" x14ac:dyDescent="0.25">
      <c r="D273" s="4" t="e">
        <f t="shared" si="32"/>
        <v>#N/A</v>
      </c>
      <c r="E273" t="str">
        <f t="shared" si="33"/>
        <v>AntennaRedundantDiagonalBoltSize1</v>
      </c>
      <c r="F273" s="4" t="str">
        <f t="shared" si="34"/>
        <v>NO</v>
      </c>
      <c r="G273" s="4" t="str">
        <f t="shared" si="35"/>
        <v>NO</v>
      </c>
      <c r="H273" s="4" t="str">
        <f t="shared" si="36"/>
        <v>NO</v>
      </c>
      <c r="I273" t="s">
        <v>1124</v>
      </c>
      <c r="J273">
        <v>0</v>
      </c>
    </row>
    <row r="274" spans="4:10" x14ac:dyDescent="0.25">
      <c r="D274" s="4" t="e">
        <f t="shared" si="32"/>
        <v>#N/A</v>
      </c>
      <c r="E274" t="str">
        <f t="shared" si="33"/>
        <v>AntennaRedundantDiagonalNumBolts1</v>
      </c>
      <c r="F274" s="4" t="str">
        <f t="shared" si="34"/>
        <v>NO</v>
      </c>
      <c r="G274" s="4" t="str">
        <f t="shared" si="35"/>
        <v>NO</v>
      </c>
      <c r="H274" s="4" t="str">
        <f t="shared" si="36"/>
        <v>NO</v>
      </c>
      <c r="I274" t="s">
        <v>1125</v>
      </c>
      <c r="J274">
        <v>0</v>
      </c>
    </row>
    <row r="275" spans="4:10" x14ac:dyDescent="0.25">
      <c r="D275" s="4" t="e">
        <f t="shared" si="32"/>
        <v>#N/A</v>
      </c>
      <c r="E275" t="str">
        <f t="shared" si="33"/>
        <v>AntennaRedundantDiagonalBoltEdgeDistance1</v>
      </c>
      <c r="F275" s="4" t="str">
        <f t="shared" si="34"/>
        <v>NO</v>
      </c>
      <c r="G275" s="4" t="str">
        <f t="shared" si="35"/>
        <v>NO</v>
      </c>
      <c r="H275" s="4" t="str">
        <f t="shared" si="36"/>
        <v>NO</v>
      </c>
      <c r="I275" t="s">
        <v>1126</v>
      </c>
      <c r="J275">
        <v>0</v>
      </c>
    </row>
    <row r="276" spans="4:10" x14ac:dyDescent="0.25">
      <c r="D276" s="4" t="e">
        <f t="shared" si="32"/>
        <v>#N/A</v>
      </c>
      <c r="E276" t="str">
        <f t="shared" si="33"/>
        <v>AntennaRedundantDiagonalGageG1Distance1</v>
      </c>
      <c r="F276" s="4" t="str">
        <f t="shared" si="34"/>
        <v>NO</v>
      </c>
      <c r="G276" s="4" t="str">
        <f t="shared" si="35"/>
        <v>NO</v>
      </c>
      <c r="H276" s="4" t="str">
        <f t="shared" si="36"/>
        <v>NO</v>
      </c>
      <c r="I276" t="s">
        <v>1127</v>
      </c>
      <c r="J276">
        <v>0</v>
      </c>
    </row>
    <row r="277" spans="4:10" x14ac:dyDescent="0.25">
      <c r="D277" s="4" t="e">
        <f t="shared" si="32"/>
        <v>#N/A</v>
      </c>
      <c r="E277" t="str">
        <f t="shared" si="33"/>
        <v>AntennaRedundantDiagonalNetWidthDeduct1</v>
      </c>
      <c r="F277" s="4" t="str">
        <f t="shared" si="34"/>
        <v>NO</v>
      </c>
      <c r="G277" s="4" t="str">
        <f t="shared" si="35"/>
        <v>NO</v>
      </c>
      <c r="H277" s="4" t="str">
        <f t="shared" si="36"/>
        <v>NO</v>
      </c>
      <c r="I277" t="s">
        <v>1128</v>
      </c>
      <c r="J277">
        <v>1</v>
      </c>
    </row>
    <row r="278" spans="4:10" x14ac:dyDescent="0.25">
      <c r="D278" s="4" t="e">
        <f t="shared" si="32"/>
        <v>#N/A</v>
      </c>
      <c r="E278" t="str">
        <f t="shared" si="33"/>
        <v>AntennaRedundantDiagonalUFactor1</v>
      </c>
      <c r="F278" s="4" t="str">
        <f t="shared" si="34"/>
        <v>NO</v>
      </c>
      <c r="G278" s="4" t="str">
        <f t="shared" si="35"/>
        <v>NO</v>
      </c>
      <c r="H278" s="4" t="str">
        <f t="shared" si="36"/>
        <v>NO</v>
      </c>
      <c r="I278" t="s">
        <v>1129</v>
      </c>
    </row>
    <row r="279" spans="4:10" x14ac:dyDescent="0.25">
      <c r="D279" s="4" t="e">
        <f t="shared" si="32"/>
        <v>#N/A</v>
      </c>
      <c r="E279" t="str">
        <f t="shared" si="33"/>
        <v>AntennaRedundantDiagonalBoltGrade2</v>
      </c>
      <c r="F279" s="4" t="str">
        <f t="shared" si="34"/>
        <v>NO</v>
      </c>
      <c r="G279" s="4" t="str">
        <f t="shared" si="35"/>
        <v>NO</v>
      </c>
      <c r="H279" s="4" t="str">
        <f t="shared" si="36"/>
        <v>NO</v>
      </c>
      <c r="I279" t="s">
        <v>1130</v>
      </c>
      <c r="J279">
        <v>0</v>
      </c>
    </row>
    <row r="280" spans="4:10" x14ac:dyDescent="0.25">
      <c r="D280" s="4" t="e">
        <f t="shared" si="32"/>
        <v>#N/A</v>
      </c>
      <c r="E280" t="str">
        <f t="shared" si="33"/>
        <v>AntennaRedundantDiagonalBoltSize2</v>
      </c>
      <c r="F280" s="4" t="str">
        <f t="shared" si="34"/>
        <v>NO</v>
      </c>
      <c r="G280" s="4" t="str">
        <f t="shared" si="35"/>
        <v>NO</v>
      </c>
      <c r="H280" s="4" t="str">
        <f t="shared" si="36"/>
        <v>NO</v>
      </c>
      <c r="I280" t="s">
        <v>1131</v>
      </c>
      <c r="J280">
        <v>0</v>
      </c>
    </row>
    <row r="281" spans="4:10" x14ac:dyDescent="0.25">
      <c r="D281" s="4" t="e">
        <f t="shared" si="32"/>
        <v>#N/A</v>
      </c>
      <c r="E281" t="str">
        <f t="shared" si="33"/>
        <v>AntennaRedundantDiagonalNumBolts2</v>
      </c>
      <c r="F281" s="4" t="str">
        <f t="shared" si="34"/>
        <v>NO</v>
      </c>
      <c r="G281" s="4" t="str">
        <f t="shared" si="35"/>
        <v>NO</v>
      </c>
      <c r="H281" s="4" t="str">
        <f t="shared" si="36"/>
        <v>NO</v>
      </c>
      <c r="I281" t="s">
        <v>1132</v>
      </c>
      <c r="J281">
        <v>0</v>
      </c>
    </row>
    <row r="282" spans="4:10" x14ac:dyDescent="0.25">
      <c r="D282" s="4" t="e">
        <f t="shared" si="32"/>
        <v>#N/A</v>
      </c>
      <c r="E282" t="str">
        <f t="shared" si="33"/>
        <v>AntennaRedundantDiagonalBoltEdgeDistance2</v>
      </c>
      <c r="F282" s="4" t="str">
        <f t="shared" si="34"/>
        <v>NO</v>
      </c>
      <c r="G282" s="4" t="str">
        <f t="shared" si="35"/>
        <v>NO</v>
      </c>
      <c r="H282" s="4" t="str">
        <f t="shared" si="36"/>
        <v>NO</v>
      </c>
      <c r="I282" t="s">
        <v>1133</v>
      </c>
      <c r="J282">
        <v>0</v>
      </c>
    </row>
    <row r="283" spans="4:10" x14ac:dyDescent="0.25">
      <c r="D283" s="4" t="e">
        <f t="shared" si="32"/>
        <v>#N/A</v>
      </c>
      <c r="E283" t="str">
        <f t="shared" si="33"/>
        <v>AntennaRedundantDiagonalGageG1Distance2</v>
      </c>
      <c r="F283" s="4" t="str">
        <f t="shared" si="34"/>
        <v>NO</v>
      </c>
      <c r="G283" s="4" t="str">
        <f t="shared" si="35"/>
        <v>NO</v>
      </c>
      <c r="H283" s="4" t="str">
        <f t="shared" si="36"/>
        <v>NO</v>
      </c>
      <c r="I283" t="s">
        <v>1134</v>
      </c>
      <c r="J283">
        <v>0</v>
      </c>
    </row>
    <row r="284" spans="4:10" x14ac:dyDescent="0.25">
      <c r="D284" s="4" t="e">
        <f t="shared" si="32"/>
        <v>#N/A</v>
      </c>
      <c r="E284" t="str">
        <f t="shared" si="33"/>
        <v>AntennaRedundantDiagonalNetWidthDeduct2</v>
      </c>
      <c r="F284" s="4" t="str">
        <f t="shared" si="34"/>
        <v>NO</v>
      </c>
      <c r="G284" s="4" t="str">
        <f t="shared" si="35"/>
        <v>NO</v>
      </c>
      <c r="H284" s="4" t="str">
        <f t="shared" si="36"/>
        <v>NO</v>
      </c>
      <c r="I284" t="s">
        <v>1135</v>
      </c>
      <c r="J284">
        <v>1</v>
      </c>
    </row>
    <row r="285" spans="4:10" x14ac:dyDescent="0.25">
      <c r="D285" s="4" t="e">
        <f t="shared" si="32"/>
        <v>#N/A</v>
      </c>
      <c r="E285" t="str">
        <f t="shared" si="33"/>
        <v>AntennaRedundantDiagonalUFactor2</v>
      </c>
      <c r="F285" s="4" t="str">
        <f t="shared" si="34"/>
        <v>NO</v>
      </c>
      <c r="G285" s="4" t="str">
        <f t="shared" si="35"/>
        <v>NO</v>
      </c>
      <c r="H285" s="4" t="str">
        <f t="shared" si="36"/>
        <v>NO</v>
      </c>
      <c r="I285" t="s">
        <v>1136</v>
      </c>
    </row>
    <row r="286" spans="4:10" x14ac:dyDescent="0.25">
      <c r="D286" s="4" t="e">
        <f t="shared" si="32"/>
        <v>#N/A</v>
      </c>
      <c r="E286" t="str">
        <f t="shared" si="33"/>
        <v>AntennaRedundantDiagonalBoltGrade3</v>
      </c>
      <c r="F286" s="4" t="str">
        <f t="shared" si="34"/>
        <v>NO</v>
      </c>
      <c r="G286" s="4" t="str">
        <f t="shared" si="35"/>
        <v>NO</v>
      </c>
      <c r="H286" s="4" t="str">
        <f t="shared" si="36"/>
        <v>NO</v>
      </c>
      <c r="I286" t="s">
        <v>1137</v>
      </c>
      <c r="J286">
        <v>0</v>
      </c>
    </row>
    <row r="287" spans="4:10" x14ac:dyDescent="0.25">
      <c r="D287" s="4" t="e">
        <f t="shared" si="32"/>
        <v>#N/A</v>
      </c>
      <c r="E287" t="str">
        <f t="shared" si="33"/>
        <v>AntennaRedundantDiagonalBoltSize3</v>
      </c>
      <c r="F287" s="4" t="str">
        <f t="shared" si="34"/>
        <v>NO</v>
      </c>
      <c r="G287" s="4" t="str">
        <f t="shared" si="35"/>
        <v>NO</v>
      </c>
      <c r="H287" s="4" t="str">
        <f t="shared" si="36"/>
        <v>NO</v>
      </c>
      <c r="I287" t="s">
        <v>1138</v>
      </c>
      <c r="J287">
        <v>0</v>
      </c>
    </row>
    <row r="288" spans="4:10" x14ac:dyDescent="0.25">
      <c r="D288" s="4" t="e">
        <f t="shared" si="32"/>
        <v>#N/A</v>
      </c>
      <c r="E288" t="str">
        <f t="shared" si="33"/>
        <v>AntennaRedundantDiagonalNumBolts3</v>
      </c>
      <c r="F288" s="4" t="str">
        <f t="shared" si="34"/>
        <v>NO</v>
      </c>
      <c r="G288" s="4" t="str">
        <f t="shared" si="35"/>
        <v>NO</v>
      </c>
      <c r="H288" s="4" t="str">
        <f t="shared" si="36"/>
        <v>NO</v>
      </c>
      <c r="I288" t="s">
        <v>1139</v>
      </c>
      <c r="J288">
        <v>0</v>
      </c>
    </row>
    <row r="289" spans="4:10" x14ac:dyDescent="0.25">
      <c r="D289" s="4" t="e">
        <f t="shared" si="32"/>
        <v>#N/A</v>
      </c>
      <c r="E289" t="str">
        <f t="shared" si="33"/>
        <v>AntennaRedundantDiagonalBoltEdgeDistance3</v>
      </c>
      <c r="F289" s="4" t="str">
        <f t="shared" si="34"/>
        <v>NO</v>
      </c>
      <c r="G289" s="4" t="str">
        <f t="shared" si="35"/>
        <v>NO</v>
      </c>
      <c r="H289" s="4" t="str">
        <f t="shared" si="36"/>
        <v>NO</v>
      </c>
      <c r="I289" t="s">
        <v>1140</v>
      </c>
      <c r="J289">
        <v>0</v>
      </c>
    </row>
    <row r="290" spans="4:10" x14ac:dyDescent="0.25">
      <c r="D290" s="4" t="e">
        <f t="shared" si="32"/>
        <v>#N/A</v>
      </c>
      <c r="E290" t="str">
        <f t="shared" si="33"/>
        <v>AntennaRedundantDiagonalGageG1Distance3</v>
      </c>
      <c r="F290" s="4" t="str">
        <f t="shared" si="34"/>
        <v>NO</v>
      </c>
      <c r="G290" s="4" t="str">
        <f t="shared" si="35"/>
        <v>NO</v>
      </c>
      <c r="H290" s="4" t="str">
        <f t="shared" si="36"/>
        <v>NO</v>
      </c>
      <c r="I290" t="s">
        <v>1141</v>
      </c>
      <c r="J290">
        <v>0</v>
      </c>
    </row>
    <row r="291" spans="4:10" x14ac:dyDescent="0.25">
      <c r="D291" s="4" t="e">
        <f t="shared" si="32"/>
        <v>#N/A</v>
      </c>
      <c r="E291" t="str">
        <f t="shared" si="33"/>
        <v>AntennaRedundantDiagonalNetWidthDeduct3</v>
      </c>
      <c r="F291" s="4" t="str">
        <f t="shared" si="34"/>
        <v>NO</v>
      </c>
      <c r="G291" s="4" t="str">
        <f t="shared" si="35"/>
        <v>NO</v>
      </c>
      <c r="H291" s="4" t="str">
        <f t="shared" si="36"/>
        <v>NO</v>
      </c>
      <c r="I291" t="s">
        <v>1142</v>
      </c>
      <c r="J291">
        <v>1</v>
      </c>
    </row>
    <row r="292" spans="4:10" x14ac:dyDescent="0.25">
      <c r="D292" s="4" t="e">
        <f t="shared" si="32"/>
        <v>#N/A</v>
      </c>
      <c r="E292" t="str">
        <f t="shared" si="33"/>
        <v>AntennaRedundantDiagonalUFactor3</v>
      </c>
      <c r="F292" s="4" t="str">
        <f t="shared" si="34"/>
        <v>NO</v>
      </c>
      <c r="G292" s="4" t="str">
        <f t="shared" si="35"/>
        <v>NO</v>
      </c>
      <c r="H292" s="4" t="str">
        <f t="shared" si="36"/>
        <v>NO</v>
      </c>
      <c r="I292" t="s">
        <v>1143</v>
      </c>
    </row>
    <row r="293" spans="4:10" x14ac:dyDescent="0.25">
      <c r="D293" s="4" t="e">
        <f t="shared" si="32"/>
        <v>#N/A</v>
      </c>
      <c r="E293" t="str">
        <f t="shared" si="33"/>
        <v>AntennaRedundantDiagonalBoltGrade4</v>
      </c>
      <c r="F293" s="4" t="str">
        <f t="shared" si="34"/>
        <v>NO</v>
      </c>
      <c r="G293" s="4" t="str">
        <f t="shared" si="35"/>
        <v>NO</v>
      </c>
      <c r="H293" s="4" t="str">
        <f t="shared" si="36"/>
        <v>NO</v>
      </c>
      <c r="I293" t="s">
        <v>1144</v>
      </c>
      <c r="J293">
        <v>0</v>
      </c>
    </row>
    <row r="294" spans="4:10" x14ac:dyDescent="0.25">
      <c r="D294" s="4" t="e">
        <f t="shared" si="32"/>
        <v>#N/A</v>
      </c>
      <c r="E294" t="str">
        <f t="shared" si="33"/>
        <v>AntennaRedundantDiagonalBoltSize4</v>
      </c>
      <c r="F294" s="4" t="str">
        <f t="shared" si="34"/>
        <v>NO</v>
      </c>
      <c r="G294" s="4" t="str">
        <f t="shared" si="35"/>
        <v>NO</v>
      </c>
      <c r="H294" s="4" t="str">
        <f t="shared" si="36"/>
        <v>NO</v>
      </c>
      <c r="I294" t="s">
        <v>1145</v>
      </c>
      <c r="J294">
        <v>0</v>
      </c>
    </row>
    <row r="295" spans="4:10" x14ac:dyDescent="0.25">
      <c r="D295" s="4" t="e">
        <f t="shared" si="32"/>
        <v>#N/A</v>
      </c>
      <c r="E295" t="str">
        <f t="shared" si="33"/>
        <v>AntennaRedundantDiagonalNumBolts4</v>
      </c>
      <c r="F295" s="4" t="str">
        <f t="shared" si="34"/>
        <v>NO</v>
      </c>
      <c r="G295" s="4" t="str">
        <f t="shared" si="35"/>
        <v>NO</v>
      </c>
      <c r="H295" s="4" t="str">
        <f t="shared" si="36"/>
        <v>NO</v>
      </c>
      <c r="I295" t="s">
        <v>1146</v>
      </c>
      <c r="J295">
        <v>0</v>
      </c>
    </row>
    <row r="296" spans="4:10" x14ac:dyDescent="0.25">
      <c r="D296" s="4" t="e">
        <f t="shared" si="32"/>
        <v>#N/A</v>
      </c>
      <c r="E296" t="str">
        <f t="shared" si="33"/>
        <v>AntennaRedundantDiagonalBoltEdgeDistance4</v>
      </c>
      <c r="F296" s="4" t="str">
        <f t="shared" si="34"/>
        <v>NO</v>
      </c>
      <c r="G296" s="4" t="str">
        <f t="shared" si="35"/>
        <v>NO</v>
      </c>
      <c r="H296" s="4" t="str">
        <f t="shared" si="36"/>
        <v>NO</v>
      </c>
      <c r="I296" t="s">
        <v>1147</v>
      </c>
      <c r="J296">
        <v>0</v>
      </c>
    </row>
    <row r="297" spans="4:10" x14ac:dyDescent="0.25">
      <c r="D297" s="4" t="e">
        <f t="shared" si="32"/>
        <v>#N/A</v>
      </c>
      <c r="E297" t="str">
        <f t="shared" si="33"/>
        <v>AntennaRedundantDiagonalGageG1Distance4</v>
      </c>
      <c r="F297" s="4" t="str">
        <f t="shared" si="34"/>
        <v>NO</v>
      </c>
      <c r="G297" s="4" t="str">
        <f t="shared" si="35"/>
        <v>NO</v>
      </c>
      <c r="H297" s="4" t="str">
        <f t="shared" si="36"/>
        <v>NO</v>
      </c>
      <c r="I297" t="s">
        <v>1148</v>
      </c>
      <c r="J297">
        <v>0</v>
      </c>
    </row>
    <row r="298" spans="4:10" x14ac:dyDescent="0.25">
      <c r="D298" s="4" t="e">
        <f t="shared" si="32"/>
        <v>#N/A</v>
      </c>
      <c r="E298" t="str">
        <f t="shared" si="33"/>
        <v>AntennaRedundantDiagonalNetWidthDeduct4</v>
      </c>
      <c r="F298" s="4" t="str">
        <f t="shared" si="34"/>
        <v>NO</v>
      </c>
      <c r="G298" s="4" t="str">
        <f t="shared" si="35"/>
        <v>NO</v>
      </c>
      <c r="H298" s="4" t="str">
        <f t="shared" si="36"/>
        <v>NO</v>
      </c>
      <c r="I298" t="s">
        <v>1149</v>
      </c>
      <c r="J298">
        <v>1</v>
      </c>
    </row>
    <row r="299" spans="4:10" x14ac:dyDescent="0.25">
      <c r="D299" s="4" t="e">
        <f t="shared" si="32"/>
        <v>#N/A</v>
      </c>
      <c r="E299" t="str">
        <f t="shared" si="33"/>
        <v>AntennaRedundantDiagonalUFactor4</v>
      </c>
      <c r="F299" s="4" t="str">
        <f t="shared" si="34"/>
        <v>NO</v>
      </c>
      <c r="G299" s="4" t="str">
        <f t="shared" si="35"/>
        <v>NO</v>
      </c>
      <c r="H299" s="4" t="str">
        <f t="shared" si="36"/>
        <v>NO</v>
      </c>
      <c r="I299" t="s">
        <v>1150</v>
      </c>
    </row>
    <row r="300" spans="4:10" hidden="1" x14ac:dyDescent="0.25">
      <c r="D300" s="4" t="e">
        <f t="shared" si="32"/>
        <v>#N/A</v>
      </c>
      <c r="E300" t="str">
        <f t="shared" si="33"/>
        <v>AntennaRedundantSubDiagonalBoltGrade</v>
      </c>
      <c r="F300" s="4" t="str">
        <f t="shared" si="34"/>
        <v>YES</v>
      </c>
      <c r="G300" s="4" t="str">
        <f t="shared" si="35"/>
        <v>YES</v>
      </c>
      <c r="H300" s="4" t="str">
        <f t="shared" si="36"/>
        <v>NO</v>
      </c>
      <c r="I300" t="s">
        <v>985</v>
      </c>
      <c r="J300">
        <v>0</v>
      </c>
    </row>
    <row r="301" spans="4:10" hidden="1" x14ac:dyDescent="0.25">
      <c r="D301" s="4" t="e">
        <f t="shared" si="32"/>
        <v>#N/A</v>
      </c>
      <c r="E301" t="str">
        <f t="shared" si="33"/>
        <v>AntennaRedundantSubDiagonalBoltSize</v>
      </c>
      <c r="F301" s="4" t="str">
        <f t="shared" si="34"/>
        <v>YES</v>
      </c>
      <c r="G301" s="4" t="str">
        <f t="shared" si="35"/>
        <v>YES</v>
      </c>
      <c r="H301" s="4" t="str">
        <f t="shared" si="36"/>
        <v>NO</v>
      </c>
      <c r="I301" t="s">
        <v>986</v>
      </c>
      <c r="J301">
        <v>0</v>
      </c>
    </row>
    <row r="302" spans="4:10" hidden="1" x14ac:dyDescent="0.25">
      <c r="D302" s="4" t="e">
        <f t="shared" si="32"/>
        <v>#N/A</v>
      </c>
      <c r="E302" t="str">
        <f t="shared" si="33"/>
        <v>AntennaRedundantSubDiagonalNumBolts</v>
      </c>
      <c r="F302" s="4" t="str">
        <f t="shared" si="34"/>
        <v>YES</v>
      </c>
      <c r="G302" s="4" t="str">
        <f t="shared" si="35"/>
        <v>YES</v>
      </c>
      <c r="H302" s="4" t="str">
        <f t="shared" si="36"/>
        <v>NO</v>
      </c>
      <c r="I302" t="s">
        <v>987</v>
      </c>
      <c r="J302">
        <v>0</v>
      </c>
    </row>
    <row r="303" spans="4:10" hidden="1" x14ac:dyDescent="0.25">
      <c r="D303" s="4" t="e">
        <f t="shared" si="32"/>
        <v>#N/A</v>
      </c>
      <c r="E303" t="str">
        <f t="shared" si="33"/>
        <v>AntennaRedundantSubDiagonalBoltEdgeDistance</v>
      </c>
      <c r="F303" s="4" t="str">
        <f t="shared" si="34"/>
        <v>YES</v>
      </c>
      <c r="G303" s="4" t="str">
        <f t="shared" si="35"/>
        <v>YES</v>
      </c>
      <c r="H303" s="4" t="str">
        <f t="shared" si="36"/>
        <v>NO</v>
      </c>
      <c r="I303" t="s">
        <v>988</v>
      </c>
      <c r="J303">
        <v>0</v>
      </c>
    </row>
    <row r="304" spans="4:10" hidden="1" x14ac:dyDescent="0.25">
      <c r="D304" s="4" t="e">
        <f t="shared" si="32"/>
        <v>#N/A</v>
      </c>
      <c r="E304" t="str">
        <f t="shared" si="33"/>
        <v>AntennaRedundantSubDiagonalGageG1Distance</v>
      </c>
      <c r="F304" s="4" t="str">
        <f t="shared" si="34"/>
        <v>YES</v>
      </c>
      <c r="G304" s="4" t="str">
        <f t="shared" si="35"/>
        <v>YES</v>
      </c>
      <c r="H304" s="4" t="str">
        <f t="shared" si="36"/>
        <v>NO</v>
      </c>
      <c r="I304" t="s">
        <v>989</v>
      </c>
      <c r="J304">
        <v>0</v>
      </c>
    </row>
    <row r="305" spans="4:10" hidden="1" x14ac:dyDescent="0.25">
      <c r="D305" s="4" t="e">
        <f t="shared" si="32"/>
        <v>#N/A</v>
      </c>
      <c r="E305" t="str">
        <f t="shared" si="33"/>
        <v>AntennaRedundantSubDiagonalNetWidthDeduct</v>
      </c>
      <c r="F305" s="4" t="str">
        <f t="shared" si="34"/>
        <v>YES</v>
      </c>
      <c r="G305" s="4" t="str">
        <f t="shared" si="35"/>
        <v>YES</v>
      </c>
      <c r="H305" s="4" t="str">
        <f t="shared" si="36"/>
        <v>NO</v>
      </c>
      <c r="I305" t="s">
        <v>990</v>
      </c>
      <c r="J305">
        <v>1</v>
      </c>
    </row>
    <row r="306" spans="4:10" hidden="1" x14ac:dyDescent="0.25">
      <c r="D306" s="4" t="e">
        <f t="shared" si="32"/>
        <v>#N/A</v>
      </c>
      <c r="E306" t="str">
        <f t="shared" si="33"/>
        <v>AntennaRedundantSubDiagonalUFactor</v>
      </c>
      <c r="F306" s="4" t="str">
        <f t="shared" si="34"/>
        <v>YES</v>
      </c>
      <c r="G306" s="4" t="str">
        <f t="shared" si="35"/>
        <v>YES</v>
      </c>
      <c r="H306" s="4" t="str">
        <f t="shared" si="36"/>
        <v>NO</v>
      </c>
      <c r="I306" t="s">
        <v>991</v>
      </c>
    </row>
    <row r="307" spans="4:10" hidden="1" x14ac:dyDescent="0.25">
      <c r="D307" s="4" t="e">
        <f t="shared" si="32"/>
        <v>#N/A</v>
      </c>
      <c r="E307" t="str">
        <f t="shared" si="33"/>
        <v>AntennaRedundantSubHorizontalBoltGrade</v>
      </c>
      <c r="F307" s="4" t="str">
        <f t="shared" si="34"/>
        <v>YES</v>
      </c>
      <c r="G307" s="4" t="str">
        <f t="shared" si="35"/>
        <v>YES</v>
      </c>
      <c r="H307" s="4" t="str">
        <f t="shared" si="36"/>
        <v>NO</v>
      </c>
      <c r="I307" t="s">
        <v>992</v>
      </c>
      <c r="J307">
        <v>0</v>
      </c>
    </row>
    <row r="308" spans="4:10" hidden="1" x14ac:dyDescent="0.25">
      <c r="D308" s="4" t="e">
        <f t="shared" si="32"/>
        <v>#N/A</v>
      </c>
      <c r="E308" t="str">
        <f t="shared" si="33"/>
        <v>AntennaRedundantSubHorizontalBoltSize</v>
      </c>
      <c r="F308" s="4" t="str">
        <f t="shared" si="34"/>
        <v>YES</v>
      </c>
      <c r="G308" s="4" t="str">
        <f t="shared" si="35"/>
        <v>YES</v>
      </c>
      <c r="H308" s="4" t="str">
        <f t="shared" si="36"/>
        <v>NO</v>
      </c>
      <c r="I308" t="s">
        <v>993</v>
      </c>
      <c r="J308">
        <v>0</v>
      </c>
    </row>
    <row r="309" spans="4:10" hidden="1" x14ac:dyDescent="0.25">
      <c r="D309" s="4" t="e">
        <f t="shared" si="32"/>
        <v>#N/A</v>
      </c>
      <c r="E309" t="str">
        <f t="shared" si="33"/>
        <v>AntennaRedundantSubHorizontalNumBolts</v>
      </c>
      <c r="F309" s="4" t="str">
        <f t="shared" si="34"/>
        <v>YES</v>
      </c>
      <c r="G309" s="4" t="str">
        <f t="shared" si="35"/>
        <v>YES</v>
      </c>
      <c r="H309" s="4" t="str">
        <f t="shared" si="36"/>
        <v>NO</v>
      </c>
      <c r="I309" t="s">
        <v>994</v>
      </c>
      <c r="J309">
        <v>0</v>
      </c>
    </row>
    <row r="310" spans="4:10" hidden="1" x14ac:dyDescent="0.25">
      <c r="D310" s="4" t="e">
        <f t="shared" si="32"/>
        <v>#N/A</v>
      </c>
      <c r="E310" t="str">
        <f t="shared" si="33"/>
        <v>AntennaRedundantSubHorizontalBoltEdgeDistance</v>
      </c>
      <c r="F310" s="4" t="str">
        <f t="shared" si="34"/>
        <v>YES</v>
      </c>
      <c r="G310" s="4" t="str">
        <f t="shared" si="35"/>
        <v>YES</v>
      </c>
      <c r="H310" s="4" t="str">
        <f t="shared" si="36"/>
        <v>NO</v>
      </c>
      <c r="I310" t="s">
        <v>995</v>
      </c>
      <c r="J310">
        <v>0</v>
      </c>
    </row>
    <row r="311" spans="4:10" hidden="1" x14ac:dyDescent="0.25">
      <c r="D311" s="4" t="e">
        <f t="shared" si="32"/>
        <v>#N/A</v>
      </c>
      <c r="E311" t="str">
        <f t="shared" si="33"/>
        <v>AntennaRedundantSubHorizontalGageG1Distance</v>
      </c>
      <c r="F311" s="4" t="str">
        <f t="shared" si="34"/>
        <v>YES</v>
      </c>
      <c r="G311" s="4" t="str">
        <f t="shared" si="35"/>
        <v>YES</v>
      </c>
      <c r="H311" s="4" t="str">
        <f t="shared" si="36"/>
        <v>NO</v>
      </c>
      <c r="I311" t="s">
        <v>996</v>
      </c>
      <c r="J311">
        <v>0</v>
      </c>
    </row>
    <row r="312" spans="4:10" hidden="1" x14ac:dyDescent="0.25">
      <c r="D312" s="4" t="e">
        <f t="shared" si="32"/>
        <v>#N/A</v>
      </c>
      <c r="E312" t="str">
        <f t="shared" si="33"/>
        <v>AntennaRedundantSubHorizontalNetWidthDeduct</v>
      </c>
      <c r="F312" s="4" t="str">
        <f t="shared" si="34"/>
        <v>YES</v>
      </c>
      <c r="G312" s="4" t="str">
        <f t="shared" si="35"/>
        <v>YES</v>
      </c>
      <c r="H312" s="4" t="str">
        <f t="shared" si="36"/>
        <v>NO</v>
      </c>
      <c r="I312" t="s">
        <v>997</v>
      </c>
      <c r="J312">
        <v>1</v>
      </c>
    </row>
    <row r="313" spans="4:10" hidden="1" x14ac:dyDescent="0.25">
      <c r="D313" s="4" t="e">
        <f t="shared" si="32"/>
        <v>#N/A</v>
      </c>
      <c r="E313" t="str">
        <f t="shared" si="33"/>
        <v>AntennaRedundantSubHorizontalUFactor</v>
      </c>
      <c r="F313" s="4" t="str">
        <f t="shared" si="34"/>
        <v>YES</v>
      </c>
      <c r="G313" s="4" t="str">
        <f t="shared" si="35"/>
        <v>YES</v>
      </c>
      <c r="H313" s="4" t="str">
        <f t="shared" si="36"/>
        <v>NO</v>
      </c>
      <c r="I313" t="s">
        <v>998</v>
      </c>
    </row>
    <row r="314" spans="4:10" hidden="1" x14ac:dyDescent="0.25">
      <c r="D314" s="4" t="e">
        <f t="shared" si="32"/>
        <v>#N/A</v>
      </c>
      <c r="E314" t="str">
        <f t="shared" si="33"/>
        <v>AntennaRedundantVerticalBoltGrade</v>
      </c>
      <c r="F314" s="4" t="str">
        <f t="shared" si="34"/>
        <v>YES</v>
      </c>
      <c r="G314" s="4" t="str">
        <f t="shared" si="35"/>
        <v>YES</v>
      </c>
      <c r="H314" s="4" t="str">
        <f t="shared" si="36"/>
        <v>NO</v>
      </c>
      <c r="I314" t="s">
        <v>999</v>
      </c>
      <c r="J314">
        <v>0</v>
      </c>
    </row>
    <row r="315" spans="4:10" hidden="1" x14ac:dyDescent="0.25">
      <c r="D315" s="4" t="e">
        <f t="shared" si="32"/>
        <v>#N/A</v>
      </c>
      <c r="E315" t="str">
        <f t="shared" si="33"/>
        <v>AntennaRedundantVerticalBoltSize</v>
      </c>
      <c r="F315" s="4" t="str">
        <f t="shared" si="34"/>
        <v>YES</v>
      </c>
      <c r="G315" s="4" t="str">
        <f t="shared" si="35"/>
        <v>YES</v>
      </c>
      <c r="H315" s="4" t="str">
        <f t="shared" si="36"/>
        <v>NO</v>
      </c>
      <c r="I315" t="s">
        <v>1000</v>
      </c>
      <c r="J315">
        <v>0</v>
      </c>
    </row>
    <row r="316" spans="4:10" hidden="1" x14ac:dyDescent="0.25">
      <c r="D316" s="4" t="e">
        <f t="shared" si="32"/>
        <v>#N/A</v>
      </c>
      <c r="E316" t="str">
        <f t="shared" si="33"/>
        <v>AntennaRedundantVerticalNumBolts</v>
      </c>
      <c r="F316" s="4" t="str">
        <f t="shared" si="34"/>
        <v>YES</v>
      </c>
      <c r="G316" s="4" t="str">
        <f t="shared" si="35"/>
        <v>YES</v>
      </c>
      <c r="H316" s="4" t="str">
        <f t="shared" si="36"/>
        <v>NO</v>
      </c>
      <c r="I316" t="s">
        <v>1001</v>
      </c>
      <c r="J316">
        <v>0</v>
      </c>
    </row>
    <row r="317" spans="4:10" hidden="1" x14ac:dyDescent="0.25">
      <c r="D317" s="4" t="e">
        <f t="shared" si="32"/>
        <v>#N/A</v>
      </c>
      <c r="E317" t="str">
        <f t="shared" si="33"/>
        <v>AntennaRedundantVerticalBoltEdgeDistance</v>
      </c>
      <c r="F317" s="4" t="str">
        <f t="shared" si="34"/>
        <v>YES</v>
      </c>
      <c r="G317" s="4" t="str">
        <f t="shared" si="35"/>
        <v>YES</v>
      </c>
      <c r="H317" s="4" t="str">
        <f t="shared" si="36"/>
        <v>NO</v>
      </c>
      <c r="I317" t="s">
        <v>1002</v>
      </c>
      <c r="J317">
        <v>0</v>
      </c>
    </row>
    <row r="318" spans="4:10" hidden="1" x14ac:dyDescent="0.25">
      <c r="D318" s="4" t="e">
        <f t="shared" si="32"/>
        <v>#N/A</v>
      </c>
      <c r="E318" t="str">
        <f t="shared" si="33"/>
        <v>AntennaRedundantVerticalGageG1Distance</v>
      </c>
      <c r="F318" s="4" t="str">
        <f t="shared" si="34"/>
        <v>YES</v>
      </c>
      <c r="G318" s="4" t="str">
        <f t="shared" si="35"/>
        <v>YES</v>
      </c>
      <c r="H318" s="4" t="str">
        <f t="shared" si="36"/>
        <v>NO</v>
      </c>
      <c r="I318" t="s">
        <v>1003</v>
      </c>
      <c r="J318">
        <v>0</v>
      </c>
    </row>
    <row r="319" spans="4:10" hidden="1" x14ac:dyDescent="0.25">
      <c r="D319" s="4" t="e">
        <f t="shared" si="32"/>
        <v>#N/A</v>
      </c>
      <c r="E319" t="str">
        <f t="shared" si="33"/>
        <v>AntennaRedundantVerticalNetWidthDeduct</v>
      </c>
      <c r="F319" s="4" t="str">
        <f t="shared" si="34"/>
        <v>YES</v>
      </c>
      <c r="G319" s="4" t="str">
        <f t="shared" si="35"/>
        <v>YES</v>
      </c>
      <c r="H319" s="4" t="str">
        <f t="shared" si="36"/>
        <v>NO</v>
      </c>
      <c r="I319" t="s">
        <v>1004</v>
      </c>
      <c r="J319">
        <v>1</v>
      </c>
    </row>
    <row r="320" spans="4:10" hidden="1" x14ac:dyDescent="0.25">
      <c r="D320" s="4" t="e">
        <f t="shared" si="32"/>
        <v>#N/A</v>
      </c>
      <c r="E320" t="str">
        <f t="shared" si="33"/>
        <v>AntennaRedundantVerticalUFactor</v>
      </c>
      <c r="F320" s="4" t="str">
        <f t="shared" si="34"/>
        <v>YES</v>
      </c>
      <c r="G320" s="4" t="str">
        <f t="shared" si="35"/>
        <v>YES</v>
      </c>
      <c r="H320" s="4" t="str">
        <f t="shared" si="36"/>
        <v>NO</v>
      </c>
      <c r="I320" t="s">
        <v>1005</v>
      </c>
    </row>
    <row r="321" spans="4:10" x14ac:dyDescent="0.25">
      <c r="D321" s="4" t="e">
        <f t="shared" si="32"/>
        <v>#N/A</v>
      </c>
      <c r="E321" t="str">
        <f t="shared" si="33"/>
        <v>AntennaRedundantHipBoltGrade1</v>
      </c>
      <c r="F321" s="4" t="str">
        <f t="shared" si="34"/>
        <v>NO</v>
      </c>
      <c r="G321" s="4" t="str">
        <f t="shared" si="35"/>
        <v>NO</v>
      </c>
      <c r="H321" s="4" t="str">
        <f t="shared" si="36"/>
        <v>NO</v>
      </c>
      <c r="I321" t="s">
        <v>1151</v>
      </c>
      <c r="J321">
        <v>0</v>
      </c>
    </row>
    <row r="322" spans="4:10" x14ac:dyDescent="0.25">
      <c r="D322" s="4" t="e">
        <f t="shared" si="32"/>
        <v>#N/A</v>
      </c>
      <c r="E322" t="str">
        <f t="shared" si="33"/>
        <v>AntennaRedundantHipBoltSize1</v>
      </c>
      <c r="F322" s="4" t="str">
        <f t="shared" si="34"/>
        <v>NO</v>
      </c>
      <c r="G322" s="4" t="str">
        <f t="shared" si="35"/>
        <v>NO</v>
      </c>
      <c r="H322" s="4" t="str">
        <f t="shared" si="36"/>
        <v>NO</v>
      </c>
      <c r="I322" t="s">
        <v>1152</v>
      </c>
      <c r="J322">
        <v>0</v>
      </c>
    </row>
    <row r="323" spans="4:10" x14ac:dyDescent="0.25">
      <c r="D323" s="4" t="e">
        <f t="shared" si="32"/>
        <v>#N/A</v>
      </c>
      <c r="E323" t="str">
        <f t="shared" si="33"/>
        <v>AntennaRedundantHipNumBolts1</v>
      </c>
      <c r="F323" s="4" t="str">
        <f t="shared" si="34"/>
        <v>NO</v>
      </c>
      <c r="G323" s="4" t="str">
        <f t="shared" si="35"/>
        <v>NO</v>
      </c>
      <c r="H323" s="4" t="str">
        <f t="shared" si="36"/>
        <v>NO</v>
      </c>
      <c r="I323" t="s">
        <v>1153</v>
      </c>
      <c r="J323">
        <v>0</v>
      </c>
    </row>
    <row r="324" spans="4:10" x14ac:dyDescent="0.25">
      <c r="D324" s="4" t="e">
        <f t="shared" si="32"/>
        <v>#N/A</v>
      </c>
      <c r="E324" t="str">
        <f t="shared" si="33"/>
        <v>AntennaRedundantHipBoltEdgeDistance1</v>
      </c>
      <c r="F324" s="4" t="str">
        <f t="shared" si="34"/>
        <v>NO</v>
      </c>
      <c r="G324" s="4" t="str">
        <f t="shared" si="35"/>
        <v>NO</v>
      </c>
      <c r="H324" s="4" t="str">
        <f t="shared" si="36"/>
        <v>NO</v>
      </c>
      <c r="I324" t="s">
        <v>1154</v>
      </c>
      <c r="J324">
        <v>0</v>
      </c>
    </row>
    <row r="325" spans="4:10" x14ac:dyDescent="0.25">
      <c r="D325" s="4" t="e">
        <f t="shared" ref="D325:D388" si="37">MATCH(C325,E:E,0)</f>
        <v>#N/A</v>
      </c>
      <c r="E325" t="str">
        <f t="shared" ref="E325:E388" si="38">TRIM((SUBSTITUTE(SUBSTITUTE(I325,",","")," ","")))</f>
        <v>AntennaRedundantHipGageG1Distance1</v>
      </c>
      <c r="F325" s="4" t="str">
        <f t="shared" ref="F325:F388" si="39">IFERROR(IF(MATCH(E325,C:C,0)&gt;0,"YES"),"NO")</f>
        <v>NO</v>
      </c>
      <c r="G325" s="4" t="str">
        <f t="shared" ref="G325:G388" si="40">IFERROR(IF(MATCH(E325,M:M,0)&gt;0,"YES"),"NO")</f>
        <v>NO</v>
      </c>
      <c r="H325" s="4" t="str">
        <f t="shared" ref="H325:H388" si="41">IFERROR(IF(MATCH(E325,T:T,0)&gt;0,"YES"),"NO")</f>
        <v>NO</v>
      </c>
      <c r="I325" t="s">
        <v>1155</v>
      </c>
      <c r="J325">
        <v>0</v>
      </c>
    </row>
    <row r="326" spans="4:10" x14ac:dyDescent="0.25">
      <c r="D326" s="4" t="e">
        <f t="shared" si="37"/>
        <v>#N/A</v>
      </c>
      <c r="E326" t="str">
        <f t="shared" si="38"/>
        <v>AntennaRedundantHipNetWidthDeduct1</v>
      </c>
      <c r="F326" s="4" t="str">
        <f t="shared" si="39"/>
        <v>NO</v>
      </c>
      <c r="G326" s="4" t="str">
        <f t="shared" si="40"/>
        <v>NO</v>
      </c>
      <c r="H326" s="4" t="str">
        <f t="shared" si="41"/>
        <v>NO</v>
      </c>
      <c r="I326" t="s">
        <v>1156</v>
      </c>
      <c r="J326">
        <v>1</v>
      </c>
    </row>
    <row r="327" spans="4:10" x14ac:dyDescent="0.25">
      <c r="D327" s="4" t="e">
        <f t="shared" si="37"/>
        <v>#N/A</v>
      </c>
      <c r="E327" t="str">
        <f t="shared" si="38"/>
        <v>AntennaRedundantHipUFactor1</v>
      </c>
      <c r="F327" s="4" t="str">
        <f t="shared" si="39"/>
        <v>NO</v>
      </c>
      <c r="G327" s="4" t="str">
        <f t="shared" si="40"/>
        <v>NO</v>
      </c>
      <c r="H327" s="4" t="str">
        <f t="shared" si="41"/>
        <v>NO</v>
      </c>
      <c r="I327" t="s">
        <v>1157</v>
      </c>
      <c r="J327" t="s">
        <v>551</v>
      </c>
    </row>
    <row r="328" spans="4:10" x14ac:dyDescent="0.25">
      <c r="D328" s="4" t="e">
        <f t="shared" si="37"/>
        <v>#N/A</v>
      </c>
      <c r="E328" t="str">
        <f t="shared" si="38"/>
        <v>AntennaRedundantHipBoltGrade2</v>
      </c>
      <c r="F328" s="4" t="str">
        <f t="shared" si="39"/>
        <v>NO</v>
      </c>
      <c r="G328" s="4" t="str">
        <f t="shared" si="40"/>
        <v>NO</v>
      </c>
      <c r="H328" s="4" t="str">
        <f t="shared" si="41"/>
        <v>NO</v>
      </c>
      <c r="I328" t="s">
        <v>1158</v>
      </c>
      <c r="J328">
        <v>0.625</v>
      </c>
    </row>
    <row r="329" spans="4:10" x14ac:dyDescent="0.25">
      <c r="D329" s="4" t="e">
        <f t="shared" si="37"/>
        <v>#N/A</v>
      </c>
      <c r="E329" t="str">
        <f t="shared" si="38"/>
        <v>AntennaRedundantHipBoltSize2</v>
      </c>
      <c r="F329" s="4" t="str">
        <f t="shared" si="39"/>
        <v>NO</v>
      </c>
      <c r="G329" s="4" t="str">
        <f t="shared" si="40"/>
        <v>NO</v>
      </c>
      <c r="H329" s="4" t="str">
        <f t="shared" si="41"/>
        <v>NO</v>
      </c>
      <c r="I329" t="s">
        <v>1159</v>
      </c>
      <c r="J329">
        <v>0</v>
      </c>
    </row>
    <row r="330" spans="4:10" x14ac:dyDescent="0.25">
      <c r="D330" s="4" t="e">
        <f t="shared" si="37"/>
        <v>#N/A</v>
      </c>
      <c r="E330" t="str">
        <f t="shared" si="38"/>
        <v>AntennaRedundantHipNumBolts2</v>
      </c>
      <c r="F330" s="4" t="str">
        <f t="shared" si="39"/>
        <v>NO</v>
      </c>
      <c r="G330" s="4" t="str">
        <f t="shared" si="40"/>
        <v>NO</v>
      </c>
      <c r="H330" s="4" t="str">
        <f t="shared" si="41"/>
        <v>NO</v>
      </c>
      <c r="I330" t="s">
        <v>1160</v>
      </c>
      <c r="J330">
        <v>0</v>
      </c>
    </row>
    <row r="331" spans="4:10" x14ac:dyDescent="0.25">
      <c r="D331" s="4" t="e">
        <f t="shared" si="37"/>
        <v>#N/A</v>
      </c>
      <c r="E331" t="str">
        <f t="shared" si="38"/>
        <v>AntennaRedundantHipBoltEdgeDistance2</v>
      </c>
      <c r="F331" s="4" t="str">
        <f t="shared" si="39"/>
        <v>NO</v>
      </c>
      <c r="G331" s="4" t="str">
        <f t="shared" si="40"/>
        <v>NO</v>
      </c>
      <c r="H331" s="4" t="str">
        <f t="shared" si="41"/>
        <v>NO</v>
      </c>
      <c r="I331" t="s">
        <v>1161</v>
      </c>
      <c r="J331">
        <v>0</v>
      </c>
    </row>
    <row r="332" spans="4:10" x14ac:dyDescent="0.25">
      <c r="D332" s="4" t="e">
        <f t="shared" si="37"/>
        <v>#N/A</v>
      </c>
      <c r="E332" t="str">
        <f t="shared" si="38"/>
        <v>AntennaRedundantHipGageG1Distance2</v>
      </c>
      <c r="F332" s="4" t="str">
        <f t="shared" si="39"/>
        <v>NO</v>
      </c>
      <c r="G332" s="4" t="str">
        <f t="shared" si="40"/>
        <v>NO</v>
      </c>
      <c r="H332" s="4" t="str">
        <f t="shared" si="41"/>
        <v>NO</v>
      </c>
      <c r="I332" t="s">
        <v>1162</v>
      </c>
      <c r="J332">
        <v>0</v>
      </c>
    </row>
    <row r="333" spans="4:10" x14ac:dyDescent="0.25">
      <c r="D333" s="4" t="e">
        <f t="shared" si="37"/>
        <v>#N/A</v>
      </c>
      <c r="E333" t="str">
        <f t="shared" si="38"/>
        <v>AntennaRedundantHipNetWidthDeduct2</v>
      </c>
      <c r="F333" s="4" t="str">
        <f t="shared" si="39"/>
        <v>NO</v>
      </c>
      <c r="G333" s="4" t="str">
        <f t="shared" si="40"/>
        <v>NO</v>
      </c>
      <c r="H333" s="4" t="str">
        <f t="shared" si="41"/>
        <v>NO</v>
      </c>
      <c r="I333" t="s">
        <v>1163</v>
      </c>
      <c r="J333">
        <v>0.75</v>
      </c>
    </row>
    <row r="334" spans="4:10" x14ac:dyDescent="0.25">
      <c r="D334" s="4" t="e">
        <f t="shared" si="37"/>
        <v>#N/A</v>
      </c>
      <c r="E334" t="str">
        <f t="shared" si="38"/>
        <v>AntennaRedundantHipUFactor2</v>
      </c>
      <c r="F334" s="4" t="str">
        <f t="shared" si="39"/>
        <v>NO</v>
      </c>
      <c r="G334" s="4" t="str">
        <f t="shared" si="40"/>
        <v>NO</v>
      </c>
      <c r="H334" s="4" t="str">
        <f t="shared" si="41"/>
        <v>NO</v>
      </c>
      <c r="I334" t="s">
        <v>1164</v>
      </c>
      <c r="J334" t="s">
        <v>551</v>
      </c>
    </row>
    <row r="335" spans="4:10" x14ac:dyDescent="0.25">
      <c r="D335" s="4" t="e">
        <f t="shared" si="37"/>
        <v>#N/A</v>
      </c>
      <c r="E335" t="str">
        <f t="shared" si="38"/>
        <v>AntennaRedundantHipBoltGrade3</v>
      </c>
      <c r="F335" s="4" t="str">
        <f t="shared" si="39"/>
        <v>NO</v>
      </c>
      <c r="G335" s="4" t="str">
        <f t="shared" si="40"/>
        <v>NO</v>
      </c>
      <c r="H335" s="4" t="str">
        <f t="shared" si="41"/>
        <v>NO</v>
      </c>
      <c r="I335" t="s">
        <v>1165</v>
      </c>
      <c r="J335">
        <v>0.625</v>
      </c>
    </row>
    <row r="336" spans="4:10" x14ac:dyDescent="0.25">
      <c r="D336" s="4" t="e">
        <f t="shared" si="37"/>
        <v>#N/A</v>
      </c>
      <c r="E336" t="str">
        <f t="shared" si="38"/>
        <v>AntennaRedundantHipBoltSize3</v>
      </c>
      <c r="F336" s="4" t="str">
        <f t="shared" si="39"/>
        <v>NO</v>
      </c>
      <c r="G336" s="4" t="str">
        <f t="shared" si="40"/>
        <v>NO</v>
      </c>
      <c r="H336" s="4" t="str">
        <f t="shared" si="41"/>
        <v>NO</v>
      </c>
      <c r="I336" t="s">
        <v>1166</v>
      </c>
      <c r="J336">
        <v>0</v>
      </c>
    </row>
    <row r="337" spans="4:10" x14ac:dyDescent="0.25">
      <c r="D337" s="4" t="e">
        <f t="shared" si="37"/>
        <v>#N/A</v>
      </c>
      <c r="E337" t="str">
        <f t="shared" si="38"/>
        <v>AntennaRedundantHipNumBolts3</v>
      </c>
      <c r="F337" s="4" t="str">
        <f t="shared" si="39"/>
        <v>NO</v>
      </c>
      <c r="G337" s="4" t="str">
        <f t="shared" si="40"/>
        <v>NO</v>
      </c>
      <c r="H337" s="4" t="str">
        <f t="shared" si="41"/>
        <v>NO</v>
      </c>
      <c r="I337" t="s">
        <v>1167</v>
      </c>
      <c r="J337">
        <v>0</v>
      </c>
    </row>
    <row r="338" spans="4:10" x14ac:dyDescent="0.25">
      <c r="D338" s="4" t="e">
        <f t="shared" si="37"/>
        <v>#N/A</v>
      </c>
      <c r="E338" t="str">
        <f t="shared" si="38"/>
        <v>AntennaRedundantHipBoltEdgeDistance3</v>
      </c>
      <c r="F338" s="4" t="str">
        <f t="shared" si="39"/>
        <v>NO</v>
      </c>
      <c r="G338" s="4" t="str">
        <f t="shared" si="40"/>
        <v>NO</v>
      </c>
      <c r="H338" s="4" t="str">
        <f t="shared" si="41"/>
        <v>NO</v>
      </c>
      <c r="I338" t="s">
        <v>1168</v>
      </c>
      <c r="J338">
        <v>0</v>
      </c>
    </row>
    <row r="339" spans="4:10" x14ac:dyDescent="0.25">
      <c r="D339" s="4" t="e">
        <f t="shared" si="37"/>
        <v>#N/A</v>
      </c>
      <c r="E339" t="str">
        <f t="shared" si="38"/>
        <v>AntennaRedundantHipGageG1Distance3</v>
      </c>
      <c r="F339" s="4" t="str">
        <f t="shared" si="39"/>
        <v>NO</v>
      </c>
      <c r="G339" s="4" t="str">
        <f t="shared" si="40"/>
        <v>NO</v>
      </c>
      <c r="H339" s="4" t="str">
        <f t="shared" si="41"/>
        <v>NO</v>
      </c>
      <c r="I339" t="s">
        <v>1169</v>
      </c>
      <c r="J339">
        <v>0</v>
      </c>
    </row>
    <row r="340" spans="4:10" x14ac:dyDescent="0.25">
      <c r="D340" s="4" t="e">
        <f t="shared" si="37"/>
        <v>#N/A</v>
      </c>
      <c r="E340" t="str">
        <f t="shared" si="38"/>
        <v>AntennaRedundantHipNetWidthDeduct3</v>
      </c>
      <c r="F340" s="4" t="str">
        <f t="shared" si="39"/>
        <v>NO</v>
      </c>
      <c r="G340" s="4" t="str">
        <f t="shared" si="40"/>
        <v>NO</v>
      </c>
      <c r="H340" s="4" t="str">
        <f t="shared" si="41"/>
        <v>NO</v>
      </c>
      <c r="I340" t="s">
        <v>1170</v>
      </c>
      <c r="J340">
        <v>0.75</v>
      </c>
    </row>
    <row r="341" spans="4:10" x14ac:dyDescent="0.25">
      <c r="D341" s="4" t="e">
        <f t="shared" si="37"/>
        <v>#N/A</v>
      </c>
      <c r="E341" t="str">
        <f t="shared" si="38"/>
        <v>AntennaRedundantHipUFactor3</v>
      </c>
      <c r="F341" s="4" t="str">
        <f t="shared" si="39"/>
        <v>NO</v>
      </c>
      <c r="G341" s="4" t="str">
        <f t="shared" si="40"/>
        <v>NO</v>
      </c>
      <c r="H341" s="4" t="str">
        <f t="shared" si="41"/>
        <v>NO</v>
      </c>
      <c r="I341" t="s">
        <v>1171</v>
      </c>
      <c r="J341" t="s">
        <v>551</v>
      </c>
    </row>
    <row r="342" spans="4:10" x14ac:dyDescent="0.25">
      <c r="D342" s="4" t="e">
        <f t="shared" si="37"/>
        <v>#N/A</v>
      </c>
      <c r="E342" t="str">
        <f t="shared" si="38"/>
        <v>AntennaRedundantHipBoltGrade4</v>
      </c>
      <c r="F342" s="4" t="str">
        <f t="shared" si="39"/>
        <v>NO</v>
      </c>
      <c r="G342" s="4" t="str">
        <f t="shared" si="40"/>
        <v>NO</v>
      </c>
      <c r="H342" s="4" t="str">
        <f t="shared" si="41"/>
        <v>NO</v>
      </c>
      <c r="I342" t="s">
        <v>1172</v>
      </c>
      <c r="J342">
        <v>0.625</v>
      </c>
    </row>
    <row r="343" spans="4:10" x14ac:dyDescent="0.25">
      <c r="D343" s="4" t="e">
        <f t="shared" si="37"/>
        <v>#N/A</v>
      </c>
      <c r="E343" t="str">
        <f t="shared" si="38"/>
        <v>AntennaRedundantHipBoltSize4</v>
      </c>
      <c r="F343" s="4" t="str">
        <f t="shared" si="39"/>
        <v>NO</v>
      </c>
      <c r="G343" s="4" t="str">
        <f t="shared" si="40"/>
        <v>NO</v>
      </c>
      <c r="H343" s="4" t="str">
        <f t="shared" si="41"/>
        <v>NO</v>
      </c>
      <c r="I343" t="s">
        <v>1173</v>
      </c>
      <c r="J343">
        <v>0</v>
      </c>
    </row>
    <row r="344" spans="4:10" x14ac:dyDescent="0.25">
      <c r="D344" s="4" t="e">
        <f t="shared" si="37"/>
        <v>#N/A</v>
      </c>
      <c r="E344" t="str">
        <f t="shared" si="38"/>
        <v>AntennaRedundantHipNumBolts4</v>
      </c>
      <c r="F344" s="4" t="str">
        <f t="shared" si="39"/>
        <v>NO</v>
      </c>
      <c r="G344" s="4" t="str">
        <f t="shared" si="40"/>
        <v>NO</v>
      </c>
      <c r="H344" s="4" t="str">
        <f t="shared" si="41"/>
        <v>NO</v>
      </c>
      <c r="I344" t="s">
        <v>1174</v>
      </c>
      <c r="J344">
        <v>0</v>
      </c>
    </row>
    <row r="345" spans="4:10" x14ac:dyDescent="0.25">
      <c r="D345" s="4" t="e">
        <f t="shared" si="37"/>
        <v>#N/A</v>
      </c>
      <c r="E345" t="str">
        <f t="shared" si="38"/>
        <v>AntennaRedundantHipBoltEdgeDistance4</v>
      </c>
      <c r="F345" s="4" t="str">
        <f t="shared" si="39"/>
        <v>NO</v>
      </c>
      <c r="G345" s="4" t="str">
        <f t="shared" si="40"/>
        <v>NO</v>
      </c>
      <c r="H345" s="4" t="str">
        <f t="shared" si="41"/>
        <v>NO</v>
      </c>
      <c r="I345" t="s">
        <v>1175</v>
      </c>
      <c r="J345">
        <v>0</v>
      </c>
    </row>
    <row r="346" spans="4:10" x14ac:dyDescent="0.25">
      <c r="D346" s="4" t="e">
        <f t="shared" si="37"/>
        <v>#N/A</v>
      </c>
      <c r="E346" t="str">
        <f t="shared" si="38"/>
        <v>AntennaRedundantHipGageG1Distance4</v>
      </c>
      <c r="F346" s="4" t="str">
        <f t="shared" si="39"/>
        <v>NO</v>
      </c>
      <c r="G346" s="4" t="str">
        <f t="shared" si="40"/>
        <v>NO</v>
      </c>
      <c r="H346" s="4" t="str">
        <f t="shared" si="41"/>
        <v>NO</v>
      </c>
      <c r="I346" t="s">
        <v>1176</v>
      </c>
      <c r="J346">
        <v>0</v>
      </c>
    </row>
    <row r="347" spans="4:10" x14ac:dyDescent="0.25">
      <c r="D347" s="4" t="e">
        <f t="shared" si="37"/>
        <v>#N/A</v>
      </c>
      <c r="E347" t="str">
        <f t="shared" si="38"/>
        <v>AntennaRedundantHipNetWidthDeduct4</v>
      </c>
      <c r="F347" s="4" t="str">
        <f t="shared" si="39"/>
        <v>NO</v>
      </c>
      <c r="G347" s="4" t="str">
        <f t="shared" si="40"/>
        <v>NO</v>
      </c>
      <c r="H347" s="4" t="str">
        <f t="shared" si="41"/>
        <v>NO</v>
      </c>
      <c r="I347" t="s">
        <v>1177</v>
      </c>
      <c r="J347">
        <v>0.75</v>
      </c>
    </row>
    <row r="348" spans="4:10" x14ac:dyDescent="0.25">
      <c r="D348" s="4" t="e">
        <f t="shared" si="37"/>
        <v>#N/A</v>
      </c>
      <c r="E348" t="str">
        <f t="shared" si="38"/>
        <v>AntennaRedundantHipUFactor4</v>
      </c>
      <c r="F348" s="4" t="str">
        <f t="shared" si="39"/>
        <v>NO</v>
      </c>
      <c r="G348" s="4" t="str">
        <f t="shared" si="40"/>
        <v>NO</v>
      </c>
      <c r="H348" s="4" t="str">
        <f t="shared" si="41"/>
        <v>NO</v>
      </c>
      <c r="I348" t="s">
        <v>1178</v>
      </c>
    </row>
    <row r="349" spans="4:10" x14ac:dyDescent="0.25">
      <c r="D349" s="4" t="e">
        <f t="shared" si="37"/>
        <v>#N/A</v>
      </c>
      <c r="E349" t="str">
        <f t="shared" si="38"/>
        <v>AntennaRedundantHipDiagonalBoltGrade1</v>
      </c>
      <c r="F349" s="4" t="str">
        <f t="shared" si="39"/>
        <v>NO</v>
      </c>
      <c r="G349" s="4" t="str">
        <f t="shared" si="40"/>
        <v>NO</v>
      </c>
      <c r="H349" s="4" t="str">
        <f t="shared" si="41"/>
        <v>NO</v>
      </c>
      <c r="I349" t="s">
        <v>1179</v>
      </c>
      <c r="J349">
        <v>0</v>
      </c>
    </row>
    <row r="350" spans="4:10" x14ac:dyDescent="0.25">
      <c r="D350" s="4" t="e">
        <f t="shared" si="37"/>
        <v>#N/A</v>
      </c>
      <c r="E350" t="str">
        <f t="shared" si="38"/>
        <v>AntennaRedundantHipDiagonalBoltSize1</v>
      </c>
      <c r="F350" s="4" t="str">
        <f t="shared" si="39"/>
        <v>NO</v>
      </c>
      <c r="G350" s="4" t="str">
        <f t="shared" si="40"/>
        <v>NO</v>
      </c>
      <c r="H350" s="4" t="str">
        <f t="shared" si="41"/>
        <v>NO</v>
      </c>
      <c r="I350" t="s">
        <v>1180</v>
      </c>
      <c r="J350">
        <v>0</v>
      </c>
    </row>
    <row r="351" spans="4:10" x14ac:dyDescent="0.25">
      <c r="D351" s="4" t="e">
        <f t="shared" si="37"/>
        <v>#N/A</v>
      </c>
      <c r="E351" t="str">
        <f t="shared" si="38"/>
        <v>AntennaRedundantHipDiagonalNumBolts1</v>
      </c>
      <c r="F351" s="4" t="str">
        <f t="shared" si="39"/>
        <v>NO</v>
      </c>
      <c r="G351" s="4" t="str">
        <f t="shared" si="40"/>
        <v>NO</v>
      </c>
      <c r="H351" s="4" t="str">
        <f t="shared" si="41"/>
        <v>NO</v>
      </c>
      <c r="I351" t="s">
        <v>1181</v>
      </c>
      <c r="J351">
        <v>0</v>
      </c>
    </row>
    <row r="352" spans="4:10" x14ac:dyDescent="0.25">
      <c r="D352" s="4" t="e">
        <f t="shared" si="37"/>
        <v>#N/A</v>
      </c>
      <c r="E352" t="str">
        <f t="shared" si="38"/>
        <v>AntennaRedundantHipDiagonalBoltEdgeDistance1</v>
      </c>
      <c r="F352" s="4" t="str">
        <f t="shared" si="39"/>
        <v>NO</v>
      </c>
      <c r="G352" s="4" t="str">
        <f t="shared" si="40"/>
        <v>NO</v>
      </c>
      <c r="H352" s="4" t="str">
        <f t="shared" si="41"/>
        <v>NO</v>
      </c>
      <c r="I352" t="s">
        <v>1182</v>
      </c>
      <c r="J352">
        <v>0</v>
      </c>
    </row>
    <row r="353" spans="4:10" x14ac:dyDescent="0.25">
      <c r="D353" s="4" t="e">
        <f t="shared" si="37"/>
        <v>#N/A</v>
      </c>
      <c r="E353" t="str">
        <f t="shared" si="38"/>
        <v>AntennaRedundantHipDiagonalGageG1Distance1</v>
      </c>
      <c r="F353" s="4" t="str">
        <f t="shared" si="39"/>
        <v>NO</v>
      </c>
      <c r="G353" s="4" t="str">
        <f t="shared" si="40"/>
        <v>NO</v>
      </c>
      <c r="H353" s="4" t="str">
        <f t="shared" si="41"/>
        <v>NO</v>
      </c>
      <c r="I353" t="s">
        <v>1183</v>
      </c>
      <c r="J353">
        <v>0</v>
      </c>
    </row>
    <row r="354" spans="4:10" x14ac:dyDescent="0.25">
      <c r="D354" s="4" t="e">
        <f t="shared" si="37"/>
        <v>#N/A</v>
      </c>
      <c r="E354" t="str">
        <f t="shared" si="38"/>
        <v>AntennaRedundantHipDiagonalNetWidthDeduct1</v>
      </c>
      <c r="F354" s="4" t="str">
        <f t="shared" si="39"/>
        <v>NO</v>
      </c>
      <c r="G354" s="4" t="str">
        <f t="shared" si="40"/>
        <v>NO</v>
      </c>
      <c r="H354" s="4" t="str">
        <f t="shared" si="41"/>
        <v>NO</v>
      </c>
      <c r="I354" t="s">
        <v>1184</v>
      </c>
      <c r="J354">
        <v>1</v>
      </c>
    </row>
    <row r="355" spans="4:10" x14ac:dyDescent="0.25">
      <c r="D355" s="4" t="e">
        <f t="shared" si="37"/>
        <v>#N/A</v>
      </c>
      <c r="E355" t="str">
        <f t="shared" si="38"/>
        <v>AntennaRedundantHipDiagonalUFactor1</v>
      </c>
      <c r="F355" s="4" t="str">
        <f t="shared" si="39"/>
        <v>NO</v>
      </c>
      <c r="G355" s="4" t="str">
        <f t="shared" si="40"/>
        <v>NO</v>
      </c>
      <c r="H355" s="4" t="str">
        <f t="shared" si="41"/>
        <v>NO</v>
      </c>
      <c r="I355" t="s">
        <v>1185</v>
      </c>
    </row>
    <row r="356" spans="4:10" x14ac:dyDescent="0.25">
      <c r="D356" s="4" t="e">
        <f t="shared" si="37"/>
        <v>#N/A</v>
      </c>
      <c r="E356" t="str">
        <f t="shared" si="38"/>
        <v>AntennaRedundantHipDiagonalBoltGrade2</v>
      </c>
      <c r="F356" s="4" t="str">
        <f t="shared" si="39"/>
        <v>NO</v>
      </c>
      <c r="G356" s="4" t="str">
        <f t="shared" si="40"/>
        <v>NO</v>
      </c>
      <c r="H356" s="4" t="str">
        <f t="shared" si="41"/>
        <v>NO</v>
      </c>
      <c r="I356" t="s">
        <v>1186</v>
      </c>
      <c r="J356">
        <v>0</v>
      </c>
    </row>
    <row r="357" spans="4:10" x14ac:dyDescent="0.25">
      <c r="D357" s="4" t="e">
        <f t="shared" si="37"/>
        <v>#N/A</v>
      </c>
      <c r="E357" t="str">
        <f t="shared" si="38"/>
        <v>AntennaRedundantHipDiagonalBoltSize2</v>
      </c>
      <c r="F357" s="4" t="str">
        <f t="shared" si="39"/>
        <v>NO</v>
      </c>
      <c r="G357" s="4" t="str">
        <f t="shared" si="40"/>
        <v>NO</v>
      </c>
      <c r="H357" s="4" t="str">
        <f t="shared" si="41"/>
        <v>NO</v>
      </c>
      <c r="I357" t="s">
        <v>1187</v>
      </c>
      <c r="J357">
        <v>0</v>
      </c>
    </row>
    <row r="358" spans="4:10" x14ac:dyDescent="0.25">
      <c r="D358" s="4" t="e">
        <f t="shared" si="37"/>
        <v>#N/A</v>
      </c>
      <c r="E358" t="str">
        <f t="shared" si="38"/>
        <v>AntennaRedundantHipDiagonalNumBolts2</v>
      </c>
      <c r="F358" s="4" t="str">
        <f t="shared" si="39"/>
        <v>NO</v>
      </c>
      <c r="G358" s="4" t="str">
        <f t="shared" si="40"/>
        <v>NO</v>
      </c>
      <c r="H358" s="4" t="str">
        <f t="shared" si="41"/>
        <v>NO</v>
      </c>
      <c r="I358" t="s">
        <v>1188</v>
      </c>
      <c r="J358">
        <v>0</v>
      </c>
    </row>
    <row r="359" spans="4:10" x14ac:dyDescent="0.25">
      <c r="D359" s="4" t="e">
        <f t="shared" si="37"/>
        <v>#N/A</v>
      </c>
      <c r="E359" t="str">
        <f t="shared" si="38"/>
        <v>AntennaRedundantHipDiagonalBoltEdgeDistance2</v>
      </c>
      <c r="F359" s="4" t="str">
        <f t="shared" si="39"/>
        <v>NO</v>
      </c>
      <c r="G359" s="4" t="str">
        <f t="shared" si="40"/>
        <v>NO</v>
      </c>
      <c r="H359" s="4" t="str">
        <f t="shared" si="41"/>
        <v>NO</v>
      </c>
      <c r="I359" t="s">
        <v>1189</v>
      </c>
      <c r="J359">
        <v>0</v>
      </c>
    </row>
    <row r="360" spans="4:10" x14ac:dyDescent="0.25">
      <c r="D360" s="4" t="e">
        <f t="shared" si="37"/>
        <v>#N/A</v>
      </c>
      <c r="E360" t="str">
        <f t="shared" si="38"/>
        <v>AntennaRedundantHipDiagonalGageG1Distance2</v>
      </c>
      <c r="F360" s="4" t="str">
        <f t="shared" si="39"/>
        <v>NO</v>
      </c>
      <c r="G360" s="4" t="str">
        <f t="shared" si="40"/>
        <v>NO</v>
      </c>
      <c r="H360" s="4" t="str">
        <f t="shared" si="41"/>
        <v>NO</v>
      </c>
      <c r="I360" t="s">
        <v>1190</v>
      </c>
      <c r="J360">
        <v>0</v>
      </c>
    </row>
    <row r="361" spans="4:10" x14ac:dyDescent="0.25">
      <c r="D361" s="4" t="e">
        <f t="shared" si="37"/>
        <v>#N/A</v>
      </c>
      <c r="E361" t="str">
        <f t="shared" si="38"/>
        <v>AntennaRedundantHipDiagonalNetWidthDeduct2</v>
      </c>
      <c r="F361" s="4" t="str">
        <f t="shared" si="39"/>
        <v>NO</v>
      </c>
      <c r="G361" s="4" t="str">
        <f t="shared" si="40"/>
        <v>NO</v>
      </c>
      <c r="H361" s="4" t="str">
        <f t="shared" si="41"/>
        <v>NO</v>
      </c>
      <c r="I361" t="s">
        <v>1191</v>
      </c>
      <c r="J361">
        <v>1</v>
      </c>
    </row>
    <row r="362" spans="4:10" x14ac:dyDescent="0.25">
      <c r="D362" s="4" t="e">
        <f t="shared" si="37"/>
        <v>#N/A</v>
      </c>
      <c r="E362" t="str">
        <f t="shared" si="38"/>
        <v>AntennaRedundantHipDiagonalUFactor2</v>
      </c>
      <c r="F362" s="4" t="str">
        <f t="shared" si="39"/>
        <v>NO</v>
      </c>
      <c r="G362" s="4" t="str">
        <f t="shared" si="40"/>
        <v>NO</v>
      </c>
      <c r="H362" s="4" t="str">
        <f t="shared" si="41"/>
        <v>NO</v>
      </c>
      <c r="I362" t="s">
        <v>1192</v>
      </c>
    </row>
    <row r="363" spans="4:10" x14ac:dyDescent="0.25">
      <c r="D363" s="4" t="e">
        <f t="shared" si="37"/>
        <v>#N/A</v>
      </c>
      <c r="E363" t="str">
        <f t="shared" si="38"/>
        <v>AntennaRedundantHipDiagonalBoltGrade3</v>
      </c>
      <c r="F363" s="4" t="str">
        <f t="shared" si="39"/>
        <v>NO</v>
      </c>
      <c r="G363" s="4" t="str">
        <f t="shared" si="40"/>
        <v>NO</v>
      </c>
      <c r="H363" s="4" t="str">
        <f t="shared" si="41"/>
        <v>NO</v>
      </c>
      <c r="I363" t="s">
        <v>1193</v>
      </c>
      <c r="J363">
        <v>0</v>
      </c>
    </row>
    <row r="364" spans="4:10" x14ac:dyDescent="0.25">
      <c r="D364" s="4" t="e">
        <f t="shared" si="37"/>
        <v>#N/A</v>
      </c>
      <c r="E364" t="str">
        <f t="shared" si="38"/>
        <v>AntennaRedundantHipDiagonalBoltSize3</v>
      </c>
      <c r="F364" s="4" t="str">
        <f t="shared" si="39"/>
        <v>NO</v>
      </c>
      <c r="G364" s="4" t="str">
        <f t="shared" si="40"/>
        <v>NO</v>
      </c>
      <c r="H364" s="4" t="str">
        <f t="shared" si="41"/>
        <v>NO</v>
      </c>
      <c r="I364" t="s">
        <v>1194</v>
      </c>
      <c r="J364">
        <v>0</v>
      </c>
    </row>
    <row r="365" spans="4:10" x14ac:dyDescent="0.25">
      <c r="D365" s="4" t="e">
        <f t="shared" si="37"/>
        <v>#N/A</v>
      </c>
      <c r="E365" t="str">
        <f t="shared" si="38"/>
        <v>AntennaRedundantHipDiagonalNumBolts3</v>
      </c>
      <c r="F365" s="4" t="str">
        <f t="shared" si="39"/>
        <v>NO</v>
      </c>
      <c r="G365" s="4" t="str">
        <f t="shared" si="40"/>
        <v>NO</v>
      </c>
      <c r="H365" s="4" t="str">
        <f t="shared" si="41"/>
        <v>NO</v>
      </c>
      <c r="I365" t="s">
        <v>1195</v>
      </c>
      <c r="J365">
        <v>0</v>
      </c>
    </row>
    <row r="366" spans="4:10" x14ac:dyDescent="0.25">
      <c r="D366" s="4" t="e">
        <f t="shared" si="37"/>
        <v>#N/A</v>
      </c>
      <c r="E366" t="str">
        <f t="shared" si="38"/>
        <v>AntennaRedundantHipDiagonalBoltEdgeDistance3</v>
      </c>
      <c r="F366" s="4" t="str">
        <f t="shared" si="39"/>
        <v>NO</v>
      </c>
      <c r="G366" s="4" t="str">
        <f t="shared" si="40"/>
        <v>NO</v>
      </c>
      <c r="H366" s="4" t="str">
        <f t="shared" si="41"/>
        <v>NO</v>
      </c>
      <c r="I366" t="s">
        <v>1196</v>
      </c>
      <c r="J366">
        <v>0</v>
      </c>
    </row>
    <row r="367" spans="4:10" x14ac:dyDescent="0.25">
      <c r="D367" s="4" t="e">
        <f t="shared" si="37"/>
        <v>#N/A</v>
      </c>
      <c r="E367" t="str">
        <f t="shared" si="38"/>
        <v>AntennaRedundantHipDiagonalGageG1Distance3</v>
      </c>
      <c r="F367" s="4" t="str">
        <f t="shared" si="39"/>
        <v>NO</v>
      </c>
      <c r="G367" s="4" t="str">
        <f t="shared" si="40"/>
        <v>NO</v>
      </c>
      <c r="H367" s="4" t="str">
        <f t="shared" si="41"/>
        <v>NO</v>
      </c>
      <c r="I367" t="s">
        <v>1197</v>
      </c>
      <c r="J367">
        <v>0</v>
      </c>
    </row>
    <row r="368" spans="4:10" x14ac:dyDescent="0.25">
      <c r="D368" s="4" t="e">
        <f t="shared" si="37"/>
        <v>#N/A</v>
      </c>
      <c r="E368" t="str">
        <f t="shared" si="38"/>
        <v>AntennaRedundantHipDiagonalNetWidthDeduct3</v>
      </c>
      <c r="F368" s="4" t="str">
        <f t="shared" si="39"/>
        <v>NO</v>
      </c>
      <c r="G368" s="4" t="str">
        <f t="shared" si="40"/>
        <v>NO</v>
      </c>
      <c r="H368" s="4" t="str">
        <f t="shared" si="41"/>
        <v>NO</v>
      </c>
      <c r="I368" t="s">
        <v>1198</v>
      </c>
      <c r="J368">
        <v>1</v>
      </c>
    </row>
    <row r="369" spans="4:10" x14ac:dyDescent="0.25">
      <c r="D369" s="4" t="e">
        <f t="shared" si="37"/>
        <v>#N/A</v>
      </c>
      <c r="E369" t="str">
        <f t="shared" si="38"/>
        <v>AntennaRedundantHipDiagonalUFactor3</v>
      </c>
      <c r="F369" s="4" t="str">
        <f t="shared" si="39"/>
        <v>NO</v>
      </c>
      <c r="G369" s="4" t="str">
        <f t="shared" si="40"/>
        <v>NO</v>
      </c>
      <c r="H369" s="4" t="str">
        <f t="shared" si="41"/>
        <v>NO</v>
      </c>
      <c r="I369" t="s">
        <v>1199</v>
      </c>
    </row>
    <row r="370" spans="4:10" x14ac:dyDescent="0.25">
      <c r="D370" s="4" t="e">
        <f t="shared" si="37"/>
        <v>#N/A</v>
      </c>
      <c r="E370" t="str">
        <f t="shared" si="38"/>
        <v>AntennaRedundantHipDiagonalBoltGrade4</v>
      </c>
      <c r="F370" s="4" t="str">
        <f t="shared" si="39"/>
        <v>NO</v>
      </c>
      <c r="G370" s="4" t="str">
        <f t="shared" si="40"/>
        <v>NO</v>
      </c>
      <c r="H370" s="4" t="str">
        <f t="shared" si="41"/>
        <v>NO</v>
      </c>
      <c r="I370" t="s">
        <v>1200</v>
      </c>
      <c r="J370">
        <v>0</v>
      </c>
    </row>
    <row r="371" spans="4:10" x14ac:dyDescent="0.25">
      <c r="D371" s="4" t="e">
        <f t="shared" si="37"/>
        <v>#N/A</v>
      </c>
      <c r="E371" t="str">
        <f t="shared" si="38"/>
        <v>AntennaRedundantHipDiagonalBoltSize4</v>
      </c>
      <c r="F371" s="4" t="str">
        <f t="shared" si="39"/>
        <v>NO</v>
      </c>
      <c r="G371" s="4" t="str">
        <f t="shared" si="40"/>
        <v>NO</v>
      </c>
      <c r="H371" s="4" t="str">
        <f t="shared" si="41"/>
        <v>NO</v>
      </c>
      <c r="I371" t="s">
        <v>1201</v>
      </c>
      <c r="J371">
        <v>0</v>
      </c>
    </row>
    <row r="372" spans="4:10" x14ac:dyDescent="0.25">
      <c r="D372" s="4" t="e">
        <f t="shared" si="37"/>
        <v>#N/A</v>
      </c>
      <c r="E372" t="str">
        <f t="shared" si="38"/>
        <v>AntennaRedundantHipDiagonalNumBolts4</v>
      </c>
      <c r="F372" s="4" t="str">
        <f t="shared" si="39"/>
        <v>NO</v>
      </c>
      <c r="G372" s="4" t="str">
        <f t="shared" si="40"/>
        <v>NO</v>
      </c>
      <c r="H372" s="4" t="str">
        <f t="shared" si="41"/>
        <v>NO</v>
      </c>
      <c r="I372" t="s">
        <v>1202</v>
      </c>
      <c r="J372">
        <v>0</v>
      </c>
    </row>
    <row r="373" spans="4:10" x14ac:dyDescent="0.25">
      <c r="D373" s="4" t="e">
        <f t="shared" si="37"/>
        <v>#N/A</v>
      </c>
      <c r="E373" t="str">
        <f t="shared" si="38"/>
        <v>AntennaRedundantHipDiagonalBoltEdgeDistance4</v>
      </c>
      <c r="F373" s="4" t="str">
        <f t="shared" si="39"/>
        <v>NO</v>
      </c>
      <c r="G373" s="4" t="str">
        <f t="shared" si="40"/>
        <v>NO</v>
      </c>
      <c r="H373" s="4" t="str">
        <f t="shared" si="41"/>
        <v>NO</v>
      </c>
      <c r="I373" t="s">
        <v>1203</v>
      </c>
      <c r="J373">
        <v>0</v>
      </c>
    </row>
    <row r="374" spans="4:10" x14ac:dyDescent="0.25">
      <c r="D374" s="4" t="e">
        <f t="shared" si="37"/>
        <v>#N/A</v>
      </c>
      <c r="E374" t="str">
        <f t="shared" si="38"/>
        <v>AntennaRedundantHipDiagonalGageG1Distance4</v>
      </c>
      <c r="F374" s="4" t="str">
        <f t="shared" si="39"/>
        <v>NO</v>
      </c>
      <c r="G374" s="4" t="str">
        <f t="shared" si="40"/>
        <v>NO</v>
      </c>
      <c r="H374" s="4" t="str">
        <f t="shared" si="41"/>
        <v>NO</v>
      </c>
      <c r="I374" t="s">
        <v>1204</v>
      </c>
      <c r="J374">
        <v>0</v>
      </c>
    </row>
    <row r="375" spans="4:10" x14ac:dyDescent="0.25">
      <c r="D375" s="4" t="e">
        <f t="shared" si="37"/>
        <v>#N/A</v>
      </c>
      <c r="E375" t="str">
        <f t="shared" si="38"/>
        <v>AntennaRedundantHipDiagonalNetWidthDeduct4</v>
      </c>
      <c r="F375" s="4" t="str">
        <f t="shared" si="39"/>
        <v>NO</v>
      </c>
      <c r="G375" s="4" t="str">
        <f t="shared" si="40"/>
        <v>NO</v>
      </c>
      <c r="H375" s="4" t="str">
        <f t="shared" si="41"/>
        <v>NO</v>
      </c>
      <c r="I375" t="s">
        <v>1205</v>
      </c>
      <c r="J375">
        <v>1</v>
      </c>
    </row>
    <row r="376" spans="4:10" x14ac:dyDescent="0.25">
      <c r="D376" s="4" t="e">
        <f t="shared" si="37"/>
        <v>#N/A</v>
      </c>
      <c r="E376" t="str">
        <f t="shared" si="38"/>
        <v>AntennaRedundantHipDiagonalUFactor4</v>
      </c>
      <c r="F376" s="4" t="str">
        <f t="shared" si="39"/>
        <v>NO</v>
      </c>
      <c r="G376" s="4" t="str">
        <f t="shared" si="40"/>
        <v>NO</v>
      </c>
      <c r="H376" s="4" t="str">
        <f t="shared" si="41"/>
        <v>NO</v>
      </c>
      <c r="I376" t="s">
        <v>1206</v>
      </c>
    </row>
    <row r="377" spans="4:10" hidden="1" x14ac:dyDescent="0.25">
      <c r="D377" s="4" t="e">
        <f t="shared" si="37"/>
        <v>#N/A</v>
      </c>
      <c r="E377" t="str">
        <f t="shared" si="38"/>
        <v>AntennaDiagonalOutOfPlaneRestraint</v>
      </c>
      <c r="F377" s="4" t="str">
        <f t="shared" si="39"/>
        <v>YES</v>
      </c>
      <c r="G377" s="4" t="str">
        <f t="shared" si="40"/>
        <v>YES</v>
      </c>
      <c r="H377" s="4" t="str">
        <f t="shared" si="41"/>
        <v>NO</v>
      </c>
      <c r="I377" t="s">
        <v>1020</v>
      </c>
      <c r="J377">
        <v>0</v>
      </c>
    </row>
    <row r="378" spans="4:10" hidden="1" x14ac:dyDescent="0.25">
      <c r="D378" s="4" t="e">
        <f t="shared" si="37"/>
        <v>#N/A</v>
      </c>
      <c r="E378" t="str">
        <f t="shared" si="38"/>
        <v>AntennaTopGirtOutOfPlaneRestraint</v>
      </c>
      <c r="F378" s="4" t="str">
        <f t="shared" si="39"/>
        <v>YES</v>
      </c>
      <c r="G378" s="4" t="str">
        <f t="shared" si="40"/>
        <v>YES</v>
      </c>
      <c r="H378" s="4" t="str">
        <f t="shared" si="41"/>
        <v>NO</v>
      </c>
      <c r="I378" t="s">
        <v>1021</v>
      </c>
      <c r="J378">
        <v>0</v>
      </c>
    </row>
    <row r="379" spans="4:10" hidden="1" x14ac:dyDescent="0.25">
      <c r="D379" s="4" t="e">
        <f t="shared" si="37"/>
        <v>#N/A</v>
      </c>
      <c r="E379" t="str">
        <f t="shared" si="38"/>
        <v>AntennaBottomGirtOutOfPlaneRestraint</v>
      </c>
      <c r="F379" s="4" t="str">
        <f t="shared" si="39"/>
        <v>YES</v>
      </c>
      <c r="G379" s="4" t="str">
        <f t="shared" si="40"/>
        <v>YES</v>
      </c>
      <c r="H379" s="4" t="str">
        <f t="shared" si="41"/>
        <v>NO</v>
      </c>
      <c r="I379" t="s">
        <v>1022</v>
      </c>
      <c r="J379">
        <v>0</v>
      </c>
    </row>
    <row r="380" spans="4:10" hidden="1" x14ac:dyDescent="0.25">
      <c r="D380" s="4" t="e">
        <f t="shared" si="37"/>
        <v>#N/A</v>
      </c>
      <c r="E380" t="str">
        <f t="shared" si="38"/>
        <v>AntennaMidGirtOutOfPlaneRestraint</v>
      </c>
      <c r="F380" s="4" t="str">
        <f t="shared" si="39"/>
        <v>YES</v>
      </c>
      <c r="G380" s="4" t="str">
        <f t="shared" si="40"/>
        <v>YES</v>
      </c>
      <c r="H380" s="4" t="str">
        <f t="shared" si="41"/>
        <v>NO</v>
      </c>
      <c r="I380" t="s">
        <v>1023</v>
      </c>
      <c r="J380">
        <v>0</v>
      </c>
    </row>
    <row r="381" spans="4:10" hidden="1" x14ac:dyDescent="0.25">
      <c r="D381" s="4" t="e">
        <f t="shared" si="37"/>
        <v>#N/A</v>
      </c>
      <c r="E381" t="str">
        <f t="shared" si="38"/>
        <v>AntennaHorizontalOutOfPlaneRestraint</v>
      </c>
      <c r="F381" s="4" t="str">
        <f t="shared" si="39"/>
        <v>YES</v>
      </c>
      <c r="G381" s="4" t="str">
        <f t="shared" si="40"/>
        <v>YES</v>
      </c>
      <c r="H381" s="4" t="str">
        <f t="shared" si="41"/>
        <v>NO</v>
      </c>
      <c r="I381" t="s">
        <v>1024</v>
      </c>
      <c r="J381">
        <v>0</v>
      </c>
    </row>
    <row r="382" spans="4:10" hidden="1" x14ac:dyDescent="0.25">
      <c r="D382" s="4" t="e">
        <f t="shared" si="37"/>
        <v>#N/A</v>
      </c>
      <c r="E382" t="str">
        <f t="shared" si="38"/>
        <v>AntennaSecondaryHorizontalOutOfPlaneRestraint</v>
      </c>
      <c r="F382" s="4" t="str">
        <f t="shared" si="39"/>
        <v>YES</v>
      </c>
      <c r="G382" s="4" t="str">
        <f t="shared" si="40"/>
        <v>YES</v>
      </c>
      <c r="H382" s="4" t="str">
        <f t="shared" si="41"/>
        <v>NO</v>
      </c>
      <c r="I382" t="s">
        <v>1025</v>
      </c>
      <c r="J382">
        <v>1</v>
      </c>
    </row>
    <row r="383" spans="4:10" hidden="1" x14ac:dyDescent="0.25">
      <c r="D383" s="4" t="e">
        <f t="shared" si="37"/>
        <v>#N/A</v>
      </c>
      <c r="E383" t="str">
        <f t="shared" si="38"/>
        <v>AntennaDiagOffsetNEY</v>
      </c>
      <c r="F383" s="4" t="str">
        <f t="shared" si="39"/>
        <v>YES</v>
      </c>
      <c r="G383" s="4" t="str">
        <f t="shared" si="40"/>
        <v>YES</v>
      </c>
      <c r="H383" s="4" t="str">
        <f t="shared" si="41"/>
        <v>YES</v>
      </c>
      <c r="I383" t="s">
        <v>961</v>
      </c>
    </row>
    <row r="384" spans="4:10" hidden="1" x14ac:dyDescent="0.25">
      <c r="D384" s="4" t="e">
        <f t="shared" si="37"/>
        <v>#N/A</v>
      </c>
      <c r="E384" t="str">
        <f t="shared" si="38"/>
        <v>AntennaDiagOffsetNEX</v>
      </c>
      <c r="F384" s="4" t="str">
        <f t="shared" si="39"/>
        <v>YES</v>
      </c>
      <c r="G384" s="4" t="str">
        <f t="shared" si="40"/>
        <v>YES</v>
      </c>
      <c r="H384" s="4" t="str">
        <f t="shared" si="41"/>
        <v>YES</v>
      </c>
      <c r="I384" t="s">
        <v>962</v>
      </c>
      <c r="J384">
        <v>0</v>
      </c>
    </row>
    <row r="385" spans="4:10" x14ac:dyDescent="0.25">
      <c r="D385" s="4" t="e">
        <f t="shared" si="37"/>
        <v>#N/A</v>
      </c>
      <c r="E385" t="str">
        <f t="shared" si="38"/>
        <v>AntennaDiagOffsetPEY</v>
      </c>
      <c r="F385" s="4" t="str">
        <f t="shared" si="39"/>
        <v>NO</v>
      </c>
      <c r="G385" s="4" t="str">
        <f t="shared" si="40"/>
        <v>NO</v>
      </c>
      <c r="H385" s="4" t="str">
        <f t="shared" si="41"/>
        <v>YES</v>
      </c>
      <c r="I385" t="s">
        <v>963</v>
      </c>
      <c r="J385">
        <v>0</v>
      </c>
    </row>
    <row r="386" spans="4:10" x14ac:dyDescent="0.25">
      <c r="D386" s="4" t="e">
        <f t="shared" si="37"/>
        <v>#N/A</v>
      </c>
      <c r="E386" t="str">
        <f t="shared" si="38"/>
        <v>AntennaDiagOffsetPEX</v>
      </c>
      <c r="F386" s="4" t="str">
        <f t="shared" si="39"/>
        <v>NO</v>
      </c>
      <c r="G386" s="4" t="str">
        <f t="shared" si="40"/>
        <v>NO</v>
      </c>
      <c r="H386" s="4" t="str">
        <f t="shared" si="41"/>
        <v>YES</v>
      </c>
      <c r="I386" t="s">
        <v>964</v>
      </c>
      <c r="J386">
        <v>0</v>
      </c>
    </row>
    <row r="387" spans="4:10" x14ac:dyDescent="0.25">
      <c r="D387" s="4" t="e">
        <f t="shared" si="37"/>
        <v>#N/A</v>
      </c>
      <c r="E387" t="str">
        <f t="shared" si="38"/>
        <v>AntennaKbraceOffsetNEY</v>
      </c>
      <c r="F387" s="4" t="str">
        <f t="shared" si="39"/>
        <v>NO</v>
      </c>
      <c r="G387" s="4" t="str">
        <f t="shared" si="40"/>
        <v>NO</v>
      </c>
      <c r="H387" s="4" t="str">
        <f t="shared" si="41"/>
        <v>YES</v>
      </c>
      <c r="I387" t="s">
        <v>965</v>
      </c>
      <c r="J387">
        <v>0</v>
      </c>
    </row>
    <row r="388" spans="4:10" x14ac:dyDescent="0.25">
      <c r="D388" s="4" t="e">
        <f t="shared" si="37"/>
        <v>#N/A</v>
      </c>
      <c r="E388" t="str">
        <f t="shared" si="38"/>
        <v>AntennaKbraceOffsetNEX</v>
      </c>
      <c r="F388" s="4" t="str">
        <f t="shared" si="39"/>
        <v>NO</v>
      </c>
      <c r="G388" s="4" t="str">
        <f t="shared" si="40"/>
        <v>NO</v>
      </c>
      <c r="H388" s="4" t="str">
        <f t="shared" si="41"/>
        <v>YES</v>
      </c>
      <c r="I388" t="s">
        <v>966</v>
      </c>
      <c r="J388">
        <v>0</v>
      </c>
    </row>
    <row r="389" spans="4:10" x14ac:dyDescent="0.25">
      <c r="D389" s="4" t="e">
        <f t="shared" ref="D389:D418" si="42">MATCH(C389,E:E,0)</f>
        <v>#N/A</v>
      </c>
      <c r="E389" t="str">
        <f t="shared" ref="E389:E418" si="43">TRIM((SUBSTITUTE(SUBSTITUTE(I389,",","")," ","")))</f>
        <v>AntennaKbraceOffsetPEY</v>
      </c>
      <c r="F389" s="4" t="str">
        <f t="shared" ref="F389:F418" si="44">IFERROR(IF(MATCH(E389,C:C,0)&gt;0,"YES"),"NO")</f>
        <v>NO</v>
      </c>
      <c r="G389" s="4" t="str">
        <f t="shared" ref="G389:G418" si="45">IFERROR(IF(MATCH(E389,M:M,0)&gt;0,"YES"),"NO")</f>
        <v>NO</v>
      </c>
      <c r="H389" s="4" t="str">
        <f t="shared" ref="H389:H418" si="46">IFERROR(IF(MATCH(E389,T:T,0)&gt;0,"YES"),"NO")</f>
        <v>YES</v>
      </c>
      <c r="I389" t="s">
        <v>967</v>
      </c>
      <c r="J389">
        <v>1</v>
      </c>
    </row>
    <row r="390" spans="4:10" x14ac:dyDescent="0.25">
      <c r="D390" s="4" t="e">
        <f t="shared" si="42"/>
        <v>#N/A</v>
      </c>
      <c r="E390" t="str">
        <f t="shared" si="43"/>
        <v>AntennaKbraceOffsetPEX</v>
      </c>
      <c r="F390" s="4" t="str">
        <f t="shared" si="44"/>
        <v>NO</v>
      </c>
      <c r="G390" s="4" t="str">
        <f t="shared" si="45"/>
        <v>NO</v>
      </c>
      <c r="H390" s="4" t="str">
        <f t="shared" si="46"/>
        <v>YES</v>
      </c>
      <c r="I390" t="s">
        <v>968</v>
      </c>
    </row>
    <row r="391" spans="4:10" x14ac:dyDescent="0.25">
      <c r="D391" s="4" t="e">
        <f t="shared" si="42"/>
        <v>#N/A</v>
      </c>
      <c r="E391" t="str">
        <f t="shared" si="43"/>
        <v>VValues</v>
      </c>
      <c r="F391" s="4" t="str">
        <f t="shared" si="44"/>
        <v>NO</v>
      </c>
      <c r="G391" s="4" t="str">
        <f t="shared" si="45"/>
        <v>NO</v>
      </c>
      <c r="H391" s="4" t="str">
        <f t="shared" si="46"/>
        <v>NO</v>
      </c>
      <c r="I391" t="s">
        <v>1028</v>
      </c>
      <c r="J391">
        <v>0</v>
      </c>
    </row>
    <row r="392" spans="4:10" x14ac:dyDescent="0.25">
      <c r="D392" s="4" t="e">
        <f t="shared" si="42"/>
        <v>#N/A</v>
      </c>
      <c r="E392" t="str">
        <f t="shared" si="43"/>
        <v>TowerRedundantHipDiagonalNumBolts3</v>
      </c>
      <c r="F392" s="4" t="str">
        <f t="shared" si="44"/>
        <v>NO</v>
      </c>
      <c r="G392" s="4" t="str">
        <f t="shared" si="45"/>
        <v>NO</v>
      </c>
      <c r="H392" s="4" t="str">
        <f t="shared" si="46"/>
        <v>NO</v>
      </c>
      <c r="I392" t="s">
        <v>695</v>
      </c>
      <c r="J392">
        <v>0</v>
      </c>
    </row>
    <row r="393" spans="4:10" x14ac:dyDescent="0.25">
      <c r="D393" s="4" t="e">
        <f t="shared" si="42"/>
        <v>#N/A</v>
      </c>
      <c r="E393" t="str">
        <f t="shared" si="43"/>
        <v>TowerRedundantHipDiagonalBoltEdgeDistance3</v>
      </c>
      <c r="F393" s="4" t="str">
        <f t="shared" si="44"/>
        <v>NO</v>
      </c>
      <c r="G393" s="4" t="str">
        <f t="shared" si="45"/>
        <v>NO</v>
      </c>
      <c r="H393" s="4" t="str">
        <f t="shared" si="46"/>
        <v>NO</v>
      </c>
      <c r="I393" t="s">
        <v>696</v>
      </c>
      <c r="J393">
        <v>0</v>
      </c>
    </row>
    <row r="394" spans="4:10" x14ac:dyDescent="0.25">
      <c r="D394" s="4" t="e">
        <f t="shared" si="42"/>
        <v>#N/A</v>
      </c>
      <c r="E394" t="str">
        <f t="shared" si="43"/>
        <v>TowerRedundantHipDiagonalGageG1Distance3</v>
      </c>
      <c r="F394" s="4" t="str">
        <f t="shared" si="44"/>
        <v>NO</v>
      </c>
      <c r="G394" s="4" t="str">
        <f t="shared" si="45"/>
        <v>NO</v>
      </c>
      <c r="H394" s="4" t="str">
        <f t="shared" si="46"/>
        <v>NO</v>
      </c>
      <c r="I394" t="s">
        <v>697</v>
      </c>
      <c r="J394">
        <v>0</v>
      </c>
    </row>
    <row r="395" spans="4:10" x14ac:dyDescent="0.25">
      <c r="D395" s="4" t="e">
        <f t="shared" si="42"/>
        <v>#N/A</v>
      </c>
      <c r="E395" t="str">
        <f t="shared" si="43"/>
        <v>TowerRedundantHipDiagonalNetWidthDeduct3</v>
      </c>
      <c r="F395" s="4" t="str">
        <f t="shared" si="44"/>
        <v>NO</v>
      </c>
      <c r="G395" s="4" t="str">
        <f t="shared" si="45"/>
        <v>NO</v>
      </c>
      <c r="H395" s="4" t="str">
        <f t="shared" si="46"/>
        <v>NO</v>
      </c>
      <c r="I395" t="s">
        <v>698</v>
      </c>
      <c r="J395">
        <v>0</v>
      </c>
    </row>
    <row r="396" spans="4:10" x14ac:dyDescent="0.25">
      <c r="D396" s="4" t="e">
        <f t="shared" si="42"/>
        <v>#N/A</v>
      </c>
      <c r="E396" t="str">
        <f t="shared" si="43"/>
        <v>TowerRedundantHipDiagonalUFactor3</v>
      </c>
      <c r="F396" s="4" t="str">
        <f t="shared" si="44"/>
        <v>NO</v>
      </c>
      <c r="G396" s="4" t="str">
        <f t="shared" si="45"/>
        <v>NO</v>
      </c>
      <c r="H396" s="4" t="str">
        <f t="shared" si="46"/>
        <v>NO</v>
      </c>
      <c r="I396" t="s">
        <v>699</v>
      </c>
      <c r="J396">
        <v>1</v>
      </c>
    </row>
    <row r="397" spans="4:10" x14ac:dyDescent="0.25">
      <c r="D397" s="4" t="e">
        <f t="shared" si="42"/>
        <v>#N/A</v>
      </c>
      <c r="E397" t="str">
        <f t="shared" si="43"/>
        <v>TowerRedundantHipDiagonalBoltGrade4</v>
      </c>
      <c r="F397" s="4" t="str">
        <f t="shared" si="44"/>
        <v>NO</v>
      </c>
      <c r="G397" s="4" t="str">
        <f t="shared" si="45"/>
        <v>NO</v>
      </c>
      <c r="H397" s="4" t="str">
        <f t="shared" si="46"/>
        <v>NO</v>
      </c>
      <c r="I397" t="s">
        <v>700</v>
      </c>
    </row>
    <row r="398" spans="4:10" x14ac:dyDescent="0.25">
      <c r="D398" s="4" t="e">
        <f t="shared" si="42"/>
        <v>#N/A</v>
      </c>
      <c r="E398" t="str">
        <f t="shared" si="43"/>
        <v>TowerRedundantHipDiagonalBoltSize4</v>
      </c>
      <c r="F398" s="4" t="str">
        <f t="shared" si="44"/>
        <v>NO</v>
      </c>
      <c r="G398" s="4" t="str">
        <f t="shared" si="45"/>
        <v>NO</v>
      </c>
      <c r="H398" s="4" t="str">
        <f t="shared" si="46"/>
        <v>NO</v>
      </c>
      <c r="I398" t="s">
        <v>701</v>
      </c>
      <c r="J398">
        <v>0</v>
      </c>
    </row>
    <row r="399" spans="4:10" x14ac:dyDescent="0.25">
      <c r="D399" s="4" t="e">
        <f t="shared" si="42"/>
        <v>#N/A</v>
      </c>
      <c r="E399" t="str">
        <f t="shared" si="43"/>
        <v>TowerRedundantHipDiagonalNumBolts4</v>
      </c>
      <c r="F399" s="4" t="str">
        <f t="shared" si="44"/>
        <v>NO</v>
      </c>
      <c r="G399" s="4" t="str">
        <f t="shared" si="45"/>
        <v>NO</v>
      </c>
      <c r="H399" s="4" t="str">
        <f t="shared" si="46"/>
        <v>NO</v>
      </c>
      <c r="I399" t="s">
        <v>702</v>
      </c>
      <c r="J399">
        <v>0</v>
      </c>
    </row>
    <row r="400" spans="4:10" x14ac:dyDescent="0.25">
      <c r="D400" s="4" t="e">
        <f t="shared" si="42"/>
        <v>#N/A</v>
      </c>
      <c r="E400" t="str">
        <f t="shared" si="43"/>
        <v>TowerRedundantHipDiagonalBoltEdgeDistance4</v>
      </c>
      <c r="F400" s="4" t="str">
        <f t="shared" si="44"/>
        <v>NO</v>
      </c>
      <c r="G400" s="4" t="str">
        <f t="shared" si="45"/>
        <v>NO</v>
      </c>
      <c r="H400" s="4" t="str">
        <f t="shared" si="46"/>
        <v>NO</v>
      </c>
      <c r="I400" t="s">
        <v>703</v>
      </c>
      <c r="J400">
        <v>0</v>
      </c>
    </row>
    <row r="401" spans="4:10" x14ac:dyDescent="0.25">
      <c r="D401" s="4" t="e">
        <f t="shared" si="42"/>
        <v>#N/A</v>
      </c>
      <c r="E401" t="str">
        <f t="shared" si="43"/>
        <v>TowerRedundantHipDiagonalGageG1Distance4</v>
      </c>
      <c r="F401" s="4" t="str">
        <f t="shared" si="44"/>
        <v>NO</v>
      </c>
      <c r="G401" s="4" t="str">
        <f t="shared" si="45"/>
        <v>NO</v>
      </c>
      <c r="H401" s="4" t="str">
        <f t="shared" si="46"/>
        <v>NO</v>
      </c>
      <c r="I401" t="s">
        <v>704</v>
      </c>
      <c r="J401">
        <v>0</v>
      </c>
    </row>
    <row r="402" spans="4:10" x14ac:dyDescent="0.25">
      <c r="D402" s="4" t="e">
        <f t="shared" si="42"/>
        <v>#N/A</v>
      </c>
      <c r="E402" t="str">
        <f t="shared" si="43"/>
        <v>TowerRedundantHipDiagonalNetWidthDeduct4</v>
      </c>
      <c r="F402" s="4" t="str">
        <f t="shared" si="44"/>
        <v>NO</v>
      </c>
      <c r="G402" s="4" t="str">
        <f t="shared" si="45"/>
        <v>NO</v>
      </c>
      <c r="H402" s="4" t="str">
        <f t="shared" si="46"/>
        <v>NO</v>
      </c>
      <c r="I402" t="s">
        <v>705</v>
      </c>
      <c r="J402">
        <v>0</v>
      </c>
    </row>
    <row r="403" spans="4:10" x14ac:dyDescent="0.25">
      <c r="D403" s="4" t="e">
        <f t="shared" si="42"/>
        <v>#N/A</v>
      </c>
      <c r="E403" t="str">
        <f t="shared" si="43"/>
        <v>TowerRedundantHipDiagonalUFactor4</v>
      </c>
      <c r="F403" s="4" t="str">
        <f t="shared" si="44"/>
        <v>NO</v>
      </c>
      <c r="G403" s="4" t="str">
        <f t="shared" si="45"/>
        <v>NO</v>
      </c>
      <c r="H403" s="4" t="str">
        <f t="shared" si="46"/>
        <v>NO</v>
      </c>
      <c r="I403" t="s">
        <v>706</v>
      </c>
      <c r="J403">
        <v>1</v>
      </c>
    </row>
    <row r="404" spans="4:10" x14ac:dyDescent="0.25">
      <c r="D404" s="4" t="e">
        <f t="shared" si="42"/>
        <v>#N/A</v>
      </c>
      <c r="E404" t="str">
        <f t="shared" si="43"/>
        <v>TowerDiagonalOutOfPlaneRestraint</v>
      </c>
      <c r="F404" s="4" t="str">
        <f t="shared" si="44"/>
        <v>NO</v>
      </c>
      <c r="G404" s="4" t="str">
        <f t="shared" si="45"/>
        <v>NO</v>
      </c>
      <c r="H404" s="4" t="str">
        <f t="shared" si="46"/>
        <v>NO</v>
      </c>
      <c r="I404" t="s">
        <v>707</v>
      </c>
      <c r="J404" t="s">
        <v>303</v>
      </c>
    </row>
    <row r="405" spans="4:10" x14ac:dyDescent="0.25">
      <c r="D405" s="4" t="e">
        <f t="shared" si="42"/>
        <v>#N/A</v>
      </c>
      <c r="E405" t="str">
        <f t="shared" si="43"/>
        <v>TowerTopGirtOutOfPlaneRestraint</v>
      </c>
      <c r="F405" s="4" t="str">
        <f t="shared" si="44"/>
        <v>NO</v>
      </c>
      <c r="G405" s="4" t="str">
        <f t="shared" si="45"/>
        <v>NO</v>
      </c>
      <c r="H405" s="4" t="str">
        <f t="shared" si="46"/>
        <v>NO</v>
      </c>
      <c r="I405" t="s">
        <v>708</v>
      </c>
      <c r="J405" t="s">
        <v>303</v>
      </c>
    </row>
    <row r="406" spans="4:10" x14ac:dyDescent="0.25">
      <c r="D406" s="4" t="e">
        <f t="shared" si="42"/>
        <v>#N/A</v>
      </c>
      <c r="E406" t="str">
        <f t="shared" si="43"/>
        <v>TowerBottomGirtOutOfPlaneRestraint</v>
      </c>
      <c r="F406" s="4" t="str">
        <f t="shared" si="44"/>
        <v>NO</v>
      </c>
      <c r="G406" s="4" t="str">
        <f t="shared" si="45"/>
        <v>NO</v>
      </c>
      <c r="H406" s="4" t="str">
        <f t="shared" si="46"/>
        <v>NO</v>
      </c>
      <c r="I406" t="s">
        <v>709</v>
      </c>
      <c r="J406" t="s">
        <v>303</v>
      </c>
    </row>
    <row r="407" spans="4:10" x14ac:dyDescent="0.25">
      <c r="D407" s="4" t="e">
        <f t="shared" si="42"/>
        <v>#N/A</v>
      </c>
      <c r="E407" t="str">
        <f t="shared" si="43"/>
        <v>TowerMidGirtOutOfPlaneRestraint</v>
      </c>
      <c r="F407" s="4" t="str">
        <f t="shared" si="44"/>
        <v>NO</v>
      </c>
      <c r="G407" s="4" t="str">
        <f t="shared" si="45"/>
        <v>NO</v>
      </c>
      <c r="H407" s="4" t="str">
        <f t="shared" si="46"/>
        <v>NO</v>
      </c>
      <c r="I407" t="s">
        <v>710</v>
      </c>
      <c r="J407" t="s">
        <v>303</v>
      </c>
    </row>
    <row r="408" spans="4:10" x14ac:dyDescent="0.25">
      <c r="D408" s="4" t="e">
        <f t="shared" si="42"/>
        <v>#N/A</v>
      </c>
      <c r="E408" t="str">
        <f t="shared" si="43"/>
        <v>TowerHorizontalOutOfPlaneRestraint</v>
      </c>
      <c r="F408" s="4" t="str">
        <f t="shared" si="44"/>
        <v>NO</v>
      </c>
      <c r="G408" s="4" t="str">
        <f t="shared" si="45"/>
        <v>NO</v>
      </c>
      <c r="H408" s="4" t="str">
        <f t="shared" si="46"/>
        <v>NO</v>
      </c>
      <c r="I408" t="s">
        <v>711</v>
      </c>
      <c r="J408" t="s">
        <v>303</v>
      </c>
    </row>
    <row r="409" spans="4:10" x14ac:dyDescent="0.25">
      <c r="D409" s="4" t="e">
        <f t="shared" si="42"/>
        <v>#N/A</v>
      </c>
      <c r="E409" t="str">
        <f t="shared" si="43"/>
        <v>TowerSecondaryHorizontalOutOfPlaneRestraint</v>
      </c>
      <c r="F409" s="4" t="str">
        <f t="shared" si="44"/>
        <v>NO</v>
      </c>
      <c r="G409" s="4" t="str">
        <f t="shared" si="45"/>
        <v>NO</v>
      </c>
      <c r="H409" s="4" t="str">
        <f t="shared" si="46"/>
        <v>NO</v>
      </c>
      <c r="I409" t="s">
        <v>712</v>
      </c>
      <c r="J409" t="s">
        <v>303</v>
      </c>
    </row>
    <row r="410" spans="4:10" x14ac:dyDescent="0.25">
      <c r="D410" s="4" t="e">
        <f t="shared" si="42"/>
        <v>#N/A</v>
      </c>
      <c r="E410" t="str">
        <f t="shared" si="43"/>
        <v>TowerUniqueFlag</v>
      </c>
      <c r="F410" s="4" t="str">
        <f t="shared" si="44"/>
        <v>NO</v>
      </c>
      <c r="G410" s="4" t="str">
        <f t="shared" si="45"/>
        <v>NO</v>
      </c>
      <c r="H410" s="4" t="str">
        <f t="shared" si="46"/>
        <v>NO</v>
      </c>
      <c r="I410" t="s">
        <v>713</v>
      </c>
      <c r="J410">
        <v>0</v>
      </c>
    </row>
    <row r="411" spans="4:10" x14ac:dyDescent="0.25">
      <c r="D411" s="4" t="e">
        <f t="shared" si="42"/>
        <v>#N/A</v>
      </c>
      <c r="E411" t="str">
        <f t="shared" si="43"/>
        <v>TowerDiagOffsetNEY</v>
      </c>
      <c r="F411" s="4" t="str">
        <f t="shared" si="44"/>
        <v>NO</v>
      </c>
      <c r="G411" s="4" t="str">
        <f t="shared" si="45"/>
        <v>NO</v>
      </c>
      <c r="H411" s="4" t="str">
        <f t="shared" si="46"/>
        <v>NO</v>
      </c>
      <c r="I411" t="s">
        <v>714</v>
      </c>
      <c r="J411">
        <v>0</v>
      </c>
    </row>
    <row r="412" spans="4:10" x14ac:dyDescent="0.25">
      <c r="D412" s="4" t="e">
        <f t="shared" si="42"/>
        <v>#N/A</v>
      </c>
      <c r="E412" t="str">
        <f t="shared" si="43"/>
        <v>TowerDiagOffsetNEX</v>
      </c>
      <c r="F412" s="4" t="str">
        <f t="shared" si="44"/>
        <v>NO</v>
      </c>
      <c r="G412" s="4" t="str">
        <f t="shared" si="45"/>
        <v>NO</v>
      </c>
      <c r="H412" s="4" t="str">
        <f t="shared" si="46"/>
        <v>NO</v>
      </c>
      <c r="I412" t="s">
        <v>715</v>
      </c>
      <c r="J412">
        <v>0</v>
      </c>
    </row>
    <row r="413" spans="4:10" x14ac:dyDescent="0.25">
      <c r="D413" s="4" t="e">
        <f t="shared" si="42"/>
        <v>#N/A</v>
      </c>
      <c r="E413" t="str">
        <f t="shared" si="43"/>
        <v>TowerDiagOffsetPEY</v>
      </c>
      <c r="F413" s="4" t="str">
        <f t="shared" si="44"/>
        <v>NO</v>
      </c>
      <c r="G413" s="4" t="str">
        <f t="shared" si="45"/>
        <v>NO</v>
      </c>
      <c r="H413" s="4" t="str">
        <f t="shared" si="46"/>
        <v>NO</v>
      </c>
      <c r="I413" t="s">
        <v>716</v>
      </c>
      <c r="J413">
        <v>0</v>
      </c>
    </row>
    <row r="414" spans="4:10" x14ac:dyDescent="0.25">
      <c r="D414" s="4" t="e">
        <f t="shared" si="42"/>
        <v>#N/A</v>
      </c>
      <c r="E414" t="str">
        <f t="shared" si="43"/>
        <v>TowerDiagOffsetPEX</v>
      </c>
      <c r="F414" s="4" t="str">
        <f t="shared" si="44"/>
        <v>NO</v>
      </c>
      <c r="G414" s="4" t="str">
        <f t="shared" si="45"/>
        <v>NO</v>
      </c>
      <c r="H414" s="4" t="str">
        <f t="shared" si="46"/>
        <v>NO</v>
      </c>
      <c r="I414" t="s">
        <v>717</v>
      </c>
      <c r="J414">
        <v>0</v>
      </c>
    </row>
    <row r="415" spans="4:10" x14ac:dyDescent="0.25">
      <c r="D415" s="4" t="e">
        <f t="shared" si="42"/>
        <v>#N/A</v>
      </c>
      <c r="E415" t="str">
        <f t="shared" si="43"/>
        <v>TowerKbraceOffsetNEY</v>
      </c>
      <c r="F415" s="4" t="str">
        <f t="shared" si="44"/>
        <v>NO</v>
      </c>
      <c r="G415" s="4" t="str">
        <f t="shared" si="45"/>
        <v>NO</v>
      </c>
      <c r="H415" s="4" t="str">
        <f t="shared" si="46"/>
        <v>NO</v>
      </c>
      <c r="I415" t="s">
        <v>718</v>
      </c>
      <c r="J415">
        <v>0</v>
      </c>
    </row>
    <row r="416" spans="4:10" x14ac:dyDescent="0.25">
      <c r="D416" s="4" t="e">
        <f t="shared" si="42"/>
        <v>#N/A</v>
      </c>
      <c r="E416" t="str">
        <f t="shared" si="43"/>
        <v>TowerKbraceOffsetNEX</v>
      </c>
      <c r="F416" s="4" t="str">
        <f t="shared" si="44"/>
        <v>NO</v>
      </c>
      <c r="G416" s="4" t="str">
        <f t="shared" si="45"/>
        <v>NO</v>
      </c>
      <c r="H416" s="4" t="str">
        <f t="shared" si="46"/>
        <v>NO</v>
      </c>
      <c r="I416" t="s">
        <v>719</v>
      </c>
      <c r="J416">
        <v>0</v>
      </c>
    </row>
    <row r="417" spans="4:10" x14ac:dyDescent="0.25">
      <c r="D417" s="4" t="e">
        <f t="shared" si="42"/>
        <v>#N/A</v>
      </c>
      <c r="E417" t="str">
        <f t="shared" si="43"/>
        <v>TowerKbraceOffsetPEY</v>
      </c>
      <c r="F417" s="4" t="str">
        <f t="shared" si="44"/>
        <v>NO</v>
      </c>
      <c r="G417" s="4" t="str">
        <f t="shared" si="45"/>
        <v>NO</v>
      </c>
      <c r="H417" s="4" t="str">
        <f t="shared" si="46"/>
        <v>NO</v>
      </c>
      <c r="I417" t="s">
        <v>720</v>
      </c>
      <c r="J417">
        <v>0</v>
      </c>
    </row>
    <row r="418" spans="4:10" x14ac:dyDescent="0.25">
      <c r="D418" s="4" t="e">
        <f t="shared" si="42"/>
        <v>#N/A</v>
      </c>
      <c r="E418" t="str">
        <f t="shared" si="43"/>
        <v>TowerKbraceOffsetPEX</v>
      </c>
      <c r="F418" s="4" t="str">
        <f t="shared" si="44"/>
        <v>NO</v>
      </c>
      <c r="G418" s="4" t="str">
        <f t="shared" si="45"/>
        <v>NO</v>
      </c>
      <c r="H418" s="4" t="str">
        <f t="shared" si="46"/>
        <v>NO</v>
      </c>
      <c r="I418" t="s">
        <v>721</v>
      </c>
      <c r="J418">
        <v>0</v>
      </c>
    </row>
  </sheetData>
  <autoFilter ref="E3:H418" xr:uid="{15F9EDBD-7DC4-4FCA-A016-26E15C673724}">
    <filterColumn colId="1">
      <filters>
        <filter val="NO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3703-68AF-4E2A-B563-ABCFD8A3D33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003C7-9B10-4FC8-B19F-597DC2991F06}">
  <sheetPr codeName="Sheet5"/>
  <dimension ref="A1:G3125"/>
  <sheetViews>
    <sheetView topLeftCell="A338" zoomScale="70" zoomScaleNormal="70" workbookViewId="0">
      <selection activeCell="G2" sqref="G2:G389"/>
    </sheetView>
  </sheetViews>
  <sheetFormatPr defaultRowHeight="15" x14ac:dyDescent="0.25"/>
  <cols>
    <col min="1" max="1" width="47.42578125" bestFit="1" customWidth="1"/>
    <col min="2" max="2" width="119.140625" bestFit="1" customWidth="1"/>
  </cols>
  <sheetData>
    <row r="1" spans="1:7" x14ac:dyDescent="0.25">
      <c r="A1" t="s">
        <v>1029</v>
      </c>
      <c r="B1">
        <v>8</v>
      </c>
      <c r="G1" t="s">
        <v>1029</v>
      </c>
    </row>
    <row r="2" spans="1:7" x14ac:dyDescent="0.25">
      <c r="A2" t="s">
        <v>771</v>
      </c>
      <c r="B2">
        <v>1</v>
      </c>
      <c r="G2" t="s">
        <v>771</v>
      </c>
    </row>
    <row r="3" spans="1:7" x14ac:dyDescent="0.25">
      <c r="A3" t="s">
        <v>772</v>
      </c>
      <c r="B3" t="s">
        <v>1031</v>
      </c>
      <c r="G3" t="s">
        <v>772</v>
      </c>
    </row>
    <row r="4" spans="1:7" x14ac:dyDescent="0.25">
      <c r="A4" t="s">
        <v>773</v>
      </c>
      <c r="B4">
        <v>250</v>
      </c>
      <c r="G4" t="s">
        <v>773</v>
      </c>
    </row>
    <row r="5" spans="1:7" x14ac:dyDescent="0.25">
      <c r="A5" t="s">
        <v>774</v>
      </c>
      <c r="B5">
        <v>59</v>
      </c>
      <c r="G5" t="s">
        <v>774</v>
      </c>
    </row>
    <row r="6" spans="1:7" x14ac:dyDescent="0.25">
      <c r="A6" t="s">
        <v>775</v>
      </c>
      <c r="B6">
        <v>29.5</v>
      </c>
      <c r="G6" t="s">
        <v>775</v>
      </c>
    </row>
    <row r="7" spans="1:7" x14ac:dyDescent="0.25">
      <c r="A7" t="s">
        <v>776</v>
      </c>
      <c r="B7">
        <v>1</v>
      </c>
      <c r="G7" t="s">
        <v>776</v>
      </c>
    </row>
    <row r="8" spans="1:7" x14ac:dyDescent="0.25">
      <c r="A8" t="s">
        <v>777</v>
      </c>
      <c r="B8">
        <v>1</v>
      </c>
      <c r="G8" t="s">
        <v>777</v>
      </c>
    </row>
    <row r="9" spans="1:7" x14ac:dyDescent="0.25">
      <c r="A9" t="s">
        <v>778</v>
      </c>
      <c r="B9">
        <v>5</v>
      </c>
      <c r="G9" t="s">
        <v>778</v>
      </c>
    </row>
    <row r="10" spans="1:7" x14ac:dyDescent="0.25">
      <c r="A10" t="s">
        <v>779</v>
      </c>
      <c r="B10" t="s">
        <v>342</v>
      </c>
      <c r="G10" t="s">
        <v>779</v>
      </c>
    </row>
    <row r="11" spans="1:7" x14ac:dyDescent="0.25">
      <c r="A11" t="s">
        <v>780</v>
      </c>
      <c r="B11" s="7">
        <v>1.5</v>
      </c>
      <c r="G11" t="s">
        <v>780</v>
      </c>
    </row>
    <row r="12" spans="1:7" x14ac:dyDescent="0.25">
      <c r="A12" t="s">
        <v>781</v>
      </c>
      <c r="B12">
        <v>50</v>
      </c>
      <c r="G12" t="s">
        <v>781</v>
      </c>
    </row>
    <row r="13" spans="1:7" x14ac:dyDescent="0.25">
      <c r="A13" t="s">
        <v>782</v>
      </c>
      <c r="B13" t="s">
        <v>312</v>
      </c>
      <c r="G13" t="s">
        <v>782</v>
      </c>
    </row>
    <row r="14" spans="1:7" x14ac:dyDescent="0.25">
      <c r="A14" t="s">
        <v>783</v>
      </c>
      <c r="B14">
        <v>36</v>
      </c>
      <c r="G14" t="s">
        <v>783</v>
      </c>
    </row>
    <row r="15" spans="1:7" x14ac:dyDescent="0.25">
      <c r="A15" t="s">
        <v>784</v>
      </c>
      <c r="B15" t="s">
        <v>320</v>
      </c>
      <c r="G15" t="s">
        <v>784</v>
      </c>
    </row>
    <row r="16" spans="1:7" x14ac:dyDescent="0.25">
      <c r="A16" t="s">
        <v>785</v>
      </c>
      <c r="B16">
        <v>36</v>
      </c>
      <c r="G16" t="s">
        <v>785</v>
      </c>
    </row>
    <row r="17" spans="1:7" x14ac:dyDescent="0.25">
      <c r="A17" t="s">
        <v>786</v>
      </c>
      <c r="B17" t="s">
        <v>320</v>
      </c>
      <c r="G17" t="s">
        <v>786</v>
      </c>
    </row>
    <row r="18" spans="1:7" x14ac:dyDescent="0.25">
      <c r="A18" t="s">
        <v>787</v>
      </c>
      <c r="B18">
        <v>36</v>
      </c>
      <c r="G18" t="s">
        <v>787</v>
      </c>
    </row>
    <row r="19" spans="1:7" x14ac:dyDescent="0.25">
      <c r="A19" t="s">
        <v>788</v>
      </c>
      <c r="B19" t="s">
        <v>320</v>
      </c>
      <c r="G19" t="s">
        <v>788</v>
      </c>
    </row>
    <row r="20" spans="1:7" x14ac:dyDescent="0.25">
      <c r="A20" t="s">
        <v>789</v>
      </c>
      <c r="B20">
        <v>36</v>
      </c>
      <c r="G20" t="s">
        <v>789</v>
      </c>
    </row>
    <row r="21" spans="1:7" x14ac:dyDescent="0.25">
      <c r="A21" t="s">
        <v>790</v>
      </c>
      <c r="B21" t="s">
        <v>320</v>
      </c>
      <c r="G21" t="s">
        <v>790</v>
      </c>
    </row>
    <row r="22" spans="1:7" x14ac:dyDescent="0.25">
      <c r="A22" t="s">
        <v>791</v>
      </c>
      <c r="B22">
        <v>36</v>
      </c>
      <c r="G22" t="s">
        <v>791</v>
      </c>
    </row>
    <row r="23" spans="1:7" x14ac:dyDescent="0.25">
      <c r="A23" t="s">
        <v>792</v>
      </c>
      <c r="B23" t="s">
        <v>320</v>
      </c>
      <c r="G23" t="s">
        <v>792</v>
      </c>
    </row>
    <row r="24" spans="1:7" x14ac:dyDescent="0.25">
      <c r="A24" t="s">
        <v>793</v>
      </c>
      <c r="B24">
        <v>50</v>
      </c>
      <c r="G24" t="s">
        <v>793</v>
      </c>
    </row>
    <row r="25" spans="1:7" x14ac:dyDescent="0.25">
      <c r="A25" t="s">
        <v>794</v>
      </c>
      <c r="B25" t="s">
        <v>312</v>
      </c>
      <c r="G25" t="s">
        <v>794</v>
      </c>
    </row>
    <row r="26" spans="1:7" x14ac:dyDescent="0.25">
      <c r="A26" t="s">
        <v>795</v>
      </c>
      <c r="B26">
        <v>50</v>
      </c>
      <c r="G26" t="s">
        <v>795</v>
      </c>
    </row>
    <row r="27" spans="1:7" x14ac:dyDescent="0.25">
      <c r="A27" t="s">
        <v>796</v>
      </c>
      <c r="B27" t="s">
        <v>312</v>
      </c>
      <c r="G27" t="s">
        <v>796</v>
      </c>
    </row>
    <row r="28" spans="1:7" x14ac:dyDescent="0.25">
      <c r="A28" t="s">
        <v>797</v>
      </c>
      <c r="B28" t="s">
        <v>342</v>
      </c>
      <c r="G28" t="s">
        <v>797</v>
      </c>
    </row>
    <row r="29" spans="1:7" x14ac:dyDescent="0.25">
      <c r="A29" t="s">
        <v>798</v>
      </c>
      <c r="B29" s="5">
        <v>44928</v>
      </c>
      <c r="G29" t="s">
        <v>798</v>
      </c>
    </row>
    <row r="30" spans="1:7" x14ac:dyDescent="0.25">
      <c r="A30" t="s">
        <v>799</v>
      </c>
      <c r="B30" t="s">
        <v>342</v>
      </c>
      <c r="G30" t="s">
        <v>799</v>
      </c>
    </row>
    <row r="31" spans="1:7" x14ac:dyDescent="0.25">
      <c r="A31" t="s">
        <v>800</v>
      </c>
      <c r="G31" t="s">
        <v>800</v>
      </c>
    </row>
    <row r="32" spans="1:7" x14ac:dyDescent="0.25">
      <c r="A32" t="s">
        <v>801</v>
      </c>
      <c r="B32" t="s">
        <v>1038</v>
      </c>
      <c r="G32" t="s">
        <v>801</v>
      </c>
    </row>
    <row r="33" spans="1:7" x14ac:dyDescent="0.25">
      <c r="A33" t="s">
        <v>802</v>
      </c>
      <c r="B33" t="s">
        <v>1039</v>
      </c>
      <c r="G33" t="s">
        <v>802</v>
      </c>
    </row>
    <row r="34" spans="1:7" x14ac:dyDescent="0.25">
      <c r="A34" t="s">
        <v>803</v>
      </c>
      <c r="B34" t="s">
        <v>1038</v>
      </c>
      <c r="G34" t="s">
        <v>803</v>
      </c>
    </row>
    <row r="35" spans="1:7" x14ac:dyDescent="0.25">
      <c r="A35" t="s">
        <v>804</v>
      </c>
      <c r="B35" t="s">
        <v>1039</v>
      </c>
      <c r="G35" t="s">
        <v>804</v>
      </c>
    </row>
    <row r="36" spans="1:7" x14ac:dyDescent="0.25">
      <c r="A36" t="s">
        <v>805</v>
      </c>
      <c r="B36">
        <v>0</v>
      </c>
      <c r="G36" t="s">
        <v>805</v>
      </c>
    </row>
    <row r="37" spans="1:7" x14ac:dyDescent="0.25">
      <c r="A37" t="s">
        <v>806</v>
      </c>
      <c r="B37">
        <v>1</v>
      </c>
      <c r="G37" t="s">
        <v>806</v>
      </c>
    </row>
    <row r="38" spans="1:7" x14ac:dyDescent="0.25">
      <c r="A38" t="s">
        <v>807</v>
      </c>
      <c r="B38" t="s">
        <v>303</v>
      </c>
      <c r="G38" t="s">
        <v>807</v>
      </c>
    </row>
    <row r="39" spans="1:7" x14ac:dyDescent="0.25">
      <c r="A39" t="s">
        <v>808</v>
      </c>
      <c r="B39" t="s">
        <v>305</v>
      </c>
      <c r="G39" t="s">
        <v>808</v>
      </c>
    </row>
    <row r="40" spans="1:7" x14ac:dyDescent="0.25">
      <c r="A40" t="s">
        <v>809</v>
      </c>
      <c r="B40" t="s">
        <v>342</v>
      </c>
      <c r="G40" t="s">
        <v>809</v>
      </c>
    </row>
    <row r="41" spans="1:7" x14ac:dyDescent="0.25">
      <c r="A41" t="s">
        <v>810</v>
      </c>
      <c r="B41" s="5">
        <v>44989</v>
      </c>
      <c r="G41" t="s">
        <v>810</v>
      </c>
    </row>
    <row r="42" spans="1:7" x14ac:dyDescent="0.25">
      <c r="A42" t="s">
        <v>811</v>
      </c>
      <c r="B42" t="s">
        <v>342</v>
      </c>
      <c r="G42" t="s">
        <v>811</v>
      </c>
    </row>
    <row r="43" spans="1:7" x14ac:dyDescent="0.25">
      <c r="A43" t="s">
        <v>812</v>
      </c>
      <c r="G43" t="s">
        <v>812</v>
      </c>
    </row>
    <row r="44" spans="1:7" x14ac:dyDescent="0.25">
      <c r="A44" t="s">
        <v>813</v>
      </c>
      <c r="B44">
        <v>36</v>
      </c>
      <c r="G44" t="s">
        <v>813</v>
      </c>
    </row>
    <row r="45" spans="1:7" x14ac:dyDescent="0.25">
      <c r="A45" t="s">
        <v>814</v>
      </c>
      <c r="B45" t="s">
        <v>320</v>
      </c>
      <c r="G45" t="s">
        <v>814</v>
      </c>
    </row>
    <row r="46" spans="1:7" x14ac:dyDescent="0.25">
      <c r="A46" t="s">
        <v>1040</v>
      </c>
      <c r="B46">
        <v>36</v>
      </c>
      <c r="G46" t="s">
        <v>1040</v>
      </c>
    </row>
    <row r="47" spans="1:7" x14ac:dyDescent="0.25">
      <c r="A47" t="s">
        <v>1041</v>
      </c>
      <c r="B47" t="s">
        <v>320</v>
      </c>
      <c r="G47" t="s">
        <v>1041</v>
      </c>
    </row>
    <row r="48" spans="1:7" x14ac:dyDescent="0.25">
      <c r="A48" t="s">
        <v>1042</v>
      </c>
      <c r="B48">
        <v>36</v>
      </c>
      <c r="G48" t="s">
        <v>1042</v>
      </c>
    </row>
    <row r="49" spans="1:7" x14ac:dyDescent="0.25">
      <c r="A49" t="s">
        <v>1043</v>
      </c>
      <c r="B49" t="s">
        <v>320</v>
      </c>
      <c r="G49" t="s">
        <v>1043</v>
      </c>
    </row>
    <row r="50" spans="1:7" x14ac:dyDescent="0.25">
      <c r="A50" t="s">
        <v>1044</v>
      </c>
      <c r="B50">
        <v>36</v>
      </c>
      <c r="G50" t="s">
        <v>1044</v>
      </c>
    </row>
    <row r="51" spans="1:7" x14ac:dyDescent="0.25">
      <c r="A51" t="s">
        <v>1045</v>
      </c>
      <c r="B51" t="s">
        <v>320</v>
      </c>
      <c r="G51" t="s">
        <v>1045</v>
      </c>
    </row>
    <row r="52" spans="1:7" x14ac:dyDescent="0.25">
      <c r="A52" t="s">
        <v>1046</v>
      </c>
      <c r="B52">
        <v>36</v>
      </c>
      <c r="G52" t="s">
        <v>1046</v>
      </c>
    </row>
    <row r="53" spans="1:7" x14ac:dyDescent="0.25">
      <c r="A53" t="s">
        <v>1047</v>
      </c>
      <c r="B53" t="s">
        <v>320</v>
      </c>
      <c r="G53" t="s">
        <v>1047</v>
      </c>
    </row>
    <row r="54" spans="1:7" x14ac:dyDescent="0.25">
      <c r="A54" t="s">
        <v>1048</v>
      </c>
      <c r="B54">
        <v>36</v>
      </c>
      <c r="G54" t="s">
        <v>1048</v>
      </c>
    </row>
    <row r="55" spans="1:7" x14ac:dyDescent="0.25">
      <c r="A55" t="s">
        <v>1049</v>
      </c>
      <c r="B55" t="s">
        <v>320</v>
      </c>
      <c r="G55" t="s">
        <v>1049</v>
      </c>
    </row>
    <row r="56" spans="1:7" x14ac:dyDescent="0.25">
      <c r="A56" t="s">
        <v>1050</v>
      </c>
      <c r="B56">
        <v>36</v>
      </c>
      <c r="G56" t="s">
        <v>1050</v>
      </c>
    </row>
    <row r="57" spans="1:7" x14ac:dyDescent="0.25">
      <c r="A57" t="s">
        <v>1051</v>
      </c>
      <c r="B57" t="s">
        <v>320</v>
      </c>
      <c r="G57" t="s">
        <v>1051</v>
      </c>
    </row>
    <row r="58" spans="1:7" x14ac:dyDescent="0.25">
      <c r="A58" t="s">
        <v>1052</v>
      </c>
      <c r="B58">
        <v>36</v>
      </c>
      <c r="G58" t="s">
        <v>1052</v>
      </c>
    </row>
    <row r="59" spans="1:7" x14ac:dyDescent="0.25">
      <c r="A59" t="s">
        <v>1053</v>
      </c>
      <c r="B59" t="s">
        <v>320</v>
      </c>
      <c r="G59" t="s">
        <v>1053</v>
      </c>
    </row>
    <row r="60" spans="1:7" x14ac:dyDescent="0.25">
      <c r="A60" t="s">
        <v>1054</v>
      </c>
      <c r="B60">
        <v>36</v>
      </c>
      <c r="G60" t="s">
        <v>1054</v>
      </c>
    </row>
    <row r="61" spans="1:7" x14ac:dyDescent="0.25">
      <c r="A61" t="s">
        <v>1055</v>
      </c>
      <c r="B61" t="s">
        <v>320</v>
      </c>
      <c r="G61" t="s">
        <v>1055</v>
      </c>
    </row>
    <row r="62" spans="1:7" x14ac:dyDescent="0.25">
      <c r="A62" t="s">
        <v>1056</v>
      </c>
      <c r="B62">
        <v>36</v>
      </c>
      <c r="G62" t="s">
        <v>1056</v>
      </c>
    </row>
    <row r="63" spans="1:7" x14ac:dyDescent="0.25">
      <c r="A63" t="s">
        <v>1057</v>
      </c>
      <c r="B63" t="s">
        <v>320</v>
      </c>
      <c r="G63" t="s">
        <v>1057</v>
      </c>
    </row>
    <row r="64" spans="1:7" x14ac:dyDescent="0.25">
      <c r="A64" t="s">
        <v>1058</v>
      </c>
      <c r="B64">
        <v>36</v>
      </c>
      <c r="G64" t="s">
        <v>1058</v>
      </c>
    </row>
    <row r="65" spans="1:7" x14ac:dyDescent="0.25">
      <c r="A65" t="s">
        <v>1059</v>
      </c>
      <c r="B65" t="s">
        <v>320</v>
      </c>
      <c r="G65" t="s">
        <v>1059</v>
      </c>
    </row>
    <row r="66" spans="1:7" x14ac:dyDescent="0.25">
      <c r="A66" t="s">
        <v>1060</v>
      </c>
      <c r="B66">
        <v>36</v>
      </c>
      <c r="G66" t="s">
        <v>1060</v>
      </c>
    </row>
    <row r="67" spans="1:7" x14ac:dyDescent="0.25">
      <c r="A67" t="s">
        <v>1061</v>
      </c>
      <c r="B67" t="s">
        <v>320</v>
      </c>
      <c r="G67" t="s">
        <v>1061</v>
      </c>
    </row>
    <row r="68" spans="1:7" x14ac:dyDescent="0.25">
      <c r="A68" t="s">
        <v>1062</v>
      </c>
      <c r="B68">
        <v>36</v>
      </c>
      <c r="G68" t="s">
        <v>1062</v>
      </c>
    </row>
    <row r="69" spans="1:7" x14ac:dyDescent="0.25">
      <c r="A69" t="s">
        <v>1063</v>
      </c>
      <c r="B69" t="s">
        <v>320</v>
      </c>
      <c r="G69" t="s">
        <v>1063</v>
      </c>
    </row>
    <row r="70" spans="1:7" x14ac:dyDescent="0.25">
      <c r="A70" t="s">
        <v>1064</v>
      </c>
      <c r="B70">
        <v>36</v>
      </c>
      <c r="G70" t="s">
        <v>1064</v>
      </c>
    </row>
    <row r="71" spans="1:7" x14ac:dyDescent="0.25">
      <c r="A71" t="s">
        <v>1065</v>
      </c>
      <c r="B71" t="s">
        <v>320</v>
      </c>
      <c r="G71" t="s">
        <v>1065</v>
      </c>
    </row>
    <row r="72" spans="1:7" x14ac:dyDescent="0.25">
      <c r="A72" t="s">
        <v>1066</v>
      </c>
      <c r="B72">
        <v>36</v>
      </c>
      <c r="G72" t="s">
        <v>1066</v>
      </c>
    </row>
    <row r="73" spans="1:7" x14ac:dyDescent="0.25">
      <c r="A73" t="s">
        <v>1067</v>
      </c>
      <c r="B73" t="s">
        <v>320</v>
      </c>
      <c r="G73" t="s">
        <v>1067</v>
      </c>
    </row>
    <row r="74" spans="1:7" x14ac:dyDescent="0.25">
      <c r="A74" t="s">
        <v>1068</v>
      </c>
      <c r="B74">
        <v>36</v>
      </c>
      <c r="G74" t="s">
        <v>1068</v>
      </c>
    </row>
    <row r="75" spans="1:7" x14ac:dyDescent="0.25">
      <c r="A75" t="s">
        <v>1069</v>
      </c>
      <c r="B75" t="s">
        <v>320</v>
      </c>
      <c r="G75" t="s">
        <v>1069</v>
      </c>
    </row>
    <row r="76" spans="1:7" x14ac:dyDescent="0.25">
      <c r="A76" t="s">
        <v>1070</v>
      </c>
      <c r="B76">
        <v>36</v>
      </c>
      <c r="G76" t="s">
        <v>1070</v>
      </c>
    </row>
    <row r="77" spans="1:7" x14ac:dyDescent="0.25">
      <c r="A77" t="s">
        <v>1071</v>
      </c>
      <c r="B77" t="s">
        <v>320</v>
      </c>
      <c r="G77" t="s">
        <v>1071</v>
      </c>
    </row>
    <row r="78" spans="1:7" x14ac:dyDescent="0.25">
      <c r="A78" t="s">
        <v>1072</v>
      </c>
      <c r="B78">
        <v>36</v>
      </c>
      <c r="G78" t="s">
        <v>1072</v>
      </c>
    </row>
    <row r="79" spans="1:7" x14ac:dyDescent="0.25">
      <c r="A79" t="s">
        <v>1073</v>
      </c>
      <c r="B79" t="s">
        <v>320</v>
      </c>
      <c r="G79" t="s">
        <v>1073</v>
      </c>
    </row>
    <row r="80" spans="1:7" x14ac:dyDescent="0.25">
      <c r="A80" t="s">
        <v>1074</v>
      </c>
      <c r="B80">
        <v>36</v>
      </c>
      <c r="G80" t="s">
        <v>1074</v>
      </c>
    </row>
    <row r="81" spans="1:7" x14ac:dyDescent="0.25">
      <c r="A81" t="s">
        <v>1075</v>
      </c>
      <c r="B81" t="s">
        <v>320</v>
      </c>
      <c r="G81" t="s">
        <v>1075</v>
      </c>
    </row>
    <row r="82" spans="1:7" x14ac:dyDescent="0.25">
      <c r="A82" t="s">
        <v>1076</v>
      </c>
      <c r="B82">
        <v>36</v>
      </c>
      <c r="G82" t="s">
        <v>1076</v>
      </c>
    </row>
    <row r="83" spans="1:7" x14ac:dyDescent="0.25">
      <c r="A83" t="s">
        <v>1077</v>
      </c>
      <c r="B83" t="s">
        <v>320</v>
      </c>
      <c r="G83" t="s">
        <v>1077</v>
      </c>
    </row>
    <row r="84" spans="1:7" x14ac:dyDescent="0.25">
      <c r="A84" t="s">
        <v>815</v>
      </c>
      <c r="B84" t="s">
        <v>1078</v>
      </c>
      <c r="G84" t="s">
        <v>815</v>
      </c>
    </row>
    <row r="85" spans="1:7" x14ac:dyDescent="0.25">
      <c r="A85" t="s">
        <v>1079</v>
      </c>
      <c r="B85" t="s">
        <v>1078</v>
      </c>
      <c r="G85" t="s">
        <v>1079</v>
      </c>
    </row>
    <row r="86" spans="1:7" x14ac:dyDescent="0.25">
      <c r="A86" t="s">
        <v>1080</v>
      </c>
      <c r="B86" t="s">
        <v>1078</v>
      </c>
      <c r="G86" t="s">
        <v>1080</v>
      </c>
    </row>
    <row r="87" spans="1:7" x14ac:dyDescent="0.25">
      <c r="A87" t="s">
        <v>1081</v>
      </c>
      <c r="B87" t="s">
        <v>1078</v>
      </c>
      <c r="G87" t="s">
        <v>1081</v>
      </c>
    </row>
    <row r="88" spans="1:7" x14ac:dyDescent="0.25">
      <c r="A88" t="s">
        <v>1082</v>
      </c>
      <c r="B88" t="s">
        <v>1078</v>
      </c>
      <c r="G88" t="s">
        <v>1082</v>
      </c>
    </row>
    <row r="89" spans="1:7" x14ac:dyDescent="0.25">
      <c r="A89" t="s">
        <v>816</v>
      </c>
      <c r="B89" t="s">
        <v>1078</v>
      </c>
      <c r="G89" t="s">
        <v>816</v>
      </c>
    </row>
    <row r="90" spans="1:7" x14ac:dyDescent="0.25">
      <c r="A90" t="s">
        <v>1083</v>
      </c>
      <c r="B90" t="s">
        <v>1078</v>
      </c>
      <c r="G90" t="s">
        <v>1083</v>
      </c>
    </row>
    <row r="91" spans="1:7" x14ac:dyDescent="0.25">
      <c r="A91" t="s">
        <v>1084</v>
      </c>
      <c r="B91" t="s">
        <v>1078</v>
      </c>
      <c r="G91" t="s">
        <v>1084</v>
      </c>
    </row>
    <row r="92" spans="1:7" x14ac:dyDescent="0.25">
      <c r="A92" t="s">
        <v>1085</v>
      </c>
      <c r="B92" t="s">
        <v>1078</v>
      </c>
      <c r="G92" t="s">
        <v>1085</v>
      </c>
    </row>
    <row r="93" spans="1:7" x14ac:dyDescent="0.25">
      <c r="A93" t="s">
        <v>817</v>
      </c>
      <c r="B93" t="s">
        <v>1078</v>
      </c>
      <c r="G93" t="s">
        <v>817</v>
      </c>
    </row>
    <row r="94" spans="1:7" x14ac:dyDescent="0.25">
      <c r="A94" t="s">
        <v>818</v>
      </c>
      <c r="B94" t="s">
        <v>1078</v>
      </c>
      <c r="G94" t="s">
        <v>818</v>
      </c>
    </row>
    <row r="95" spans="1:7" x14ac:dyDescent="0.25">
      <c r="A95" t="s">
        <v>819</v>
      </c>
      <c r="B95" t="s">
        <v>1078</v>
      </c>
      <c r="G95" t="s">
        <v>819</v>
      </c>
    </row>
    <row r="96" spans="1:7" x14ac:dyDescent="0.25">
      <c r="A96" t="s">
        <v>820</v>
      </c>
      <c r="B96" t="s">
        <v>1078</v>
      </c>
      <c r="G96" t="s">
        <v>820</v>
      </c>
    </row>
    <row r="97" spans="1:7" x14ac:dyDescent="0.25">
      <c r="A97" t="s">
        <v>1086</v>
      </c>
      <c r="B97" t="s">
        <v>1078</v>
      </c>
      <c r="G97" t="s">
        <v>1086</v>
      </c>
    </row>
    <row r="98" spans="1:7" x14ac:dyDescent="0.25">
      <c r="A98" t="s">
        <v>1087</v>
      </c>
      <c r="B98" t="s">
        <v>1078</v>
      </c>
      <c r="G98" t="s">
        <v>1087</v>
      </c>
    </row>
    <row r="99" spans="1:7" x14ac:dyDescent="0.25">
      <c r="A99" t="s">
        <v>1088</v>
      </c>
      <c r="B99" t="s">
        <v>1078</v>
      </c>
      <c r="G99" t="s">
        <v>1088</v>
      </c>
    </row>
    <row r="100" spans="1:7" x14ac:dyDescent="0.25">
      <c r="A100" t="s">
        <v>821</v>
      </c>
      <c r="B100" t="s">
        <v>1078</v>
      </c>
      <c r="G100" t="s">
        <v>821</v>
      </c>
    </row>
    <row r="101" spans="1:7" x14ac:dyDescent="0.25">
      <c r="A101" t="s">
        <v>1089</v>
      </c>
      <c r="B101" t="s">
        <v>1078</v>
      </c>
      <c r="G101" t="s">
        <v>1089</v>
      </c>
    </row>
    <row r="102" spans="1:7" x14ac:dyDescent="0.25">
      <c r="A102" t="s">
        <v>1090</v>
      </c>
      <c r="B102" t="s">
        <v>1078</v>
      </c>
      <c r="G102" t="s">
        <v>1090</v>
      </c>
    </row>
    <row r="103" spans="1:7" x14ac:dyDescent="0.25">
      <c r="A103" t="s">
        <v>1091</v>
      </c>
      <c r="B103" t="s">
        <v>1078</v>
      </c>
      <c r="G103" t="s">
        <v>1091</v>
      </c>
    </row>
    <row r="104" spans="1:7" x14ac:dyDescent="0.25">
      <c r="A104" t="s">
        <v>822</v>
      </c>
      <c r="G104" t="s">
        <v>822</v>
      </c>
    </row>
    <row r="105" spans="1:7" x14ac:dyDescent="0.25">
      <c r="A105" t="s">
        <v>823</v>
      </c>
      <c r="G105" t="s">
        <v>823</v>
      </c>
    </row>
    <row r="106" spans="1:7" x14ac:dyDescent="0.25">
      <c r="A106" t="s">
        <v>824</v>
      </c>
      <c r="G106" t="s">
        <v>824</v>
      </c>
    </row>
    <row r="107" spans="1:7" x14ac:dyDescent="0.25">
      <c r="A107" t="s">
        <v>825</v>
      </c>
      <c r="G107" t="s">
        <v>825</v>
      </c>
    </row>
    <row r="108" spans="1:7" x14ac:dyDescent="0.25">
      <c r="A108" t="s">
        <v>826</v>
      </c>
      <c r="G108" t="s">
        <v>826</v>
      </c>
    </row>
    <row r="109" spans="1:7" x14ac:dyDescent="0.25">
      <c r="A109" t="s">
        <v>827</v>
      </c>
      <c r="G109" t="s">
        <v>827</v>
      </c>
    </row>
    <row r="110" spans="1:7" x14ac:dyDescent="0.25">
      <c r="A110" t="s">
        <v>828</v>
      </c>
      <c r="G110" t="s">
        <v>828</v>
      </c>
    </row>
    <row r="111" spans="1:7" x14ac:dyDescent="0.25">
      <c r="A111" t="s">
        <v>829</v>
      </c>
      <c r="G111" t="s">
        <v>829</v>
      </c>
    </row>
    <row r="112" spans="1:7" x14ac:dyDescent="0.25">
      <c r="A112" t="s">
        <v>830</v>
      </c>
      <c r="G112" t="s">
        <v>830</v>
      </c>
    </row>
    <row r="113" spans="1:7" x14ac:dyDescent="0.25">
      <c r="A113" t="s">
        <v>831</v>
      </c>
      <c r="G113" t="s">
        <v>831</v>
      </c>
    </row>
    <row r="114" spans="1:7" x14ac:dyDescent="0.25">
      <c r="A114" t="s">
        <v>832</v>
      </c>
      <c r="B114">
        <v>0.45</v>
      </c>
      <c r="G114" t="s">
        <v>832</v>
      </c>
    </row>
    <row r="115" spans="1:7" x14ac:dyDescent="0.25">
      <c r="A115" t="s">
        <v>833</v>
      </c>
      <c r="G115" t="s">
        <v>833</v>
      </c>
    </row>
    <row r="116" spans="1:7" x14ac:dyDescent="0.25">
      <c r="A116" t="s">
        <v>834</v>
      </c>
      <c r="G116" t="s">
        <v>834</v>
      </c>
    </row>
    <row r="117" spans="1:7" x14ac:dyDescent="0.25">
      <c r="A117" t="s">
        <v>835</v>
      </c>
      <c r="G117" t="s">
        <v>835</v>
      </c>
    </row>
    <row r="118" spans="1:7" x14ac:dyDescent="0.25">
      <c r="A118" t="s">
        <v>836</v>
      </c>
      <c r="G118" t="s">
        <v>836</v>
      </c>
    </row>
    <row r="119" spans="1:7" x14ac:dyDescent="0.25">
      <c r="A119" t="s">
        <v>837</v>
      </c>
      <c r="G119" t="s">
        <v>837</v>
      </c>
    </row>
    <row r="120" spans="1:7" x14ac:dyDescent="0.25">
      <c r="A120" t="s">
        <v>838</v>
      </c>
      <c r="G120" t="s">
        <v>838</v>
      </c>
    </row>
    <row r="121" spans="1:7" x14ac:dyDescent="0.25">
      <c r="A121" t="s">
        <v>839</v>
      </c>
      <c r="G121" t="s">
        <v>839</v>
      </c>
    </row>
    <row r="122" spans="1:7" x14ac:dyDescent="0.25">
      <c r="A122" t="s">
        <v>840</v>
      </c>
      <c r="G122" t="s">
        <v>840</v>
      </c>
    </row>
    <row r="123" spans="1:7" x14ac:dyDescent="0.25">
      <c r="A123" t="s">
        <v>841</v>
      </c>
      <c r="G123" t="s">
        <v>841</v>
      </c>
    </row>
    <row r="124" spans="1:7" x14ac:dyDescent="0.25">
      <c r="A124" t="s">
        <v>842</v>
      </c>
      <c r="B124">
        <v>2</v>
      </c>
      <c r="G124" t="s">
        <v>842</v>
      </c>
    </row>
    <row r="125" spans="1:7" x14ac:dyDescent="0.25">
      <c r="A125" t="s">
        <v>843</v>
      </c>
      <c r="B125" t="s">
        <v>1038</v>
      </c>
      <c r="G125" t="s">
        <v>843</v>
      </c>
    </row>
    <row r="126" spans="1:7" x14ac:dyDescent="0.25">
      <c r="A126" t="s">
        <v>844</v>
      </c>
      <c r="B126" t="s">
        <v>1039</v>
      </c>
      <c r="G126" t="s">
        <v>844</v>
      </c>
    </row>
    <row r="127" spans="1:7" x14ac:dyDescent="0.25">
      <c r="A127" t="s">
        <v>845</v>
      </c>
      <c r="B127" t="s">
        <v>307</v>
      </c>
      <c r="G127" t="s">
        <v>845</v>
      </c>
    </row>
    <row r="128" spans="1:7" x14ac:dyDescent="0.25">
      <c r="A128" t="s">
        <v>846</v>
      </c>
      <c r="B128" t="s">
        <v>1092</v>
      </c>
      <c r="G128" t="s">
        <v>846</v>
      </c>
    </row>
    <row r="129" spans="1:7" x14ac:dyDescent="0.25">
      <c r="A129" t="s">
        <v>847</v>
      </c>
      <c r="B129">
        <v>35</v>
      </c>
      <c r="G129" t="s">
        <v>847</v>
      </c>
    </row>
    <row r="130" spans="1:7" x14ac:dyDescent="0.25">
      <c r="A130" t="s">
        <v>848</v>
      </c>
      <c r="B130" t="s">
        <v>315</v>
      </c>
      <c r="G130" t="s">
        <v>848</v>
      </c>
    </row>
    <row r="131" spans="1:7" x14ac:dyDescent="0.25">
      <c r="A131" t="s">
        <v>849</v>
      </c>
      <c r="B131">
        <v>0</v>
      </c>
      <c r="G131" t="s">
        <v>849</v>
      </c>
    </row>
    <row r="132" spans="1:7" x14ac:dyDescent="0.25">
      <c r="A132" t="s">
        <v>850</v>
      </c>
      <c r="B132">
        <v>16</v>
      </c>
      <c r="G132" t="s">
        <v>850</v>
      </c>
    </row>
    <row r="133" spans="1:7" x14ac:dyDescent="0.25">
      <c r="A133" t="s">
        <v>851</v>
      </c>
      <c r="B133">
        <v>12</v>
      </c>
      <c r="G133" t="s">
        <v>851</v>
      </c>
    </row>
    <row r="134" spans="1:7" x14ac:dyDescent="0.25">
      <c r="A134" t="s">
        <v>852</v>
      </c>
      <c r="B134">
        <v>21</v>
      </c>
      <c r="G134" t="s">
        <v>852</v>
      </c>
    </row>
    <row r="135" spans="1:7" x14ac:dyDescent="0.25">
      <c r="A135" t="s">
        <v>853</v>
      </c>
      <c r="B135">
        <v>0.5</v>
      </c>
      <c r="G135" t="s">
        <v>853</v>
      </c>
    </row>
    <row r="136" spans="1:7" x14ac:dyDescent="0.25">
      <c r="A136" t="s">
        <v>854</v>
      </c>
      <c r="B136">
        <v>2</v>
      </c>
      <c r="G136" t="s">
        <v>854</v>
      </c>
    </row>
    <row r="137" spans="1:7" x14ac:dyDescent="0.25">
      <c r="A137" t="s">
        <v>855</v>
      </c>
      <c r="B137">
        <v>65</v>
      </c>
      <c r="G137" t="s">
        <v>855</v>
      </c>
    </row>
    <row r="138" spans="1:7" x14ac:dyDescent="0.25">
      <c r="A138" t="s">
        <v>856</v>
      </c>
      <c r="B138" t="s">
        <v>1093</v>
      </c>
      <c r="G138" t="s">
        <v>856</v>
      </c>
    </row>
    <row r="139" spans="1:7" x14ac:dyDescent="0.25">
      <c r="A139" t="s">
        <v>857</v>
      </c>
      <c r="B139">
        <v>1</v>
      </c>
      <c r="G139" t="s">
        <v>857</v>
      </c>
    </row>
    <row r="140" spans="1:7" x14ac:dyDescent="0.25">
      <c r="A140" t="s">
        <v>858</v>
      </c>
      <c r="B140">
        <v>1</v>
      </c>
      <c r="G140" t="s">
        <v>858</v>
      </c>
    </row>
    <row r="141" spans="1:7" x14ac:dyDescent="0.25">
      <c r="A141" t="s">
        <v>859</v>
      </c>
      <c r="B141" t="s">
        <v>303</v>
      </c>
      <c r="G141" t="s">
        <v>859</v>
      </c>
    </row>
    <row r="142" spans="1:7" x14ac:dyDescent="0.25">
      <c r="A142" t="s">
        <v>860</v>
      </c>
      <c r="B142" t="s">
        <v>303</v>
      </c>
      <c r="G142" t="s">
        <v>860</v>
      </c>
    </row>
    <row r="143" spans="1:7" x14ac:dyDescent="0.25">
      <c r="A143" t="s">
        <v>861</v>
      </c>
      <c r="B143">
        <v>0</v>
      </c>
      <c r="G143" t="s">
        <v>861</v>
      </c>
    </row>
    <row r="144" spans="1:7" x14ac:dyDescent="0.25">
      <c r="A144" t="s">
        <v>862</v>
      </c>
      <c r="B144">
        <v>0</v>
      </c>
      <c r="G144" t="s">
        <v>862</v>
      </c>
    </row>
    <row r="145" spans="1:7" x14ac:dyDescent="0.25">
      <c r="A145" t="s">
        <v>863</v>
      </c>
      <c r="B145">
        <v>0</v>
      </c>
      <c r="G145" t="s">
        <v>863</v>
      </c>
    </row>
    <row r="146" spans="1:7" x14ac:dyDescent="0.25">
      <c r="A146" t="s">
        <v>864</v>
      </c>
      <c r="B146">
        <v>36</v>
      </c>
      <c r="G146" t="s">
        <v>864</v>
      </c>
    </row>
    <row r="147" spans="1:7" x14ac:dyDescent="0.25">
      <c r="A147" t="s">
        <v>865</v>
      </c>
      <c r="B147" t="s">
        <v>320</v>
      </c>
      <c r="G147" t="s">
        <v>865</v>
      </c>
    </row>
    <row r="148" spans="1:7" x14ac:dyDescent="0.25">
      <c r="A148" t="s">
        <v>866</v>
      </c>
      <c r="B148">
        <v>1</v>
      </c>
      <c r="G148" t="s">
        <v>866</v>
      </c>
    </row>
    <row r="149" spans="1:7" x14ac:dyDescent="0.25">
      <c r="A149" t="s">
        <v>867</v>
      </c>
      <c r="B149">
        <v>1</v>
      </c>
      <c r="G149" t="s">
        <v>867</v>
      </c>
    </row>
    <row r="150" spans="1:7" x14ac:dyDescent="0.25">
      <c r="A150" t="s">
        <v>868</v>
      </c>
      <c r="B150">
        <v>0</v>
      </c>
      <c r="G150" t="s">
        <v>868</v>
      </c>
    </row>
    <row r="151" spans="1:7" x14ac:dyDescent="0.25">
      <c r="A151" t="s">
        <v>869</v>
      </c>
      <c r="B151">
        <v>0</v>
      </c>
      <c r="G151" t="s">
        <v>869</v>
      </c>
    </row>
    <row r="152" spans="1:7" x14ac:dyDescent="0.25">
      <c r="A152" t="s">
        <v>870</v>
      </c>
      <c r="B152">
        <v>0</v>
      </c>
      <c r="G152" t="s">
        <v>870</v>
      </c>
    </row>
    <row r="153" spans="1:7" x14ac:dyDescent="0.25">
      <c r="A153" t="s">
        <v>871</v>
      </c>
      <c r="B153">
        <v>0</v>
      </c>
      <c r="G153" t="s">
        <v>871</v>
      </c>
    </row>
    <row r="154" spans="1:7" x14ac:dyDescent="0.25">
      <c r="A154" t="s">
        <v>872</v>
      </c>
      <c r="B154">
        <v>0</v>
      </c>
      <c r="G154" t="s">
        <v>872</v>
      </c>
    </row>
    <row r="155" spans="1:7" x14ac:dyDescent="0.25">
      <c r="A155" t="s">
        <v>873</v>
      </c>
      <c r="B155">
        <v>0</v>
      </c>
      <c r="G155" t="s">
        <v>873</v>
      </c>
    </row>
    <row r="156" spans="1:7" x14ac:dyDescent="0.25">
      <c r="A156" t="s">
        <v>874</v>
      </c>
      <c r="B156">
        <v>0</v>
      </c>
      <c r="G156" t="s">
        <v>874</v>
      </c>
    </row>
    <row r="157" spans="1:7" x14ac:dyDescent="0.25">
      <c r="A157" t="s">
        <v>875</v>
      </c>
      <c r="B157">
        <v>0</v>
      </c>
      <c r="G157" t="s">
        <v>875</v>
      </c>
    </row>
    <row r="158" spans="1:7" x14ac:dyDescent="0.25">
      <c r="A158" t="s">
        <v>876</v>
      </c>
      <c r="B158">
        <v>1</v>
      </c>
      <c r="G158" t="s">
        <v>876</v>
      </c>
    </row>
    <row r="159" spans="1:7" x14ac:dyDescent="0.25">
      <c r="A159" t="s">
        <v>877</v>
      </c>
      <c r="B159">
        <v>1</v>
      </c>
      <c r="G159" t="s">
        <v>877</v>
      </c>
    </row>
    <row r="160" spans="1:7" x14ac:dyDescent="0.25">
      <c r="A160" t="s">
        <v>878</v>
      </c>
      <c r="B160">
        <v>1</v>
      </c>
      <c r="G160" t="s">
        <v>878</v>
      </c>
    </row>
    <row r="161" spans="1:7" x14ac:dyDescent="0.25">
      <c r="A161" t="s">
        <v>879</v>
      </c>
      <c r="B161">
        <v>1</v>
      </c>
      <c r="G161" t="s">
        <v>879</v>
      </c>
    </row>
    <row r="162" spans="1:7" x14ac:dyDescent="0.25">
      <c r="A162" t="s">
        <v>880</v>
      </c>
      <c r="B162">
        <v>1</v>
      </c>
      <c r="G162" t="s">
        <v>880</v>
      </c>
    </row>
    <row r="163" spans="1:7" x14ac:dyDescent="0.25">
      <c r="A163" t="s">
        <v>881</v>
      </c>
      <c r="B163">
        <v>1</v>
      </c>
      <c r="G163" t="s">
        <v>881</v>
      </c>
    </row>
    <row r="164" spans="1:7" x14ac:dyDescent="0.25">
      <c r="A164" t="s">
        <v>882</v>
      </c>
      <c r="B164">
        <v>1</v>
      </c>
      <c r="G164" t="s">
        <v>882</v>
      </c>
    </row>
    <row r="165" spans="1:7" x14ac:dyDescent="0.25">
      <c r="A165" t="s">
        <v>883</v>
      </c>
      <c r="B165">
        <v>1</v>
      </c>
      <c r="G165" t="s">
        <v>883</v>
      </c>
    </row>
    <row r="166" spans="1:7" x14ac:dyDescent="0.25">
      <c r="A166" t="s">
        <v>884</v>
      </c>
      <c r="B166">
        <v>1</v>
      </c>
      <c r="G166" t="s">
        <v>884</v>
      </c>
    </row>
    <row r="167" spans="1:7" x14ac:dyDescent="0.25">
      <c r="A167" t="s">
        <v>885</v>
      </c>
      <c r="B167">
        <v>1</v>
      </c>
      <c r="G167" t="s">
        <v>885</v>
      </c>
    </row>
    <row r="168" spans="1:7" x14ac:dyDescent="0.25">
      <c r="A168" t="s">
        <v>886</v>
      </c>
      <c r="B168">
        <v>1</v>
      </c>
      <c r="G168" t="s">
        <v>886</v>
      </c>
    </row>
    <row r="169" spans="1:7" x14ac:dyDescent="0.25">
      <c r="A169" t="s">
        <v>887</v>
      </c>
      <c r="B169">
        <v>1</v>
      </c>
      <c r="G169" t="s">
        <v>887</v>
      </c>
    </row>
    <row r="170" spans="1:7" x14ac:dyDescent="0.25">
      <c r="A170" t="s">
        <v>888</v>
      </c>
      <c r="B170">
        <v>1</v>
      </c>
      <c r="G170" t="s">
        <v>888</v>
      </c>
    </row>
    <row r="171" spans="1:7" x14ac:dyDescent="0.25">
      <c r="A171" t="s">
        <v>889</v>
      </c>
      <c r="B171">
        <v>1</v>
      </c>
      <c r="G171" t="s">
        <v>889</v>
      </c>
    </row>
    <row r="172" spans="1:7" x14ac:dyDescent="0.25">
      <c r="A172" t="s">
        <v>890</v>
      </c>
      <c r="B172">
        <v>1</v>
      </c>
      <c r="G172" t="s">
        <v>890</v>
      </c>
    </row>
    <row r="173" spans="1:7" x14ac:dyDescent="0.25">
      <c r="A173" t="s">
        <v>891</v>
      </c>
      <c r="B173">
        <v>1</v>
      </c>
      <c r="G173" t="s">
        <v>891</v>
      </c>
    </row>
    <row r="174" spans="1:7" x14ac:dyDescent="0.25">
      <c r="A174" t="s">
        <v>892</v>
      </c>
      <c r="B174">
        <v>1</v>
      </c>
      <c r="G174" t="s">
        <v>892</v>
      </c>
    </row>
    <row r="175" spans="1:7" x14ac:dyDescent="0.25">
      <c r="A175" t="s">
        <v>893</v>
      </c>
      <c r="B175">
        <v>1</v>
      </c>
      <c r="G175" t="s">
        <v>893</v>
      </c>
    </row>
    <row r="176" spans="1:7" x14ac:dyDescent="0.25">
      <c r="A176" t="s">
        <v>894</v>
      </c>
      <c r="B176">
        <v>1</v>
      </c>
      <c r="G176" t="s">
        <v>894</v>
      </c>
    </row>
    <row r="177" spans="1:7" x14ac:dyDescent="0.25">
      <c r="A177" t="s">
        <v>895</v>
      </c>
      <c r="B177">
        <v>1</v>
      </c>
      <c r="G177" t="s">
        <v>895</v>
      </c>
    </row>
    <row r="178" spans="1:7" x14ac:dyDescent="0.25">
      <c r="A178" t="s">
        <v>896</v>
      </c>
      <c r="B178">
        <v>1</v>
      </c>
      <c r="G178" t="s">
        <v>896</v>
      </c>
    </row>
    <row r="179" spans="1:7" x14ac:dyDescent="0.25">
      <c r="A179" t="s">
        <v>897</v>
      </c>
      <c r="B179">
        <v>1</v>
      </c>
      <c r="G179" t="s">
        <v>897</v>
      </c>
    </row>
    <row r="180" spans="1:7" x14ac:dyDescent="0.25">
      <c r="A180" t="s">
        <v>898</v>
      </c>
      <c r="B180">
        <v>1</v>
      </c>
      <c r="G180" t="s">
        <v>898</v>
      </c>
    </row>
    <row r="181" spans="1:7" x14ac:dyDescent="0.25">
      <c r="A181" t="s">
        <v>899</v>
      </c>
      <c r="B181">
        <v>0.5</v>
      </c>
      <c r="G181" t="s">
        <v>899</v>
      </c>
    </row>
    <row r="182" spans="1:7" x14ac:dyDescent="0.25">
      <c r="A182" t="s">
        <v>900</v>
      </c>
      <c r="B182">
        <v>0.85</v>
      </c>
      <c r="G182" t="s">
        <v>900</v>
      </c>
    </row>
    <row r="183" spans="1:7" x14ac:dyDescent="0.25">
      <c r="A183" t="s">
        <v>901</v>
      </c>
      <c r="B183">
        <v>1</v>
      </c>
      <c r="G183" t="s">
        <v>901</v>
      </c>
    </row>
    <row r="184" spans="1:7" x14ac:dyDescent="0.25">
      <c r="A184" t="s">
        <v>902</v>
      </c>
      <c r="B184">
        <v>0.5</v>
      </c>
      <c r="G184" t="s">
        <v>902</v>
      </c>
    </row>
    <row r="185" spans="1:7" x14ac:dyDescent="0.25">
      <c r="A185" t="s">
        <v>903</v>
      </c>
      <c r="B185">
        <v>0.85</v>
      </c>
      <c r="G185" t="s">
        <v>903</v>
      </c>
    </row>
    <row r="186" spans="1:7" x14ac:dyDescent="0.25">
      <c r="A186" t="s">
        <v>904</v>
      </c>
      <c r="B186">
        <v>1</v>
      </c>
      <c r="G186" t="s">
        <v>904</v>
      </c>
    </row>
    <row r="187" spans="1:7" x14ac:dyDescent="0.25">
      <c r="A187" t="s">
        <v>905</v>
      </c>
      <c r="B187" t="s">
        <v>1094</v>
      </c>
      <c r="G187" t="s">
        <v>905</v>
      </c>
    </row>
    <row r="188" spans="1:7" x14ac:dyDescent="0.25">
      <c r="A188" t="s">
        <v>906</v>
      </c>
      <c r="B188" t="s">
        <v>1094</v>
      </c>
      <c r="G188" t="s">
        <v>906</v>
      </c>
    </row>
    <row r="189" spans="1:7" x14ac:dyDescent="0.25">
      <c r="A189" t="s">
        <v>907</v>
      </c>
      <c r="B189">
        <v>36</v>
      </c>
      <c r="G189" t="s">
        <v>907</v>
      </c>
    </row>
    <row r="190" spans="1:7" x14ac:dyDescent="0.25">
      <c r="A190" t="s">
        <v>908</v>
      </c>
      <c r="B190">
        <v>36</v>
      </c>
      <c r="G190" t="s">
        <v>908</v>
      </c>
    </row>
    <row r="191" spans="1:7" x14ac:dyDescent="0.25">
      <c r="A191" t="s">
        <v>909</v>
      </c>
      <c r="B191">
        <v>36</v>
      </c>
      <c r="G191" t="s">
        <v>909</v>
      </c>
    </row>
    <row r="192" spans="1:7" x14ac:dyDescent="0.25">
      <c r="A192" t="s">
        <v>910</v>
      </c>
      <c r="B192">
        <v>36</v>
      </c>
      <c r="G192" t="s">
        <v>910</v>
      </c>
    </row>
    <row r="193" spans="1:7" x14ac:dyDescent="0.25">
      <c r="A193" t="s">
        <v>911</v>
      </c>
      <c r="B193">
        <v>0</v>
      </c>
      <c r="G193" t="s">
        <v>911</v>
      </c>
    </row>
    <row r="194" spans="1:7" x14ac:dyDescent="0.25">
      <c r="A194" t="s">
        <v>912</v>
      </c>
      <c r="B194">
        <v>1</v>
      </c>
      <c r="G194" t="s">
        <v>912</v>
      </c>
    </row>
    <row r="195" spans="1:7" x14ac:dyDescent="0.25">
      <c r="A195" t="s">
        <v>913</v>
      </c>
      <c r="B195">
        <v>0</v>
      </c>
      <c r="G195" t="s">
        <v>913</v>
      </c>
    </row>
    <row r="196" spans="1:7" x14ac:dyDescent="0.25">
      <c r="A196" t="s">
        <v>914</v>
      </c>
      <c r="B196">
        <v>0</v>
      </c>
      <c r="G196" t="s">
        <v>914</v>
      </c>
    </row>
    <row r="197" spans="1:7" x14ac:dyDescent="0.25">
      <c r="A197" t="s">
        <v>915</v>
      </c>
      <c r="B197">
        <v>0</v>
      </c>
      <c r="G197" t="s">
        <v>915</v>
      </c>
    </row>
    <row r="198" spans="1:7" x14ac:dyDescent="0.25">
      <c r="A198" t="s">
        <v>916</v>
      </c>
      <c r="B198">
        <v>0</v>
      </c>
      <c r="G198" t="s">
        <v>916</v>
      </c>
    </row>
    <row r="199" spans="1:7" x14ac:dyDescent="0.25">
      <c r="A199" t="s">
        <v>970</v>
      </c>
      <c r="B199">
        <v>0</v>
      </c>
      <c r="G199" t="s">
        <v>970</v>
      </c>
    </row>
    <row r="200" spans="1:7" x14ac:dyDescent="0.25">
      <c r="A200" t="s">
        <v>919</v>
      </c>
      <c r="B200">
        <v>0</v>
      </c>
      <c r="G200" t="s">
        <v>919</v>
      </c>
    </row>
    <row r="201" spans="1:7" x14ac:dyDescent="0.25">
      <c r="A201" t="s">
        <v>920</v>
      </c>
      <c r="B201">
        <v>0.75</v>
      </c>
      <c r="G201" t="s">
        <v>920</v>
      </c>
    </row>
    <row r="202" spans="1:7" x14ac:dyDescent="0.25">
      <c r="A202" t="s">
        <v>921</v>
      </c>
      <c r="B202">
        <v>0.75</v>
      </c>
      <c r="G202" t="s">
        <v>921</v>
      </c>
    </row>
    <row r="203" spans="1:7" x14ac:dyDescent="0.25">
      <c r="A203" t="s">
        <v>922</v>
      </c>
      <c r="B203">
        <v>0.75</v>
      </c>
      <c r="G203" t="s">
        <v>922</v>
      </c>
    </row>
    <row r="204" spans="1:7" x14ac:dyDescent="0.25">
      <c r="A204" t="s">
        <v>923</v>
      </c>
      <c r="B204">
        <v>0.75</v>
      </c>
      <c r="G204" t="s">
        <v>923</v>
      </c>
    </row>
    <row r="205" spans="1:7" x14ac:dyDescent="0.25">
      <c r="A205" t="s">
        <v>924</v>
      </c>
      <c r="B205">
        <v>0.75</v>
      </c>
      <c r="G205" t="s">
        <v>924</v>
      </c>
    </row>
    <row r="206" spans="1:7" x14ac:dyDescent="0.25">
      <c r="A206" t="s">
        <v>925</v>
      </c>
      <c r="B206">
        <v>0.75</v>
      </c>
      <c r="G206" t="s">
        <v>925</v>
      </c>
    </row>
    <row r="207" spans="1:7" x14ac:dyDescent="0.25">
      <c r="A207" t="s">
        <v>926</v>
      </c>
      <c r="B207" t="s">
        <v>537</v>
      </c>
      <c r="G207" t="s">
        <v>926</v>
      </c>
    </row>
    <row r="208" spans="1:7" x14ac:dyDescent="0.25">
      <c r="A208" t="s">
        <v>927</v>
      </c>
      <c r="B208">
        <v>0</v>
      </c>
      <c r="G208" t="s">
        <v>927</v>
      </c>
    </row>
    <row r="209" spans="1:7" x14ac:dyDescent="0.25">
      <c r="A209" t="s">
        <v>928</v>
      </c>
      <c r="B209">
        <v>0</v>
      </c>
      <c r="G209" t="s">
        <v>928</v>
      </c>
    </row>
    <row r="210" spans="1:7" x14ac:dyDescent="0.25">
      <c r="A210" t="s">
        <v>929</v>
      </c>
      <c r="B210">
        <v>0</v>
      </c>
      <c r="G210" t="s">
        <v>929</v>
      </c>
    </row>
    <row r="211" spans="1:7" x14ac:dyDescent="0.25">
      <c r="A211" t="s">
        <v>930</v>
      </c>
      <c r="B211">
        <v>0</v>
      </c>
      <c r="G211" t="s">
        <v>930</v>
      </c>
    </row>
    <row r="212" spans="1:7" x14ac:dyDescent="0.25">
      <c r="A212" t="s">
        <v>931</v>
      </c>
      <c r="B212">
        <v>0</v>
      </c>
      <c r="G212" t="s">
        <v>931</v>
      </c>
    </row>
    <row r="213" spans="1:7" x14ac:dyDescent="0.25">
      <c r="A213" t="s">
        <v>932</v>
      </c>
      <c r="B213">
        <v>0</v>
      </c>
      <c r="G213" t="s">
        <v>932</v>
      </c>
    </row>
    <row r="214" spans="1:7" x14ac:dyDescent="0.25">
      <c r="A214" t="s">
        <v>933</v>
      </c>
      <c r="B214">
        <v>0</v>
      </c>
      <c r="G214" t="s">
        <v>933</v>
      </c>
    </row>
    <row r="215" spans="1:7" x14ac:dyDescent="0.25">
      <c r="A215" t="s">
        <v>934</v>
      </c>
      <c r="B215" t="s">
        <v>551</v>
      </c>
      <c r="G215" t="s">
        <v>934</v>
      </c>
    </row>
    <row r="216" spans="1:7" x14ac:dyDescent="0.25">
      <c r="A216" t="s">
        <v>935</v>
      </c>
      <c r="B216">
        <v>0.75</v>
      </c>
      <c r="G216" t="s">
        <v>935</v>
      </c>
    </row>
    <row r="217" spans="1:7" x14ac:dyDescent="0.25">
      <c r="A217" t="s">
        <v>936</v>
      </c>
      <c r="B217" t="s">
        <v>551</v>
      </c>
      <c r="G217" t="s">
        <v>936</v>
      </c>
    </row>
    <row r="218" spans="1:7" x14ac:dyDescent="0.25">
      <c r="A218" t="s">
        <v>937</v>
      </c>
      <c r="B218">
        <v>0.625</v>
      </c>
      <c r="G218" t="s">
        <v>937</v>
      </c>
    </row>
    <row r="219" spans="1:7" x14ac:dyDescent="0.25">
      <c r="A219" t="s">
        <v>938</v>
      </c>
      <c r="B219" t="s">
        <v>551</v>
      </c>
      <c r="G219" t="s">
        <v>938</v>
      </c>
    </row>
    <row r="220" spans="1:7" x14ac:dyDescent="0.25">
      <c r="A220" t="s">
        <v>939</v>
      </c>
      <c r="B220">
        <v>0.625</v>
      </c>
      <c r="G220" t="s">
        <v>939</v>
      </c>
    </row>
    <row r="221" spans="1:7" x14ac:dyDescent="0.25">
      <c r="A221" t="s">
        <v>940</v>
      </c>
      <c r="B221" t="s">
        <v>551</v>
      </c>
      <c r="G221" t="s">
        <v>940</v>
      </c>
    </row>
    <row r="222" spans="1:7" x14ac:dyDescent="0.25">
      <c r="A222" t="s">
        <v>941</v>
      </c>
      <c r="B222">
        <v>0.625</v>
      </c>
      <c r="G222" t="s">
        <v>941</v>
      </c>
    </row>
    <row r="223" spans="1:7" x14ac:dyDescent="0.25">
      <c r="A223" t="s">
        <v>942</v>
      </c>
      <c r="B223" t="s">
        <v>551</v>
      </c>
      <c r="G223" t="s">
        <v>942</v>
      </c>
    </row>
    <row r="224" spans="1:7" x14ac:dyDescent="0.25">
      <c r="A224" t="s">
        <v>943</v>
      </c>
      <c r="B224">
        <v>0.625</v>
      </c>
      <c r="G224" t="s">
        <v>943</v>
      </c>
    </row>
    <row r="225" spans="1:7" x14ac:dyDescent="0.25">
      <c r="A225" t="s">
        <v>944</v>
      </c>
      <c r="B225" t="s">
        <v>551</v>
      </c>
      <c r="G225" t="s">
        <v>944</v>
      </c>
    </row>
    <row r="226" spans="1:7" x14ac:dyDescent="0.25">
      <c r="A226" t="s">
        <v>945</v>
      </c>
      <c r="B226">
        <v>0.625</v>
      </c>
      <c r="G226" t="s">
        <v>945</v>
      </c>
    </row>
    <row r="227" spans="1:7" x14ac:dyDescent="0.25">
      <c r="A227" t="s">
        <v>946</v>
      </c>
      <c r="B227" t="s">
        <v>551</v>
      </c>
      <c r="G227" t="s">
        <v>946</v>
      </c>
    </row>
    <row r="228" spans="1:7" x14ac:dyDescent="0.25">
      <c r="A228" t="s">
        <v>947</v>
      </c>
      <c r="B228">
        <v>0.625</v>
      </c>
      <c r="G228" t="s">
        <v>947</v>
      </c>
    </row>
    <row r="229" spans="1:7" x14ac:dyDescent="0.25">
      <c r="A229" t="s">
        <v>948</v>
      </c>
      <c r="B229">
        <v>0</v>
      </c>
      <c r="G229" t="s">
        <v>948</v>
      </c>
    </row>
    <row r="230" spans="1:7" x14ac:dyDescent="0.25">
      <c r="A230" t="s">
        <v>949</v>
      </c>
      <c r="B230">
        <v>0</v>
      </c>
      <c r="G230" t="s">
        <v>949</v>
      </c>
    </row>
    <row r="231" spans="1:7" x14ac:dyDescent="0.25">
      <c r="A231" t="s">
        <v>950</v>
      </c>
      <c r="B231">
        <v>0</v>
      </c>
      <c r="G231" t="s">
        <v>950</v>
      </c>
    </row>
    <row r="232" spans="1:7" x14ac:dyDescent="0.25">
      <c r="A232" t="s">
        <v>951</v>
      </c>
      <c r="B232">
        <v>0</v>
      </c>
      <c r="G232" t="s">
        <v>951</v>
      </c>
    </row>
    <row r="233" spans="1:7" x14ac:dyDescent="0.25">
      <c r="A233" t="s">
        <v>952</v>
      </c>
      <c r="B233">
        <v>0</v>
      </c>
      <c r="G233" t="s">
        <v>952</v>
      </c>
    </row>
    <row r="234" spans="1:7" x14ac:dyDescent="0.25">
      <c r="A234" t="s">
        <v>953</v>
      </c>
      <c r="B234">
        <v>0</v>
      </c>
      <c r="G234" t="s">
        <v>953</v>
      </c>
    </row>
    <row r="235" spans="1:7" x14ac:dyDescent="0.25">
      <c r="A235" t="s">
        <v>954</v>
      </c>
      <c r="B235">
        <v>0</v>
      </c>
      <c r="G235" t="s">
        <v>954</v>
      </c>
    </row>
    <row r="236" spans="1:7" x14ac:dyDescent="0.25">
      <c r="A236" t="s">
        <v>955</v>
      </c>
      <c r="B236">
        <v>0</v>
      </c>
      <c r="G236" t="s">
        <v>955</v>
      </c>
    </row>
    <row r="237" spans="1:7" x14ac:dyDescent="0.25">
      <c r="A237" t="s">
        <v>956</v>
      </c>
      <c r="B237">
        <v>0</v>
      </c>
      <c r="G237" t="s">
        <v>956</v>
      </c>
    </row>
    <row r="238" spans="1:7" x14ac:dyDescent="0.25">
      <c r="A238" t="s">
        <v>957</v>
      </c>
      <c r="B238">
        <v>0</v>
      </c>
      <c r="G238" t="s">
        <v>957</v>
      </c>
    </row>
    <row r="239" spans="1:7" x14ac:dyDescent="0.25">
      <c r="A239" t="s">
        <v>958</v>
      </c>
      <c r="B239">
        <v>0</v>
      </c>
      <c r="G239" t="s">
        <v>958</v>
      </c>
    </row>
    <row r="240" spans="1:7" x14ac:dyDescent="0.25">
      <c r="A240" t="s">
        <v>959</v>
      </c>
      <c r="B240">
        <v>0</v>
      </c>
      <c r="G240" t="s">
        <v>959</v>
      </c>
    </row>
    <row r="241" spans="1:7" x14ac:dyDescent="0.25">
      <c r="A241" t="s">
        <v>960</v>
      </c>
      <c r="B241">
        <v>0</v>
      </c>
      <c r="G241" t="s">
        <v>960</v>
      </c>
    </row>
    <row r="242" spans="1:7" x14ac:dyDescent="0.25">
      <c r="A242" t="s">
        <v>1095</v>
      </c>
      <c r="B242" t="s">
        <v>551</v>
      </c>
      <c r="G242" t="s">
        <v>1095</v>
      </c>
    </row>
    <row r="243" spans="1:7" x14ac:dyDescent="0.25">
      <c r="A243" t="s">
        <v>1096</v>
      </c>
      <c r="B243">
        <v>0.625</v>
      </c>
      <c r="G243" t="s">
        <v>1096</v>
      </c>
    </row>
    <row r="244" spans="1:7" x14ac:dyDescent="0.25">
      <c r="A244" t="s">
        <v>1097</v>
      </c>
      <c r="B244">
        <v>0</v>
      </c>
      <c r="G244" t="s">
        <v>1097</v>
      </c>
    </row>
    <row r="245" spans="1:7" x14ac:dyDescent="0.25">
      <c r="A245" t="s">
        <v>1098</v>
      </c>
      <c r="B245">
        <v>0</v>
      </c>
      <c r="G245" t="s">
        <v>1098</v>
      </c>
    </row>
    <row r="246" spans="1:7" x14ac:dyDescent="0.25">
      <c r="A246" t="s">
        <v>1099</v>
      </c>
      <c r="B246">
        <v>0</v>
      </c>
      <c r="G246" t="s">
        <v>1099</v>
      </c>
    </row>
    <row r="247" spans="1:7" x14ac:dyDescent="0.25">
      <c r="A247" t="s">
        <v>1100</v>
      </c>
      <c r="B247">
        <v>0</v>
      </c>
      <c r="G247" t="s">
        <v>1100</v>
      </c>
    </row>
    <row r="248" spans="1:7" x14ac:dyDescent="0.25">
      <c r="A248" t="s">
        <v>1101</v>
      </c>
      <c r="B248">
        <v>0.75</v>
      </c>
      <c r="G248" t="s">
        <v>1101</v>
      </c>
    </row>
    <row r="249" spans="1:7" x14ac:dyDescent="0.25">
      <c r="A249" t="s">
        <v>1102</v>
      </c>
      <c r="B249" t="s">
        <v>551</v>
      </c>
      <c r="G249" t="s">
        <v>1102</v>
      </c>
    </row>
    <row r="250" spans="1:7" x14ac:dyDescent="0.25">
      <c r="A250" t="s">
        <v>1103</v>
      </c>
      <c r="B250">
        <v>0.625</v>
      </c>
      <c r="G250" t="s">
        <v>1103</v>
      </c>
    </row>
    <row r="251" spans="1:7" x14ac:dyDescent="0.25">
      <c r="A251" t="s">
        <v>1104</v>
      </c>
      <c r="B251">
        <v>0</v>
      </c>
      <c r="G251" t="s">
        <v>1104</v>
      </c>
    </row>
    <row r="252" spans="1:7" x14ac:dyDescent="0.25">
      <c r="A252" t="s">
        <v>1105</v>
      </c>
      <c r="B252">
        <v>0</v>
      </c>
      <c r="G252" t="s">
        <v>1105</v>
      </c>
    </row>
    <row r="253" spans="1:7" x14ac:dyDescent="0.25">
      <c r="A253" t="s">
        <v>1106</v>
      </c>
      <c r="B253">
        <v>0</v>
      </c>
      <c r="G253" t="s">
        <v>1106</v>
      </c>
    </row>
    <row r="254" spans="1:7" x14ac:dyDescent="0.25">
      <c r="A254" t="s">
        <v>1107</v>
      </c>
      <c r="B254">
        <v>0</v>
      </c>
      <c r="G254" t="s">
        <v>1107</v>
      </c>
    </row>
    <row r="255" spans="1:7" x14ac:dyDescent="0.25">
      <c r="A255" t="s">
        <v>1108</v>
      </c>
      <c r="B255">
        <v>0.75</v>
      </c>
      <c r="G255" t="s">
        <v>1108</v>
      </c>
    </row>
    <row r="256" spans="1:7" x14ac:dyDescent="0.25">
      <c r="A256" t="s">
        <v>1109</v>
      </c>
      <c r="B256" t="s">
        <v>551</v>
      </c>
      <c r="G256" t="s">
        <v>1109</v>
      </c>
    </row>
    <row r="257" spans="1:7" x14ac:dyDescent="0.25">
      <c r="A257" t="s">
        <v>1110</v>
      </c>
      <c r="B257">
        <v>0.625</v>
      </c>
      <c r="G257" t="s">
        <v>1110</v>
      </c>
    </row>
    <row r="258" spans="1:7" x14ac:dyDescent="0.25">
      <c r="A258" t="s">
        <v>1111</v>
      </c>
      <c r="B258">
        <v>0</v>
      </c>
      <c r="G258" t="s">
        <v>1111</v>
      </c>
    </row>
    <row r="259" spans="1:7" x14ac:dyDescent="0.25">
      <c r="A259" t="s">
        <v>1112</v>
      </c>
      <c r="B259">
        <v>0</v>
      </c>
      <c r="G259" t="s">
        <v>1112</v>
      </c>
    </row>
    <row r="260" spans="1:7" x14ac:dyDescent="0.25">
      <c r="A260" t="s">
        <v>1113</v>
      </c>
      <c r="B260">
        <v>0</v>
      </c>
      <c r="G260" t="s">
        <v>1113</v>
      </c>
    </row>
    <row r="261" spans="1:7" x14ac:dyDescent="0.25">
      <c r="A261" t="s">
        <v>1114</v>
      </c>
      <c r="B261">
        <v>0</v>
      </c>
      <c r="G261" t="s">
        <v>1114</v>
      </c>
    </row>
    <row r="262" spans="1:7" x14ac:dyDescent="0.25">
      <c r="A262" t="s">
        <v>1115</v>
      </c>
      <c r="B262">
        <v>0.75</v>
      </c>
      <c r="G262" t="s">
        <v>1115</v>
      </c>
    </row>
    <row r="263" spans="1:7" x14ac:dyDescent="0.25">
      <c r="A263" t="s">
        <v>1116</v>
      </c>
      <c r="B263" t="s">
        <v>551</v>
      </c>
      <c r="G263" t="s">
        <v>1116</v>
      </c>
    </row>
    <row r="264" spans="1:7" x14ac:dyDescent="0.25">
      <c r="A264" t="s">
        <v>1117</v>
      </c>
      <c r="B264">
        <v>0.625</v>
      </c>
      <c r="G264" t="s">
        <v>1117</v>
      </c>
    </row>
    <row r="265" spans="1:7" x14ac:dyDescent="0.25">
      <c r="A265" t="s">
        <v>1118</v>
      </c>
      <c r="B265">
        <v>0</v>
      </c>
      <c r="G265" t="s">
        <v>1118</v>
      </c>
    </row>
    <row r="266" spans="1:7" x14ac:dyDescent="0.25">
      <c r="A266" t="s">
        <v>1119</v>
      </c>
      <c r="B266">
        <v>0</v>
      </c>
      <c r="G266" t="s">
        <v>1119</v>
      </c>
    </row>
    <row r="267" spans="1:7" x14ac:dyDescent="0.25">
      <c r="A267" t="s">
        <v>1120</v>
      </c>
      <c r="B267">
        <v>0</v>
      </c>
      <c r="G267" t="s">
        <v>1120</v>
      </c>
    </row>
    <row r="268" spans="1:7" x14ac:dyDescent="0.25">
      <c r="A268" t="s">
        <v>1121</v>
      </c>
      <c r="B268">
        <v>0</v>
      </c>
      <c r="G268" t="s">
        <v>1121</v>
      </c>
    </row>
    <row r="269" spans="1:7" x14ac:dyDescent="0.25">
      <c r="A269" t="s">
        <v>1122</v>
      </c>
      <c r="B269">
        <v>0.75</v>
      </c>
      <c r="G269" t="s">
        <v>1122</v>
      </c>
    </row>
    <row r="270" spans="1:7" x14ac:dyDescent="0.25">
      <c r="A270" t="s">
        <v>1123</v>
      </c>
      <c r="B270" t="s">
        <v>551</v>
      </c>
      <c r="G270" t="s">
        <v>1123</v>
      </c>
    </row>
    <row r="271" spans="1:7" x14ac:dyDescent="0.25">
      <c r="A271" t="s">
        <v>1124</v>
      </c>
      <c r="B271">
        <v>0.625</v>
      </c>
      <c r="G271" t="s">
        <v>1124</v>
      </c>
    </row>
    <row r="272" spans="1:7" x14ac:dyDescent="0.25">
      <c r="A272" t="s">
        <v>1125</v>
      </c>
      <c r="B272">
        <v>0</v>
      </c>
      <c r="G272" t="s">
        <v>1125</v>
      </c>
    </row>
    <row r="273" spans="1:7" x14ac:dyDescent="0.25">
      <c r="A273" t="s">
        <v>1126</v>
      </c>
      <c r="B273">
        <v>0</v>
      </c>
      <c r="G273" t="s">
        <v>1126</v>
      </c>
    </row>
    <row r="274" spans="1:7" x14ac:dyDescent="0.25">
      <c r="A274" t="s">
        <v>1127</v>
      </c>
      <c r="B274">
        <v>0</v>
      </c>
      <c r="G274" t="s">
        <v>1127</v>
      </c>
    </row>
    <row r="275" spans="1:7" x14ac:dyDescent="0.25">
      <c r="A275" t="s">
        <v>1128</v>
      </c>
      <c r="B275">
        <v>0</v>
      </c>
      <c r="G275" t="s">
        <v>1128</v>
      </c>
    </row>
    <row r="276" spans="1:7" x14ac:dyDescent="0.25">
      <c r="A276" t="s">
        <v>1129</v>
      </c>
      <c r="B276">
        <v>0.75</v>
      </c>
      <c r="G276" t="s">
        <v>1129</v>
      </c>
    </row>
    <row r="277" spans="1:7" x14ac:dyDescent="0.25">
      <c r="A277" t="s">
        <v>1130</v>
      </c>
      <c r="B277" t="s">
        <v>551</v>
      </c>
      <c r="G277" t="s">
        <v>1130</v>
      </c>
    </row>
    <row r="278" spans="1:7" x14ac:dyDescent="0.25">
      <c r="A278" t="s">
        <v>1131</v>
      </c>
      <c r="B278">
        <v>0.625</v>
      </c>
      <c r="G278" t="s">
        <v>1131</v>
      </c>
    </row>
    <row r="279" spans="1:7" x14ac:dyDescent="0.25">
      <c r="A279" t="s">
        <v>1132</v>
      </c>
      <c r="B279">
        <v>0</v>
      </c>
      <c r="G279" t="s">
        <v>1132</v>
      </c>
    </row>
    <row r="280" spans="1:7" x14ac:dyDescent="0.25">
      <c r="A280" t="s">
        <v>1133</v>
      </c>
      <c r="B280">
        <v>0</v>
      </c>
      <c r="G280" t="s">
        <v>1133</v>
      </c>
    </row>
    <row r="281" spans="1:7" x14ac:dyDescent="0.25">
      <c r="A281" t="s">
        <v>1134</v>
      </c>
      <c r="B281">
        <v>0</v>
      </c>
      <c r="G281" t="s">
        <v>1134</v>
      </c>
    </row>
    <row r="282" spans="1:7" x14ac:dyDescent="0.25">
      <c r="A282" t="s">
        <v>1135</v>
      </c>
      <c r="B282">
        <v>0</v>
      </c>
      <c r="G282" t="s">
        <v>1135</v>
      </c>
    </row>
    <row r="283" spans="1:7" x14ac:dyDescent="0.25">
      <c r="A283" t="s">
        <v>1136</v>
      </c>
      <c r="B283">
        <v>0.75</v>
      </c>
      <c r="G283" t="s">
        <v>1136</v>
      </c>
    </row>
    <row r="284" spans="1:7" x14ac:dyDescent="0.25">
      <c r="A284" t="s">
        <v>1137</v>
      </c>
      <c r="B284" t="s">
        <v>551</v>
      </c>
      <c r="G284" t="s">
        <v>1137</v>
      </c>
    </row>
    <row r="285" spans="1:7" x14ac:dyDescent="0.25">
      <c r="A285" t="s">
        <v>1138</v>
      </c>
      <c r="B285">
        <v>0.625</v>
      </c>
      <c r="G285" t="s">
        <v>1138</v>
      </c>
    </row>
    <row r="286" spans="1:7" x14ac:dyDescent="0.25">
      <c r="A286" t="s">
        <v>1139</v>
      </c>
      <c r="B286">
        <v>0</v>
      </c>
      <c r="G286" t="s">
        <v>1139</v>
      </c>
    </row>
    <row r="287" spans="1:7" x14ac:dyDescent="0.25">
      <c r="A287" t="s">
        <v>1140</v>
      </c>
      <c r="B287">
        <v>0</v>
      </c>
      <c r="G287" t="s">
        <v>1140</v>
      </c>
    </row>
    <row r="288" spans="1:7" x14ac:dyDescent="0.25">
      <c r="A288" t="s">
        <v>1141</v>
      </c>
      <c r="B288">
        <v>0</v>
      </c>
      <c r="G288" t="s">
        <v>1141</v>
      </c>
    </row>
    <row r="289" spans="1:7" x14ac:dyDescent="0.25">
      <c r="A289" t="s">
        <v>1142</v>
      </c>
      <c r="B289">
        <v>0</v>
      </c>
      <c r="G289" t="s">
        <v>1142</v>
      </c>
    </row>
    <row r="290" spans="1:7" x14ac:dyDescent="0.25">
      <c r="A290" t="s">
        <v>1143</v>
      </c>
      <c r="B290">
        <v>0.75</v>
      </c>
      <c r="G290" t="s">
        <v>1143</v>
      </c>
    </row>
    <row r="291" spans="1:7" x14ac:dyDescent="0.25">
      <c r="A291" t="s">
        <v>1144</v>
      </c>
      <c r="B291" t="s">
        <v>551</v>
      </c>
      <c r="G291" t="s">
        <v>1144</v>
      </c>
    </row>
    <row r="292" spans="1:7" x14ac:dyDescent="0.25">
      <c r="A292" t="s">
        <v>1145</v>
      </c>
      <c r="B292">
        <v>0.625</v>
      </c>
      <c r="G292" t="s">
        <v>1145</v>
      </c>
    </row>
    <row r="293" spans="1:7" x14ac:dyDescent="0.25">
      <c r="A293" t="s">
        <v>1146</v>
      </c>
      <c r="B293">
        <v>0</v>
      </c>
      <c r="G293" t="s">
        <v>1146</v>
      </c>
    </row>
    <row r="294" spans="1:7" x14ac:dyDescent="0.25">
      <c r="A294" t="s">
        <v>1147</v>
      </c>
      <c r="B294">
        <v>0</v>
      </c>
      <c r="G294" t="s">
        <v>1147</v>
      </c>
    </row>
    <row r="295" spans="1:7" x14ac:dyDescent="0.25">
      <c r="A295" t="s">
        <v>1148</v>
      </c>
      <c r="B295">
        <v>0</v>
      </c>
      <c r="G295" t="s">
        <v>1148</v>
      </c>
    </row>
    <row r="296" spans="1:7" x14ac:dyDescent="0.25">
      <c r="A296" t="s">
        <v>1149</v>
      </c>
      <c r="B296">
        <v>0</v>
      </c>
      <c r="G296" t="s">
        <v>1149</v>
      </c>
    </row>
    <row r="297" spans="1:7" x14ac:dyDescent="0.25">
      <c r="A297" t="s">
        <v>1150</v>
      </c>
      <c r="B297">
        <v>0.75</v>
      </c>
      <c r="G297" t="s">
        <v>1150</v>
      </c>
    </row>
    <row r="298" spans="1:7" x14ac:dyDescent="0.25">
      <c r="A298" t="s">
        <v>985</v>
      </c>
      <c r="B298" t="s">
        <v>551</v>
      </c>
      <c r="G298" t="s">
        <v>985</v>
      </c>
    </row>
    <row r="299" spans="1:7" x14ac:dyDescent="0.25">
      <c r="A299" t="s">
        <v>986</v>
      </c>
      <c r="B299">
        <v>0.625</v>
      </c>
      <c r="G299" t="s">
        <v>986</v>
      </c>
    </row>
    <row r="300" spans="1:7" x14ac:dyDescent="0.25">
      <c r="A300" t="s">
        <v>987</v>
      </c>
      <c r="B300">
        <v>0</v>
      </c>
      <c r="G300" t="s">
        <v>987</v>
      </c>
    </row>
    <row r="301" spans="1:7" x14ac:dyDescent="0.25">
      <c r="A301" t="s">
        <v>988</v>
      </c>
      <c r="B301">
        <v>0</v>
      </c>
      <c r="G301" t="s">
        <v>988</v>
      </c>
    </row>
    <row r="302" spans="1:7" x14ac:dyDescent="0.25">
      <c r="A302" t="s">
        <v>989</v>
      </c>
      <c r="B302">
        <v>0</v>
      </c>
      <c r="G302" t="s">
        <v>989</v>
      </c>
    </row>
    <row r="303" spans="1:7" x14ac:dyDescent="0.25">
      <c r="A303" t="s">
        <v>990</v>
      </c>
      <c r="B303">
        <v>0</v>
      </c>
      <c r="G303" t="s">
        <v>990</v>
      </c>
    </row>
    <row r="304" spans="1:7" x14ac:dyDescent="0.25">
      <c r="A304" t="s">
        <v>991</v>
      </c>
      <c r="B304">
        <v>0.75</v>
      </c>
      <c r="G304" t="s">
        <v>991</v>
      </c>
    </row>
    <row r="305" spans="1:7" x14ac:dyDescent="0.25">
      <c r="A305" t="s">
        <v>992</v>
      </c>
      <c r="B305" t="s">
        <v>551</v>
      </c>
      <c r="G305" t="s">
        <v>992</v>
      </c>
    </row>
    <row r="306" spans="1:7" x14ac:dyDescent="0.25">
      <c r="A306" t="s">
        <v>993</v>
      </c>
      <c r="B306">
        <v>0.625</v>
      </c>
      <c r="G306" t="s">
        <v>993</v>
      </c>
    </row>
    <row r="307" spans="1:7" x14ac:dyDescent="0.25">
      <c r="A307" t="s">
        <v>994</v>
      </c>
      <c r="B307">
        <v>0</v>
      </c>
      <c r="G307" t="s">
        <v>994</v>
      </c>
    </row>
    <row r="308" spans="1:7" x14ac:dyDescent="0.25">
      <c r="A308" t="s">
        <v>995</v>
      </c>
      <c r="B308">
        <v>0</v>
      </c>
      <c r="G308" t="s">
        <v>995</v>
      </c>
    </row>
    <row r="309" spans="1:7" x14ac:dyDescent="0.25">
      <c r="A309" t="s">
        <v>996</v>
      </c>
      <c r="B309">
        <v>0</v>
      </c>
      <c r="G309" t="s">
        <v>996</v>
      </c>
    </row>
    <row r="310" spans="1:7" x14ac:dyDescent="0.25">
      <c r="A310" t="s">
        <v>997</v>
      </c>
      <c r="B310">
        <v>0</v>
      </c>
      <c r="G310" t="s">
        <v>997</v>
      </c>
    </row>
    <row r="311" spans="1:7" x14ac:dyDescent="0.25">
      <c r="A311" t="s">
        <v>998</v>
      </c>
      <c r="B311">
        <v>0.75</v>
      </c>
      <c r="G311" t="s">
        <v>998</v>
      </c>
    </row>
    <row r="312" spans="1:7" x14ac:dyDescent="0.25">
      <c r="A312" t="s">
        <v>999</v>
      </c>
      <c r="B312" t="s">
        <v>551</v>
      </c>
      <c r="G312" t="s">
        <v>999</v>
      </c>
    </row>
    <row r="313" spans="1:7" x14ac:dyDescent="0.25">
      <c r="A313" t="s">
        <v>1000</v>
      </c>
      <c r="B313">
        <v>0.625</v>
      </c>
      <c r="G313" t="s">
        <v>1000</v>
      </c>
    </row>
    <row r="314" spans="1:7" x14ac:dyDescent="0.25">
      <c r="A314" t="s">
        <v>1001</v>
      </c>
      <c r="B314">
        <v>0</v>
      </c>
      <c r="G314" t="s">
        <v>1001</v>
      </c>
    </row>
    <row r="315" spans="1:7" x14ac:dyDescent="0.25">
      <c r="A315" t="s">
        <v>1002</v>
      </c>
      <c r="B315">
        <v>0</v>
      </c>
      <c r="G315" t="s">
        <v>1002</v>
      </c>
    </row>
    <row r="316" spans="1:7" x14ac:dyDescent="0.25">
      <c r="A316" t="s">
        <v>1003</v>
      </c>
      <c r="B316">
        <v>0</v>
      </c>
      <c r="G316" t="s">
        <v>1003</v>
      </c>
    </row>
    <row r="317" spans="1:7" x14ac:dyDescent="0.25">
      <c r="A317" t="s">
        <v>1004</v>
      </c>
      <c r="B317">
        <v>0</v>
      </c>
      <c r="G317" t="s">
        <v>1004</v>
      </c>
    </row>
    <row r="318" spans="1:7" x14ac:dyDescent="0.25">
      <c r="A318" t="s">
        <v>1005</v>
      </c>
      <c r="B318">
        <v>0.75</v>
      </c>
      <c r="G318" t="s">
        <v>1005</v>
      </c>
    </row>
    <row r="319" spans="1:7" x14ac:dyDescent="0.25">
      <c r="A319" t="s">
        <v>1151</v>
      </c>
      <c r="B319" t="s">
        <v>551</v>
      </c>
      <c r="G319" t="s">
        <v>1151</v>
      </c>
    </row>
    <row r="320" spans="1:7" x14ac:dyDescent="0.25">
      <c r="A320" t="s">
        <v>1152</v>
      </c>
      <c r="B320">
        <v>0.625</v>
      </c>
      <c r="G320" t="s">
        <v>1152</v>
      </c>
    </row>
    <row r="321" spans="1:7" x14ac:dyDescent="0.25">
      <c r="A321" t="s">
        <v>1153</v>
      </c>
      <c r="B321">
        <v>0</v>
      </c>
      <c r="G321" t="s">
        <v>1153</v>
      </c>
    </row>
    <row r="322" spans="1:7" x14ac:dyDescent="0.25">
      <c r="A322" t="s">
        <v>1154</v>
      </c>
      <c r="B322">
        <v>0</v>
      </c>
      <c r="G322" t="s">
        <v>1154</v>
      </c>
    </row>
    <row r="323" spans="1:7" x14ac:dyDescent="0.25">
      <c r="A323" t="s">
        <v>1155</v>
      </c>
      <c r="B323">
        <v>0</v>
      </c>
      <c r="G323" t="s">
        <v>1155</v>
      </c>
    </row>
    <row r="324" spans="1:7" x14ac:dyDescent="0.25">
      <c r="A324" t="s">
        <v>1156</v>
      </c>
      <c r="B324">
        <v>0</v>
      </c>
      <c r="G324" t="s">
        <v>1156</v>
      </c>
    </row>
    <row r="325" spans="1:7" x14ac:dyDescent="0.25">
      <c r="A325" t="s">
        <v>1157</v>
      </c>
      <c r="B325">
        <v>0.75</v>
      </c>
      <c r="G325" t="s">
        <v>1157</v>
      </c>
    </row>
    <row r="326" spans="1:7" x14ac:dyDescent="0.25">
      <c r="A326" t="s">
        <v>1158</v>
      </c>
      <c r="B326" t="s">
        <v>551</v>
      </c>
      <c r="G326" t="s">
        <v>1158</v>
      </c>
    </row>
    <row r="327" spans="1:7" x14ac:dyDescent="0.25">
      <c r="A327" t="s">
        <v>1159</v>
      </c>
      <c r="B327">
        <v>0.625</v>
      </c>
      <c r="G327" t="s">
        <v>1159</v>
      </c>
    </row>
    <row r="328" spans="1:7" x14ac:dyDescent="0.25">
      <c r="A328" t="s">
        <v>1160</v>
      </c>
      <c r="B328">
        <v>0</v>
      </c>
      <c r="G328" t="s">
        <v>1160</v>
      </c>
    </row>
    <row r="329" spans="1:7" x14ac:dyDescent="0.25">
      <c r="A329" t="s">
        <v>1161</v>
      </c>
      <c r="B329">
        <v>0</v>
      </c>
      <c r="G329" t="s">
        <v>1161</v>
      </c>
    </row>
    <row r="330" spans="1:7" x14ac:dyDescent="0.25">
      <c r="A330" t="s">
        <v>1162</v>
      </c>
      <c r="B330">
        <v>0</v>
      </c>
      <c r="G330" t="s">
        <v>1162</v>
      </c>
    </row>
    <row r="331" spans="1:7" x14ac:dyDescent="0.25">
      <c r="A331" t="s">
        <v>1163</v>
      </c>
      <c r="B331">
        <v>0</v>
      </c>
      <c r="G331" t="s">
        <v>1163</v>
      </c>
    </row>
    <row r="332" spans="1:7" x14ac:dyDescent="0.25">
      <c r="A332" t="s">
        <v>1164</v>
      </c>
      <c r="B332">
        <v>0.75</v>
      </c>
      <c r="G332" t="s">
        <v>1164</v>
      </c>
    </row>
    <row r="333" spans="1:7" x14ac:dyDescent="0.25">
      <c r="A333" t="s">
        <v>1165</v>
      </c>
      <c r="B333" t="s">
        <v>551</v>
      </c>
      <c r="G333" t="s">
        <v>1165</v>
      </c>
    </row>
    <row r="334" spans="1:7" x14ac:dyDescent="0.25">
      <c r="A334" t="s">
        <v>1166</v>
      </c>
      <c r="B334">
        <v>0.625</v>
      </c>
      <c r="G334" t="s">
        <v>1166</v>
      </c>
    </row>
    <row r="335" spans="1:7" x14ac:dyDescent="0.25">
      <c r="A335" t="s">
        <v>1167</v>
      </c>
      <c r="B335">
        <v>0</v>
      </c>
      <c r="G335" t="s">
        <v>1167</v>
      </c>
    </row>
    <row r="336" spans="1:7" x14ac:dyDescent="0.25">
      <c r="A336" t="s">
        <v>1168</v>
      </c>
      <c r="B336">
        <v>0</v>
      </c>
      <c r="G336" t="s">
        <v>1168</v>
      </c>
    </row>
    <row r="337" spans="1:7" x14ac:dyDescent="0.25">
      <c r="A337" t="s">
        <v>1169</v>
      </c>
      <c r="B337">
        <v>0</v>
      </c>
      <c r="G337" t="s">
        <v>1169</v>
      </c>
    </row>
    <row r="338" spans="1:7" x14ac:dyDescent="0.25">
      <c r="A338" t="s">
        <v>1170</v>
      </c>
      <c r="B338">
        <v>0</v>
      </c>
      <c r="G338" t="s">
        <v>1170</v>
      </c>
    </row>
    <row r="339" spans="1:7" x14ac:dyDescent="0.25">
      <c r="A339" t="s">
        <v>1171</v>
      </c>
      <c r="B339">
        <v>0.75</v>
      </c>
      <c r="G339" t="s">
        <v>1171</v>
      </c>
    </row>
    <row r="340" spans="1:7" x14ac:dyDescent="0.25">
      <c r="A340" t="s">
        <v>1172</v>
      </c>
      <c r="B340" t="s">
        <v>551</v>
      </c>
      <c r="G340" t="s">
        <v>1172</v>
      </c>
    </row>
    <row r="341" spans="1:7" x14ac:dyDescent="0.25">
      <c r="A341" t="s">
        <v>1173</v>
      </c>
      <c r="B341">
        <v>0.625</v>
      </c>
      <c r="G341" t="s">
        <v>1173</v>
      </c>
    </row>
    <row r="342" spans="1:7" x14ac:dyDescent="0.25">
      <c r="A342" t="s">
        <v>1174</v>
      </c>
      <c r="B342">
        <v>0</v>
      </c>
      <c r="G342" t="s">
        <v>1174</v>
      </c>
    </row>
    <row r="343" spans="1:7" x14ac:dyDescent="0.25">
      <c r="A343" t="s">
        <v>1175</v>
      </c>
      <c r="B343">
        <v>0</v>
      </c>
      <c r="G343" t="s">
        <v>1175</v>
      </c>
    </row>
    <row r="344" spans="1:7" x14ac:dyDescent="0.25">
      <c r="A344" t="s">
        <v>1176</v>
      </c>
      <c r="B344">
        <v>0</v>
      </c>
      <c r="G344" t="s">
        <v>1176</v>
      </c>
    </row>
    <row r="345" spans="1:7" x14ac:dyDescent="0.25">
      <c r="A345" t="s">
        <v>1177</v>
      </c>
      <c r="B345">
        <v>0</v>
      </c>
      <c r="G345" t="s">
        <v>1177</v>
      </c>
    </row>
    <row r="346" spans="1:7" x14ac:dyDescent="0.25">
      <c r="A346" t="s">
        <v>1178</v>
      </c>
      <c r="B346">
        <v>0.75</v>
      </c>
      <c r="G346" t="s">
        <v>1178</v>
      </c>
    </row>
    <row r="347" spans="1:7" x14ac:dyDescent="0.25">
      <c r="A347" t="s">
        <v>1179</v>
      </c>
      <c r="B347" t="s">
        <v>551</v>
      </c>
      <c r="G347" t="s">
        <v>1179</v>
      </c>
    </row>
    <row r="348" spans="1:7" x14ac:dyDescent="0.25">
      <c r="A348" t="s">
        <v>1180</v>
      </c>
      <c r="B348">
        <v>0.625</v>
      </c>
      <c r="G348" t="s">
        <v>1180</v>
      </c>
    </row>
    <row r="349" spans="1:7" x14ac:dyDescent="0.25">
      <c r="A349" t="s">
        <v>1181</v>
      </c>
      <c r="B349">
        <v>0</v>
      </c>
      <c r="G349" t="s">
        <v>1181</v>
      </c>
    </row>
    <row r="350" spans="1:7" x14ac:dyDescent="0.25">
      <c r="A350" t="s">
        <v>1182</v>
      </c>
      <c r="B350">
        <v>0</v>
      </c>
      <c r="G350" t="s">
        <v>1182</v>
      </c>
    </row>
    <row r="351" spans="1:7" x14ac:dyDescent="0.25">
      <c r="A351" t="s">
        <v>1183</v>
      </c>
      <c r="B351">
        <v>0</v>
      </c>
      <c r="G351" t="s">
        <v>1183</v>
      </c>
    </row>
    <row r="352" spans="1:7" x14ac:dyDescent="0.25">
      <c r="A352" t="s">
        <v>1184</v>
      </c>
      <c r="B352">
        <v>0</v>
      </c>
      <c r="G352" t="s">
        <v>1184</v>
      </c>
    </row>
    <row r="353" spans="1:7" x14ac:dyDescent="0.25">
      <c r="A353" t="s">
        <v>1185</v>
      </c>
      <c r="B353">
        <v>0.75</v>
      </c>
      <c r="G353" t="s">
        <v>1185</v>
      </c>
    </row>
    <row r="354" spans="1:7" x14ac:dyDescent="0.25">
      <c r="A354" t="s">
        <v>1186</v>
      </c>
      <c r="B354" t="s">
        <v>551</v>
      </c>
      <c r="G354" t="s">
        <v>1186</v>
      </c>
    </row>
    <row r="355" spans="1:7" x14ac:dyDescent="0.25">
      <c r="A355" t="s">
        <v>1187</v>
      </c>
      <c r="B355">
        <v>0.625</v>
      </c>
      <c r="G355" t="s">
        <v>1187</v>
      </c>
    </row>
    <row r="356" spans="1:7" x14ac:dyDescent="0.25">
      <c r="A356" t="s">
        <v>1188</v>
      </c>
      <c r="B356">
        <v>0</v>
      </c>
      <c r="G356" t="s">
        <v>1188</v>
      </c>
    </row>
    <row r="357" spans="1:7" x14ac:dyDescent="0.25">
      <c r="A357" t="s">
        <v>1189</v>
      </c>
      <c r="B357">
        <v>0</v>
      </c>
      <c r="G357" t="s">
        <v>1189</v>
      </c>
    </row>
    <row r="358" spans="1:7" x14ac:dyDescent="0.25">
      <c r="A358" t="s">
        <v>1190</v>
      </c>
      <c r="B358">
        <v>0</v>
      </c>
      <c r="G358" t="s">
        <v>1190</v>
      </c>
    </row>
    <row r="359" spans="1:7" x14ac:dyDescent="0.25">
      <c r="A359" t="s">
        <v>1191</v>
      </c>
      <c r="B359">
        <v>0</v>
      </c>
      <c r="G359" t="s">
        <v>1191</v>
      </c>
    </row>
    <row r="360" spans="1:7" x14ac:dyDescent="0.25">
      <c r="A360" t="s">
        <v>1192</v>
      </c>
      <c r="B360">
        <v>0.75</v>
      </c>
      <c r="G360" t="s">
        <v>1192</v>
      </c>
    </row>
    <row r="361" spans="1:7" x14ac:dyDescent="0.25">
      <c r="A361" t="s">
        <v>1193</v>
      </c>
      <c r="B361" t="s">
        <v>551</v>
      </c>
      <c r="G361" t="s">
        <v>1193</v>
      </c>
    </row>
    <row r="362" spans="1:7" x14ac:dyDescent="0.25">
      <c r="A362" t="s">
        <v>1194</v>
      </c>
      <c r="B362">
        <v>0.625</v>
      </c>
      <c r="G362" t="s">
        <v>1194</v>
      </c>
    </row>
    <row r="363" spans="1:7" x14ac:dyDescent="0.25">
      <c r="A363" t="s">
        <v>1195</v>
      </c>
      <c r="B363">
        <v>0</v>
      </c>
      <c r="G363" t="s">
        <v>1195</v>
      </c>
    </row>
    <row r="364" spans="1:7" x14ac:dyDescent="0.25">
      <c r="A364" t="s">
        <v>1196</v>
      </c>
      <c r="B364">
        <v>0</v>
      </c>
      <c r="G364" t="s">
        <v>1196</v>
      </c>
    </row>
    <row r="365" spans="1:7" x14ac:dyDescent="0.25">
      <c r="A365" t="s">
        <v>1197</v>
      </c>
      <c r="B365">
        <v>0</v>
      </c>
      <c r="G365" t="s">
        <v>1197</v>
      </c>
    </row>
    <row r="366" spans="1:7" x14ac:dyDescent="0.25">
      <c r="A366" t="s">
        <v>1198</v>
      </c>
      <c r="B366">
        <v>0</v>
      </c>
      <c r="G366" t="s">
        <v>1198</v>
      </c>
    </row>
    <row r="367" spans="1:7" x14ac:dyDescent="0.25">
      <c r="A367" t="s">
        <v>1199</v>
      </c>
      <c r="B367">
        <v>0.75</v>
      </c>
      <c r="G367" t="s">
        <v>1199</v>
      </c>
    </row>
    <row r="368" spans="1:7" x14ac:dyDescent="0.25">
      <c r="A368" t="s">
        <v>1200</v>
      </c>
      <c r="B368" t="s">
        <v>551</v>
      </c>
      <c r="G368" t="s">
        <v>1200</v>
      </c>
    </row>
    <row r="369" spans="1:7" x14ac:dyDescent="0.25">
      <c r="A369" t="s">
        <v>1201</v>
      </c>
      <c r="B369">
        <v>0.625</v>
      </c>
      <c r="G369" t="s">
        <v>1201</v>
      </c>
    </row>
    <row r="370" spans="1:7" x14ac:dyDescent="0.25">
      <c r="A370" t="s">
        <v>1202</v>
      </c>
      <c r="B370">
        <v>0</v>
      </c>
      <c r="G370" t="s">
        <v>1202</v>
      </c>
    </row>
    <row r="371" spans="1:7" x14ac:dyDescent="0.25">
      <c r="A371" t="s">
        <v>1203</v>
      </c>
      <c r="B371">
        <v>0</v>
      </c>
      <c r="G371" t="s">
        <v>1203</v>
      </c>
    </row>
    <row r="372" spans="1:7" x14ac:dyDescent="0.25">
      <c r="A372" t="s">
        <v>1204</v>
      </c>
      <c r="B372">
        <v>0</v>
      </c>
      <c r="G372" t="s">
        <v>1204</v>
      </c>
    </row>
    <row r="373" spans="1:7" x14ac:dyDescent="0.25">
      <c r="A373" t="s">
        <v>1205</v>
      </c>
      <c r="B373">
        <v>0</v>
      </c>
      <c r="G373" t="s">
        <v>1205</v>
      </c>
    </row>
    <row r="374" spans="1:7" x14ac:dyDescent="0.25">
      <c r="A374" t="s">
        <v>1206</v>
      </c>
      <c r="B374">
        <v>0.75</v>
      </c>
      <c r="G374" t="s">
        <v>1206</v>
      </c>
    </row>
    <row r="375" spans="1:7" x14ac:dyDescent="0.25">
      <c r="A375" t="s">
        <v>1020</v>
      </c>
      <c r="B375" t="s">
        <v>303</v>
      </c>
      <c r="G375" t="s">
        <v>1020</v>
      </c>
    </row>
    <row r="376" spans="1:7" x14ac:dyDescent="0.25">
      <c r="A376" t="s">
        <v>1021</v>
      </c>
      <c r="B376" t="s">
        <v>303</v>
      </c>
      <c r="G376" t="s">
        <v>1021</v>
      </c>
    </row>
    <row r="377" spans="1:7" x14ac:dyDescent="0.25">
      <c r="A377" t="s">
        <v>1022</v>
      </c>
      <c r="B377" t="s">
        <v>303</v>
      </c>
      <c r="G377" t="s">
        <v>1022</v>
      </c>
    </row>
    <row r="378" spans="1:7" x14ac:dyDescent="0.25">
      <c r="A378" t="s">
        <v>1023</v>
      </c>
      <c r="B378" t="s">
        <v>303</v>
      </c>
      <c r="G378" t="s">
        <v>1023</v>
      </c>
    </row>
    <row r="379" spans="1:7" x14ac:dyDescent="0.25">
      <c r="A379" t="s">
        <v>1024</v>
      </c>
      <c r="B379" t="s">
        <v>303</v>
      </c>
      <c r="G379" t="s">
        <v>1024</v>
      </c>
    </row>
    <row r="380" spans="1:7" x14ac:dyDescent="0.25">
      <c r="A380" t="s">
        <v>1025</v>
      </c>
      <c r="B380" t="s">
        <v>303</v>
      </c>
      <c r="G380" t="s">
        <v>1025</v>
      </c>
    </row>
    <row r="381" spans="1:7" x14ac:dyDescent="0.25">
      <c r="A381" t="s">
        <v>961</v>
      </c>
      <c r="B381">
        <v>0</v>
      </c>
      <c r="G381" t="s">
        <v>961</v>
      </c>
    </row>
    <row r="382" spans="1:7" x14ac:dyDescent="0.25">
      <c r="A382" t="s">
        <v>962</v>
      </c>
      <c r="B382">
        <v>0</v>
      </c>
      <c r="G382" t="s">
        <v>962</v>
      </c>
    </row>
    <row r="383" spans="1:7" x14ac:dyDescent="0.25">
      <c r="A383" t="s">
        <v>963</v>
      </c>
      <c r="B383">
        <v>0</v>
      </c>
      <c r="G383" t="s">
        <v>963</v>
      </c>
    </row>
    <row r="384" spans="1:7" x14ac:dyDescent="0.25">
      <c r="A384" t="s">
        <v>964</v>
      </c>
      <c r="B384">
        <v>0</v>
      </c>
      <c r="G384" t="s">
        <v>964</v>
      </c>
    </row>
    <row r="385" spans="1:7" x14ac:dyDescent="0.25">
      <c r="A385" t="s">
        <v>965</v>
      </c>
      <c r="B385">
        <v>0</v>
      </c>
      <c r="G385" t="s">
        <v>965</v>
      </c>
    </row>
    <row r="386" spans="1:7" x14ac:dyDescent="0.25">
      <c r="A386" t="s">
        <v>966</v>
      </c>
      <c r="B386">
        <v>0</v>
      </c>
      <c r="G386" t="s">
        <v>966</v>
      </c>
    </row>
    <row r="387" spans="1:7" x14ac:dyDescent="0.25">
      <c r="A387" t="s">
        <v>967</v>
      </c>
      <c r="B387">
        <v>0</v>
      </c>
      <c r="G387" t="s">
        <v>967</v>
      </c>
    </row>
    <row r="388" spans="1:7" x14ac:dyDescent="0.25">
      <c r="A388" t="s">
        <v>968</v>
      </c>
      <c r="B388">
        <v>0</v>
      </c>
      <c r="G388" t="s">
        <v>968</v>
      </c>
    </row>
    <row r="389" spans="1:7" x14ac:dyDescent="0.25">
      <c r="A389" t="s">
        <v>771</v>
      </c>
      <c r="B389">
        <v>2</v>
      </c>
      <c r="G389" t="s">
        <v>1028</v>
      </c>
    </row>
    <row r="390" spans="1:7" x14ac:dyDescent="0.25">
      <c r="A390" t="s">
        <v>772</v>
      </c>
      <c r="B390" t="s">
        <v>1035</v>
      </c>
    </row>
    <row r="391" spans="1:7" x14ac:dyDescent="0.25">
      <c r="A391" t="s">
        <v>773</v>
      </c>
      <c r="B391">
        <v>245</v>
      </c>
    </row>
    <row r="392" spans="1:7" x14ac:dyDescent="0.25">
      <c r="A392" t="s">
        <v>774</v>
      </c>
      <c r="B392">
        <v>29</v>
      </c>
    </row>
    <row r="393" spans="1:7" x14ac:dyDescent="0.25">
      <c r="A393" t="s">
        <v>775</v>
      </c>
      <c r="B393">
        <v>29</v>
      </c>
    </row>
    <row r="394" spans="1:7" x14ac:dyDescent="0.25">
      <c r="A394" t="s">
        <v>776</v>
      </c>
      <c r="B394">
        <v>1</v>
      </c>
    </row>
    <row r="395" spans="1:7" x14ac:dyDescent="0.25">
      <c r="A395" t="s">
        <v>777</v>
      </c>
      <c r="B395">
        <v>1</v>
      </c>
    </row>
    <row r="396" spans="1:7" x14ac:dyDescent="0.25">
      <c r="A396" t="s">
        <v>778</v>
      </c>
      <c r="B396">
        <v>5</v>
      </c>
    </row>
    <row r="397" spans="1:7" x14ac:dyDescent="0.25">
      <c r="A397" t="s">
        <v>779</v>
      </c>
      <c r="B397" t="s">
        <v>342</v>
      </c>
    </row>
    <row r="398" spans="1:7" x14ac:dyDescent="0.25">
      <c r="A398" t="s">
        <v>780</v>
      </c>
      <c r="B398" s="7">
        <v>1.5</v>
      </c>
    </row>
    <row r="399" spans="1:7" x14ac:dyDescent="0.25">
      <c r="A399" t="s">
        <v>781</v>
      </c>
      <c r="B399">
        <v>50</v>
      </c>
    </row>
    <row r="400" spans="1:7" x14ac:dyDescent="0.25">
      <c r="A400" t="s">
        <v>782</v>
      </c>
      <c r="B400" t="s">
        <v>312</v>
      </c>
    </row>
    <row r="401" spans="1:2" x14ac:dyDescent="0.25">
      <c r="A401" t="s">
        <v>783</v>
      </c>
      <c r="B401">
        <v>36</v>
      </c>
    </row>
    <row r="402" spans="1:2" x14ac:dyDescent="0.25">
      <c r="A402" t="s">
        <v>784</v>
      </c>
      <c r="B402" t="s">
        <v>320</v>
      </c>
    </row>
    <row r="403" spans="1:2" x14ac:dyDescent="0.25">
      <c r="A403" t="s">
        <v>785</v>
      </c>
      <c r="B403">
        <v>36</v>
      </c>
    </row>
    <row r="404" spans="1:2" x14ac:dyDescent="0.25">
      <c r="A404" t="s">
        <v>786</v>
      </c>
      <c r="B404" t="s">
        <v>320</v>
      </c>
    </row>
    <row r="405" spans="1:2" x14ac:dyDescent="0.25">
      <c r="A405" t="s">
        <v>787</v>
      </c>
      <c r="B405">
        <v>36</v>
      </c>
    </row>
    <row r="406" spans="1:2" x14ac:dyDescent="0.25">
      <c r="A406" t="s">
        <v>788</v>
      </c>
      <c r="B406" t="s">
        <v>320</v>
      </c>
    </row>
    <row r="407" spans="1:2" x14ac:dyDescent="0.25">
      <c r="A407" t="s">
        <v>789</v>
      </c>
      <c r="B407">
        <v>36</v>
      </c>
    </row>
    <row r="408" spans="1:2" x14ac:dyDescent="0.25">
      <c r="A408" t="s">
        <v>790</v>
      </c>
      <c r="B408" t="s">
        <v>320</v>
      </c>
    </row>
    <row r="409" spans="1:2" x14ac:dyDescent="0.25">
      <c r="A409" t="s">
        <v>791</v>
      </c>
      <c r="B409">
        <v>36</v>
      </c>
    </row>
    <row r="410" spans="1:2" x14ac:dyDescent="0.25">
      <c r="A410" t="s">
        <v>792</v>
      </c>
      <c r="B410" t="s">
        <v>320</v>
      </c>
    </row>
    <row r="411" spans="1:2" x14ac:dyDescent="0.25">
      <c r="A411" t="s">
        <v>793</v>
      </c>
      <c r="B411">
        <v>50</v>
      </c>
    </row>
    <row r="412" spans="1:2" x14ac:dyDescent="0.25">
      <c r="A412" t="s">
        <v>794</v>
      </c>
      <c r="B412" t="s">
        <v>312</v>
      </c>
    </row>
    <row r="413" spans="1:2" x14ac:dyDescent="0.25">
      <c r="A413" t="s">
        <v>795</v>
      </c>
      <c r="B413">
        <v>50</v>
      </c>
    </row>
    <row r="414" spans="1:2" x14ac:dyDescent="0.25">
      <c r="A414" t="s">
        <v>796</v>
      </c>
      <c r="B414" t="s">
        <v>312</v>
      </c>
    </row>
    <row r="415" spans="1:2" x14ac:dyDescent="0.25">
      <c r="A415" t="s">
        <v>797</v>
      </c>
      <c r="B415" t="s">
        <v>342</v>
      </c>
    </row>
    <row r="416" spans="1:2" x14ac:dyDescent="0.25">
      <c r="A416" t="s">
        <v>798</v>
      </c>
      <c r="B416" s="5">
        <v>44928</v>
      </c>
    </row>
    <row r="417" spans="1:2" x14ac:dyDescent="0.25">
      <c r="A417" t="s">
        <v>799</v>
      </c>
      <c r="B417" t="s">
        <v>342</v>
      </c>
    </row>
    <row r="418" spans="1:2" x14ac:dyDescent="0.25">
      <c r="A418" t="s">
        <v>800</v>
      </c>
    </row>
    <row r="419" spans="1:2" x14ac:dyDescent="0.25">
      <c r="A419" t="s">
        <v>801</v>
      </c>
      <c r="B419" t="s">
        <v>1038</v>
      </c>
    </row>
    <row r="420" spans="1:2" x14ac:dyDescent="0.25">
      <c r="A420" t="s">
        <v>802</v>
      </c>
      <c r="B420" t="s">
        <v>1039</v>
      </c>
    </row>
    <row r="421" spans="1:2" x14ac:dyDescent="0.25">
      <c r="A421" t="s">
        <v>803</v>
      </c>
      <c r="B421" t="s">
        <v>1038</v>
      </c>
    </row>
    <row r="422" spans="1:2" x14ac:dyDescent="0.25">
      <c r="A422" t="s">
        <v>804</v>
      </c>
      <c r="B422" t="s">
        <v>1039</v>
      </c>
    </row>
    <row r="423" spans="1:2" x14ac:dyDescent="0.25">
      <c r="A423" t="s">
        <v>805</v>
      </c>
      <c r="B423">
        <v>1</v>
      </c>
    </row>
    <row r="424" spans="1:2" x14ac:dyDescent="0.25">
      <c r="A424" t="s">
        <v>806</v>
      </c>
      <c r="B424">
        <v>1</v>
      </c>
    </row>
    <row r="425" spans="1:2" x14ac:dyDescent="0.25">
      <c r="A425" t="s">
        <v>807</v>
      </c>
      <c r="B425" t="s">
        <v>303</v>
      </c>
    </row>
    <row r="426" spans="1:2" x14ac:dyDescent="0.25">
      <c r="A426" t="s">
        <v>808</v>
      </c>
      <c r="B426" t="s">
        <v>305</v>
      </c>
    </row>
    <row r="427" spans="1:2" x14ac:dyDescent="0.25">
      <c r="A427" t="s">
        <v>809</v>
      </c>
      <c r="B427" t="s">
        <v>342</v>
      </c>
    </row>
    <row r="428" spans="1:2" x14ac:dyDescent="0.25">
      <c r="A428" t="s">
        <v>810</v>
      </c>
      <c r="B428" s="5">
        <v>44989</v>
      </c>
    </row>
    <row r="429" spans="1:2" x14ac:dyDescent="0.25">
      <c r="A429" t="s">
        <v>811</v>
      </c>
      <c r="B429" t="s">
        <v>342</v>
      </c>
    </row>
    <row r="430" spans="1:2" x14ac:dyDescent="0.25">
      <c r="A430" t="s">
        <v>812</v>
      </c>
    </row>
    <row r="431" spans="1:2" x14ac:dyDescent="0.25">
      <c r="A431" t="s">
        <v>813</v>
      </c>
      <c r="B431">
        <v>36</v>
      </c>
    </row>
    <row r="432" spans="1:2" x14ac:dyDescent="0.25">
      <c r="A432" t="s">
        <v>814</v>
      </c>
      <c r="B432" t="s">
        <v>320</v>
      </c>
    </row>
    <row r="433" spans="1:2" x14ac:dyDescent="0.25">
      <c r="A433" t="s">
        <v>1040</v>
      </c>
      <c r="B433">
        <v>36</v>
      </c>
    </row>
    <row r="434" spans="1:2" x14ac:dyDescent="0.25">
      <c r="A434" t="s">
        <v>1041</v>
      </c>
      <c r="B434" t="s">
        <v>320</v>
      </c>
    </row>
    <row r="435" spans="1:2" x14ac:dyDescent="0.25">
      <c r="A435" t="s">
        <v>1042</v>
      </c>
      <c r="B435">
        <v>36</v>
      </c>
    </row>
    <row r="436" spans="1:2" x14ac:dyDescent="0.25">
      <c r="A436" t="s">
        <v>1043</v>
      </c>
      <c r="B436" t="s">
        <v>320</v>
      </c>
    </row>
    <row r="437" spans="1:2" x14ac:dyDescent="0.25">
      <c r="A437" t="s">
        <v>1044</v>
      </c>
      <c r="B437">
        <v>36</v>
      </c>
    </row>
    <row r="438" spans="1:2" x14ac:dyDescent="0.25">
      <c r="A438" t="s">
        <v>1045</v>
      </c>
      <c r="B438" t="s">
        <v>320</v>
      </c>
    </row>
    <row r="439" spans="1:2" x14ac:dyDescent="0.25">
      <c r="A439" t="s">
        <v>1046</v>
      </c>
      <c r="B439">
        <v>36</v>
      </c>
    </row>
    <row r="440" spans="1:2" x14ac:dyDescent="0.25">
      <c r="A440" t="s">
        <v>1047</v>
      </c>
      <c r="B440" t="s">
        <v>320</v>
      </c>
    </row>
    <row r="441" spans="1:2" x14ac:dyDescent="0.25">
      <c r="A441" t="s">
        <v>1048</v>
      </c>
      <c r="B441">
        <v>36</v>
      </c>
    </row>
    <row r="442" spans="1:2" x14ac:dyDescent="0.25">
      <c r="A442" t="s">
        <v>1049</v>
      </c>
      <c r="B442" t="s">
        <v>320</v>
      </c>
    </row>
    <row r="443" spans="1:2" x14ac:dyDescent="0.25">
      <c r="A443" t="s">
        <v>1050</v>
      </c>
      <c r="B443">
        <v>36</v>
      </c>
    </row>
    <row r="444" spans="1:2" x14ac:dyDescent="0.25">
      <c r="A444" t="s">
        <v>1051</v>
      </c>
      <c r="B444" t="s">
        <v>320</v>
      </c>
    </row>
    <row r="445" spans="1:2" x14ac:dyDescent="0.25">
      <c r="A445" t="s">
        <v>1052</v>
      </c>
      <c r="B445">
        <v>36</v>
      </c>
    </row>
    <row r="446" spans="1:2" x14ac:dyDescent="0.25">
      <c r="A446" t="s">
        <v>1053</v>
      </c>
      <c r="B446" t="s">
        <v>320</v>
      </c>
    </row>
    <row r="447" spans="1:2" x14ac:dyDescent="0.25">
      <c r="A447" t="s">
        <v>1054</v>
      </c>
      <c r="B447">
        <v>36</v>
      </c>
    </row>
    <row r="448" spans="1:2" x14ac:dyDescent="0.25">
      <c r="A448" t="s">
        <v>1055</v>
      </c>
      <c r="B448" t="s">
        <v>320</v>
      </c>
    </row>
    <row r="449" spans="1:2" x14ac:dyDescent="0.25">
      <c r="A449" t="s">
        <v>1056</v>
      </c>
      <c r="B449">
        <v>36</v>
      </c>
    </row>
    <row r="450" spans="1:2" x14ac:dyDescent="0.25">
      <c r="A450" t="s">
        <v>1057</v>
      </c>
      <c r="B450" t="s">
        <v>320</v>
      </c>
    </row>
    <row r="451" spans="1:2" x14ac:dyDescent="0.25">
      <c r="A451" t="s">
        <v>1058</v>
      </c>
      <c r="B451">
        <v>36</v>
      </c>
    </row>
    <row r="452" spans="1:2" x14ac:dyDescent="0.25">
      <c r="A452" t="s">
        <v>1059</v>
      </c>
      <c r="B452" t="s">
        <v>320</v>
      </c>
    </row>
    <row r="453" spans="1:2" x14ac:dyDescent="0.25">
      <c r="A453" t="s">
        <v>1060</v>
      </c>
      <c r="B453">
        <v>36</v>
      </c>
    </row>
    <row r="454" spans="1:2" x14ac:dyDescent="0.25">
      <c r="A454" t="s">
        <v>1061</v>
      </c>
      <c r="B454" t="s">
        <v>320</v>
      </c>
    </row>
    <row r="455" spans="1:2" x14ac:dyDescent="0.25">
      <c r="A455" t="s">
        <v>1062</v>
      </c>
      <c r="B455">
        <v>36</v>
      </c>
    </row>
    <row r="456" spans="1:2" x14ac:dyDescent="0.25">
      <c r="A456" t="s">
        <v>1063</v>
      </c>
      <c r="B456" t="s">
        <v>320</v>
      </c>
    </row>
    <row r="457" spans="1:2" x14ac:dyDescent="0.25">
      <c r="A457" t="s">
        <v>1064</v>
      </c>
      <c r="B457">
        <v>36</v>
      </c>
    </row>
    <row r="458" spans="1:2" x14ac:dyDescent="0.25">
      <c r="A458" t="s">
        <v>1065</v>
      </c>
      <c r="B458" t="s">
        <v>320</v>
      </c>
    </row>
    <row r="459" spans="1:2" x14ac:dyDescent="0.25">
      <c r="A459" t="s">
        <v>1066</v>
      </c>
      <c r="B459">
        <v>36</v>
      </c>
    </row>
    <row r="460" spans="1:2" x14ac:dyDescent="0.25">
      <c r="A460" t="s">
        <v>1067</v>
      </c>
      <c r="B460" t="s">
        <v>320</v>
      </c>
    </row>
    <row r="461" spans="1:2" x14ac:dyDescent="0.25">
      <c r="A461" t="s">
        <v>1068</v>
      </c>
      <c r="B461">
        <v>36</v>
      </c>
    </row>
    <row r="462" spans="1:2" x14ac:dyDescent="0.25">
      <c r="A462" t="s">
        <v>1069</v>
      </c>
      <c r="B462" t="s">
        <v>320</v>
      </c>
    </row>
    <row r="463" spans="1:2" x14ac:dyDescent="0.25">
      <c r="A463" t="s">
        <v>1070</v>
      </c>
      <c r="B463">
        <v>36</v>
      </c>
    </row>
    <row r="464" spans="1:2" x14ac:dyDescent="0.25">
      <c r="A464" t="s">
        <v>1071</v>
      </c>
      <c r="B464" t="s">
        <v>320</v>
      </c>
    </row>
    <row r="465" spans="1:2" x14ac:dyDescent="0.25">
      <c r="A465" t="s">
        <v>1072</v>
      </c>
      <c r="B465">
        <v>36</v>
      </c>
    </row>
    <row r="466" spans="1:2" x14ac:dyDescent="0.25">
      <c r="A466" t="s">
        <v>1073</v>
      </c>
      <c r="B466" t="s">
        <v>320</v>
      </c>
    </row>
    <row r="467" spans="1:2" x14ac:dyDescent="0.25">
      <c r="A467" t="s">
        <v>1074</v>
      </c>
      <c r="B467">
        <v>36</v>
      </c>
    </row>
    <row r="468" spans="1:2" x14ac:dyDescent="0.25">
      <c r="A468" t="s">
        <v>1075</v>
      </c>
      <c r="B468" t="s">
        <v>320</v>
      </c>
    </row>
    <row r="469" spans="1:2" x14ac:dyDescent="0.25">
      <c r="A469" t="s">
        <v>1076</v>
      </c>
      <c r="B469">
        <v>36</v>
      </c>
    </row>
    <row r="470" spans="1:2" x14ac:dyDescent="0.25">
      <c r="A470" t="s">
        <v>1077</v>
      </c>
      <c r="B470" t="s">
        <v>320</v>
      </c>
    </row>
    <row r="471" spans="1:2" x14ac:dyDescent="0.25">
      <c r="A471" t="s">
        <v>815</v>
      </c>
      <c r="B471" t="s">
        <v>1078</v>
      </c>
    </row>
    <row r="472" spans="1:2" x14ac:dyDescent="0.25">
      <c r="A472" t="s">
        <v>1079</v>
      </c>
      <c r="B472" t="s">
        <v>1078</v>
      </c>
    </row>
    <row r="473" spans="1:2" x14ac:dyDescent="0.25">
      <c r="A473" t="s">
        <v>1080</v>
      </c>
      <c r="B473" t="s">
        <v>1078</v>
      </c>
    </row>
    <row r="474" spans="1:2" x14ac:dyDescent="0.25">
      <c r="A474" t="s">
        <v>1081</v>
      </c>
      <c r="B474" t="s">
        <v>1078</v>
      </c>
    </row>
    <row r="475" spans="1:2" x14ac:dyDescent="0.25">
      <c r="A475" t="s">
        <v>1082</v>
      </c>
      <c r="B475" t="s">
        <v>1078</v>
      </c>
    </row>
    <row r="476" spans="1:2" x14ac:dyDescent="0.25">
      <c r="A476" t="s">
        <v>816</v>
      </c>
      <c r="B476" t="s">
        <v>1078</v>
      </c>
    </row>
    <row r="477" spans="1:2" x14ac:dyDescent="0.25">
      <c r="A477" t="s">
        <v>1083</v>
      </c>
      <c r="B477" t="s">
        <v>1078</v>
      </c>
    </row>
    <row r="478" spans="1:2" x14ac:dyDescent="0.25">
      <c r="A478" t="s">
        <v>1084</v>
      </c>
      <c r="B478" t="s">
        <v>1078</v>
      </c>
    </row>
    <row r="479" spans="1:2" x14ac:dyDescent="0.25">
      <c r="A479" t="s">
        <v>1085</v>
      </c>
      <c r="B479" t="s">
        <v>1078</v>
      </c>
    </row>
    <row r="480" spans="1:2" x14ac:dyDescent="0.25">
      <c r="A480" t="s">
        <v>817</v>
      </c>
      <c r="B480" t="s">
        <v>1078</v>
      </c>
    </row>
    <row r="481" spans="1:2" x14ac:dyDescent="0.25">
      <c r="A481" t="s">
        <v>818</v>
      </c>
      <c r="B481" t="s">
        <v>1078</v>
      </c>
    </row>
    <row r="482" spans="1:2" x14ac:dyDescent="0.25">
      <c r="A482" t="s">
        <v>819</v>
      </c>
      <c r="B482" t="s">
        <v>1078</v>
      </c>
    </row>
    <row r="483" spans="1:2" x14ac:dyDescent="0.25">
      <c r="A483" t="s">
        <v>820</v>
      </c>
      <c r="B483" t="s">
        <v>1078</v>
      </c>
    </row>
    <row r="484" spans="1:2" x14ac:dyDescent="0.25">
      <c r="A484" t="s">
        <v>1086</v>
      </c>
      <c r="B484" t="s">
        <v>1078</v>
      </c>
    </row>
    <row r="485" spans="1:2" x14ac:dyDescent="0.25">
      <c r="A485" t="s">
        <v>1087</v>
      </c>
      <c r="B485" t="s">
        <v>1078</v>
      </c>
    </row>
    <row r="486" spans="1:2" x14ac:dyDescent="0.25">
      <c r="A486" t="s">
        <v>1088</v>
      </c>
      <c r="B486" t="s">
        <v>1078</v>
      </c>
    </row>
    <row r="487" spans="1:2" x14ac:dyDescent="0.25">
      <c r="A487" t="s">
        <v>821</v>
      </c>
      <c r="B487" t="s">
        <v>1078</v>
      </c>
    </row>
    <row r="488" spans="1:2" x14ac:dyDescent="0.25">
      <c r="A488" t="s">
        <v>1089</v>
      </c>
      <c r="B488" t="s">
        <v>1078</v>
      </c>
    </row>
    <row r="489" spans="1:2" x14ac:dyDescent="0.25">
      <c r="A489" t="s">
        <v>1090</v>
      </c>
      <c r="B489" t="s">
        <v>1078</v>
      </c>
    </row>
    <row r="490" spans="1:2" x14ac:dyDescent="0.25">
      <c r="A490" t="s">
        <v>1091</v>
      </c>
      <c r="B490" t="s">
        <v>1078</v>
      </c>
    </row>
    <row r="491" spans="1:2" x14ac:dyDescent="0.25">
      <c r="A491" t="s">
        <v>822</v>
      </c>
    </row>
    <row r="492" spans="1:2" x14ac:dyDescent="0.25">
      <c r="A492" t="s">
        <v>823</v>
      </c>
    </row>
    <row r="493" spans="1:2" x14ac:dyDescent="0.25">
      <c r="A493" t="s">
        <v>824</v>
      </c>
    </row>
    <row r="494" spans="1:2" x14ac:dyDescent="0.25">
      <c r="A494" t="s">
        <v>825</v>
      </c>
    </row>
    <row r="495" spans="1:2" x14ac:dyDescent="0.25">
      <c r="A495" t="s">
        <v>826</v>
      </c>
    </row>
    <row r="496" spans="1:2" x14ac:dyDescent="0.25">
      <c r="A496" t="s">
        <v>827</v>
      </c>
    </row>
    <row r="497" spans="1:2" x14ac:dyDescent="0.25">
      <c r="A497" t="s">
        <v>828</v>
      </c>
    </row>
    <row r="498" spans="1:2" x14ac:dyDescent="0.25">
      <c r="A498" t="s">
        <v>829</v>
      </c>
    </row>
    <row r="499" spans="1:2" x14ac:dyDescent="0.25">
      <c r="A499" t="s">
        <v>830</v>
      </c>
    </row>
    <row r="500" spans="1:2" x14ac:dyDescent="0.25">
      <c r="A500" t="s">
        <v>831</v>
      </c>
    </row>
    <row r="501" spans="1:2" x14ac:dyDescent="0.25">
      <c r="A501" t="s">
        <v>832</v>
      </c>
      <c r="B501">
        <v>0.45</v>
      </c>
    </row>
    <row r="502" spans="1:2" x14ac:dyDescent="0.25">
      <c r="A502" t="s">
        <v>833</v>
      </c>
    </row>
    <row r="503" spans="1:2" x14ac:dyDescent="0.25">
      <c r="A503" t="s">
        <v>834</v>
      </c>
    </row>
    <row r="504" spans="1:2" x14ac:dyDescent="0.25">
      <c r="A504" t="s">
        <v>835</v>
      </c>
    </row>
    <row r="505" spans="1:2" x14ac:dyDescent="0.25">
      <c r="A505" t="s">
        <v>836</v>
      </c>
    </row>
    <row r="506" spans="1:2" x14ac:dyDescent="0.25">
      <c r="A506" t="s">
        <v>837</v>
      </c>
    </row>
    <row r="507" spans="1:2" x14ac:dyDescent="0.25">
      <c r="A507" t="s">
        <v>838</v>
      </c>
    </row>
    <row r="508" spans="1:2" x14ac:dyDescent="0.25">
      <c r="A508" t="s">
        <v>839</v>
      </c>
    </row>
    <row r="509" spans="1:2" x14ac:dyDescent="0.25">
      <c r="A509" t="s">
        <v>840</v>
      </c>
    </row>
    <row r="510" spans="1:2" x14ac:dyDescent="0.25">
      <c r="A510" t="s">
        <v>841</v>
      </c>
    </row>
    <row r="511" spans="1:2" x14ac:dyDescent="0.25">
      <c r="A511" t="s">
        <v>842</v>
      </c>
      <c r="B511">
        <v>2</v>
      </c>
    </row>
    <row r="512" spans="1:2" x14ac:dyDescent="0.25">
      <c r="A512" t="s">
        <v>843</v>
      </c>
      <c r="B512" t="s">
        <v>1038</v>
      </c>
    </row>
    <row r="513" spans="1:2" x14ac:dyDescent="0.25">
      <c r="A513" t="s">
        <v>844</v>
      </c>
      <c r="B513" t="s">
        <v>1039</v>
      </c>
    </row>
    <row r="514" spans="1:2" x14ac:dyDescent="0.25">
      <c r="A514" t="s">
        <v>845</v>
      </c>
      <c r="B514" t="s">
        <v>307</v>
      </c>
    </row>
    <row r="515" spans="1:2" x14ac:dyDescent="0.25">
      <c r="A515" t="s">
        <v>846</v>
      </c>
      <c r="B515" t="s">
        <v>1092</v>
      </c>
    </row>
    <row r="516" spans="1:2" x14ac:dyDescent="0.25">
      <c r="A516" t="s">
        <v>847</v>
      </c>
      <c r="B516">
        <v>35</v>
      </c>
    </row>
    <row r="517" spans="1:2" x14ac:dyDescent="0.25">
      <c r="A517" t="s">
        <v>848</v>
      </c>
      <c r="B517" t="s">
        <v>315</v>
      </c>
    </row>
    <row r="518" spans="1:2" x14ac:dyDescent="0.25">
      <c r="A518" t="s">
        <v>849</v>
      </c>
      <c r="B518">
        <v>0</v>
      </c>
    </row>
    <row r="519" spans="1:2" x14ac:dyDescent="0.25">
      <c r="A519" t="s">
        <v>850</v>
      </c>
      <c r="B519">
        <v>16</v>
      </c>
    </row>
    <row r="520" spans="1:2" x14ac:dyDescent="0.25">
      <c r="A520" t="s">
        <v>851</v>
      </c>
      <c r="B520">
        <v>21</v>
      </c>
    </row>
    <row r="521" spans="1:2" x14ac:dyDescent="0.25">
      <c r="A521" t="s">
        <v>852</v>
      </c>
      <c r="B521">
        <v>30</v>
      </c>
    </row>
    <row r="522" spans="1:2" x14ac:dyDescent="0.25">
      <c r="A522" t="s">
        <v>853</v>
      </c>
      <c r="B522">
        <v>0.5</v>
      </c>
    </row>
    <row r="523" spans="1:2" x14ac:dyDescent="0.25">
      <c r="A523" t="s">
        <v>854</v>
      </c>
      <c r="B523">
        <v>2</v>
      </c>
    </row>
    <row r="524" spans="1:2" x14ac:dyDescent="0.25">
      <c r="A524" t="s">
        <v>855</v>
      </c>
      <c r="B524">
        <v>65</v>
      </c>
    </row>
    <row r="525" spans="1:2" x14ac:dyDescent="0.25">
      <c r="A525" t="s">
        <v>856</v>
      </c>
      <c r="B525" t="s">
        <v>1093</v>
      </c>
    </row>
    <row r="526" spans="1:2" x14ac:dyDescent="0.25">
      <c r="A526" t="s">
        <v>857</v>
      </c>
      <c r="B526">
        <v>1</v>
      </c>
    </row>
    <row r="527" spans="1:2" x14ac:dyDescent="0.25">
      <c r="A527" t="s">
        <v>858</v>
      </c>
      <c r="B527">
        <v>1</v>
      </c>
    </row>
    <row r="528" spans="1:2" x14ac:dyDescent="0.25">
      <c r="A528" t="s">
        <v>859</v>
      </c>
      <c r="B528" t="s">
        <v>303</v>
      </c>
    </row>
    <row r="529" spans="1:2" x14ac:dyDescent="0.25">
      <c r="A529" t="s">
        <v>860</v>
      </c>
      <c r="B529" t="s">
        <v>303</v>
      </c>
    </row>
    <row r="530" spans="1:2" x14ac:dyDescent="0.25">
      <c r="A530" t="s">
        <v>861</v>
      </c>
      <c r="B530">
        <v>0</v>
      </c>
    </row>
    <row r="531" spans="1:2" x14ac:dyDescent="0.25">
      <c r="A531" t="s">
        <v>862</v>
      </c>
      <c r="B531">
        <v>0</v>
      </c>
    </row>
    <row r="532" spans="1:2" x14ac:dyDescent="0.25">
      <c r="A532" t="s">
        <v>863</v>
      </c>
      <c r="B532">
        <v>0</v>
      </c>
    </row>
    <row r="533" spans="1:2" x14ac:dyDescent="0.25">
      <c r="A533" t="s">
        <v>864</v>
      </c>
      <c r="B533">
        <v>36</v>
      </c>
    </row>
    <row r="534" spans="1:2" x14ac:dyDescent="0.25">
      <c r="A534" t="s">
        <v>865</v>
      </c>
      <c r="B534" t="s">
        <v>320</v>
      </c>
    </row>
    <row r="535" spans="1:2" x14ac:dyDescent="0.25">
      <c r="A535" t="s">
        <v>866</v>
      </c>
      <c r="B535">
        <v>1</v>
      </c>
    </row>
    <row r="536" spans="1:2" x14ac:dyDescent="0.25">
      <c r="A536" t="s">
        <v>867</v>
      </c>
      <c r="B536">
        <v>1</v>
      </c>
    </row>
    <row r="537" spans="1:2" x14ac:dyDescent="0.25">
      <c r="A537" t="s">
        <v>868</v>
      </c>
      <c r="B537">
        <v>0</v>
      </c>
    </row>
    <row r="538" spans="1:2" x14ac:dyDescent="0.25">
      <c r="A538" t="s">
        <v>869</v>
      </c>
      <c r="B538">
        <v>0</v>
      </c>
    </row>
    <row r="539" spans="1:2" x14ac:dyDescent="0.25">
      <c r="A539" t="s">
        <v>870</v>
      </c>
      <c r="B539">
        <v>0</v>
      </c>
    </row>
    <row r="540" spans="1:2" x14ac:dyDescent="0.25">
      <c r="A540" t="s">
        <v>871</v>
      </c>
      <c r="B540">
        <v>0</v>
      </c>
    </row>
    <row r="541" spans="1:2" x14ac:dyDescent="0.25">
      <c r="A541" t="s">
        <v>872</v>
      </c>
      <c r="B541">
        <v>0</v>
      </c>
    </row>
    <row r="542" spans="1:2" x14ac:dyDescent="0.25">
      <c r="A542" t="s">
        <v>873</v>
      </c>
      <c r="B542">
        <v>0</v>
      </c>
    </row>
    <row r="543" spans="1:2" x14ac:dyDescent="0.25">
      <c r="A543" t="s">
        <v>874</v>
      </c>
      <c r="B543">
        <v>0</v>
      </c>
    </row>
    <row r="544" spans="1:2" x14ac:dyDescent="0.25">
      <c r="A544" t="s">
        <v>875</v>
      </c>
      <c r="B544">
        <v>0</v>
      </c>
    </row>
    <row r="545" spans="1:2" x14ac:dyDescent="0.25">
      <c r="A545" t="s">
        <v>876</v>
      </c>
      <c r="B545">
        <v>1</v>
      </c>
    </row>
    <row r="546" spans="1:2" x14ac:dyDescent="0.25">
      <c r="A546" t="s">
        <v>877</v>
      </c>
      <c r="B546">
        <v>1</v>
      </c>
    </row>
    <row r="547" spans="1:2" x14ac:dyDescent="0.25">
      <c r="A547" t="s">
        <v>878</v>
      </c>
      <c r="B547">
        <v>1</v>
      </c>
    </row>
    <row r="548" spans="1:2" x14ac:dyDescent="0.25">
      <c r="A548" t="s">
        <v>879</v>
      </c>
      <c r="B548">
        <v>1</v>
      </c>
    </row>
    <row r="549" spans="1:2" x14ac:dyDescent="0.25">
      <c r="A549" t="s">
        <v>880</v>
      </c>
      <c r="B549">
        <v>1</v>
      </c>
    </row>
    <row r="550" spans="1:2" x14ac:dyDescent="0.25">
      <c r="A550" t="s">
        <v>881</v>
      </c>
      <c r="B550">
        <v>1</v>
      </c>
    </row>
    <row r="551" spans="1:2" x14ac:dyDescent="0.25">
      <c r="A551" t="s">
        <v>882</v>
      </c>
      <c r="B551">
        <v>1</v>
      </c>
    </row>
    <row r="552" spans="1:2" x14ac:dyDescent="0.25">
      <c r="A552" t="s">
        <v>883</v>
      </c>
      <c r="B552">
        <v>1</v>
      </c>
    </row>
    <row r="553" spans="1:2" x14ac:dyDescent="0.25">
      <c r="A553" t="s">
        <v>884</v>
      </c>
      <c r="B553">
        <v>1</v>
      </c>
    </row>
    <row r="554" spans="1:2" x14ac:dyDescent="0.25">
      <c r="A554" t="s">
        <v>885</v>
      </c>
      <c r="B554">
        <v>1</v>
      </c>
    </row>
    <row r="555" spans="1:2" x14ac:dyDescent="0.25">
      <c r="A555" t="s">
        <v>886</v>
      </c>
      <c r="B555">
        <v>1</v>
      </c>
    </row>
    <row r="556" spans="1:2" x14ac:dyDescent="0.25">
      <c r="A556" t="s">
        <v>887</v>
      </c>
      <c r="B556">
        <v>1</v>
      </c>
    </row>
    <row r="557" spans="1:2" x14ac:dyDescent="0.25">
      <c r="A557" t="s">
        <v>888</v>
      </c>
      <c r="B557">
        <v>1</v>
      </c>
    </row>
    <row r="558" spans="1:2" x14ac:dyDescent="0.25">
      <c r="A558" t="s">
        <v>889</v>
      </c>
      <c r="B558">
        <v>1</v>
      </c>
    </row>
    <row r="559" spans="1:2" x14ac:dyDescent="0.25">
      <c r="A559" t="s">
        <v>890</v>
      </c>
      <c r="B559">
        <v>1</v>
      </c>
    </row>
    <row r="560" spans="1:2" x14ac:dyDescent="0.25">
      <c r="A560" t="s">
        <v>891</v>
      </c>
      <c r="B560">
        <v>1</v>
      </c>
    </row>
    <row r="561" spans="1:2" x14ac:dyDescent="0.25">
      <c r="A561" t="s">
        <v>892</v>
      </c>
      <c r="B561">
        <v>1</v>
      </c>
    </row>
    <row r="562" spans="1:2" x14ac:dyDescent="0.25">
      <c r="A562" t="s">
        <v>893</v>
      </c>
      <c r="B562">
        <v>1</v>
      </c>
    </row>
    <row r="563" spans="1:2" x14ac:dyDescent="0.25">
      <c r="A563" t="s">
        <v>894</v>
      </c>
      <c r="B563">
        <v>1</v>
      </c>
    </row>
    <row r="564" spans="1:2" x14ac:dyDescent="0.25">
      <c r="A564" t="s">
        <v>895</v>
      </c>
      <c r="B564">
        <v>1</v>
      </c>
    </row>
    <row r="565" spans="1:2" x14ac:dyDescent="0.25">
      <c r="A565" t="s">
        <v>896</v>
      </c>
      <c r="B565">
        <v>1</v>
      </c>
    </row>
    <row r="566" spans="1:2" x14ac:dyDescent="0.25">
      <c r="A566" t="s">
        <v>897</v>
      </c>
      <c r="B566">
        <v>1</v>
      </c>
    </row>
    <row r="567" spans="1:2" x14ac:dyDescent="0.25">
      <c r="A567" t="s">
        <v>898</v>
      </c>
      <c r="B567">
        <v>1</v>
      </c>
    </row>
    <row r="568" spans="1:2" x14ac:dyDescent="0.25">
      <c r="A568" t="s">
        <v>899</v>
      </c>
      <c r="B568">
        <v>0.5</v>
      </c>
    </row>
    <row r="569" spans="1:2" x14ac:dyDescent="0.25">
      <c r="A569" t="s">
        <v>900</v>
      </c>
      <c r="B569">
        <v>0.85</v>
      </c>
    </row>
    <row r="570" spans="1:2" x14ac:dyDescent="0.25">
      <c r="A570" t="s">
        <v>901</v>
      </c>
      <c r="B570">
        <v>1</v>
      </c>
    </row>
    <row r="571" spans="1:2" x14ac:dyDescent="0.25">
      <c r="A571" t="s">
        <v>902</v>
      </c>
      <c r="B571">
        <v>0.5</v>
      </c>
    </row>
    <row r="572" spans="1:2" x14ac:dyDescent="0.25">
      <c r="A572" t="s">
        <v>903</v>
      </c>
      <c r="B572">
        <v>0.85</v>
      </c>
    </row>
    <row r="573" spans="1:2" x14ac:dyDescent="0.25">
      <c r="A573" t="s">
        <v>904</v>
      </c>
      <c r="B573">
        <v>1</v>
      </c>
    </row>
    <row r="574" spans="1:2" x14ac:dyDescent="0.25">
      <c r="A574" t="s">
        <v>905</v>
      </c>
      <c r="B574" t="s">
        <v>1094</v>
      </c>
    </row>
    <row r="575" spans="1:2" x14ac:dyDescent="0.25">
      <c r="A575" t="s">
        <v>906</v>
      </c>
      <c r="B575" t="s">
        <v>1094</v>
      </c>
    </row>
    <row r="576" spans="1:2" x14ac:dyDescent="0.25">
      <c r="A576" t="s">
        <v>907</v>
      </c>
      <c r="B576">
        <v>36</v>
      </c>
    </row>
    <row r="577" spans="1:2" x14ac:dyDescent="0.25">
      <c r="A577" t="s">
        <v>908</v>
      </c>
      <c r="B577">
        <v>36</v>
      </c>
    </row>
    <row r="578" spans="1:2" x14ac:dyDescent="0.25">
      <c r="A578" t="s">
        <v>909</v>
      </c>
      <c r="B578">
        <v>36</v>
      </c>
    </row>
    <row r="579" spans="1:2" x14ac:dyDescent="0.25">
      <c r="A579" t="s">
        <v>910</v>
      </c>
      <c r="B579">
        <v>36</v>
      </c>
    </row>
    <row r="580" spans="1:2" x14ac:dyDescent="0.25">
      <c r="A580" t="s">
        <v>911</v>
      </c>
      <c r="B580">
        <v>0</v>
      </c>
    </row>
    <row r="581" spans="1:2" x14ac:dyDescent="0.25">
      <c r="A581" t="s">
        <v>912</v>
      </c>
      <c r="B581">
        <v>1</v>
      </c>
    </row>
    <row r="582" spans="1:2" x14ac:dyDescent="0.25">
      <c r="A582" t="s">
        <v>913</v>
      </c>
      <c r="B582">
        <v>0</v>
      </c>
    </row>
    <row r="583" spans="1:2" x14ac:dyDescent="0.25">
      <c r="A583" t="s">
        <v>914</v>
      </c>
      <c r="B583">
        <v>0</v>
      </c>
    </row>
    <row r="584" spans="1:2" x14ac:dyDescent="0.25">
      <c r="A584" t="s">
        <v>915</v>
      </c>
      <c r="B584">
        <v>0</v>
      </c>
    </row>
    <row r="585" spans="1:2" x14ac:dyDescent="0.25">
      <c r="A585" t="s">
        <v>916</v>
      </c>
      <c r="B585">
        <v>0</v>
      </c>
    </row>
    <row r="586" spans="1:2" x14ac:dyDescent="0.25">
      <c r="A586" t="s">
        <v>970</v>
      </c>
      <c r="B586">
        <v>0</v>
      </c>
    </row>
    <row r="587" spans="1:2" x14ac:dyDescent="0.25">
      <c r="A587" t="s">
        <v>919</v>
      </c>
      <c r="B587">
        <v>0</v>
      </c>
    </row>
    <row r="588" spans="1:2" x14ac:dyDescent="0.25">
      <c r="A588" t="s">
        <v>920</v>
      </c>
      <c r="B588">
        <v>0.75</v>
      </c>
    </row>
    <row r="589" spans="1:2" x14ac:dyDescent="0.25">
      <c r="A589" t="s">
        <v>921</v>
      </c>
      <c r="B589">
        <v>0.75</v>
      </c>
    </row>
    <row r="590" spans="1:2" x14ac:dyDescent="0.25">
      <c r="A590" t="s">
        <v>922</v>
      </c>
      <c r="B590">
        <v>0.75</v>
      </c>
    </row>
    <row r="591" spans="1:2" x14ac:dyDescent="0.25">
      <c r="A591" t="s">
        <v>923</v>
      </c>
      <c r="B591">
        <v>0.75</v>
      </c>
    </row>
    <row r="592" spans="1:2" x14ac:dyDescent="0.25">
      <c r="A592" t="s">
        <v>924</v>
      </c>
      <c r="B592">
        <v>0.75</v>
      </c>
    </row>
    <row r="593" spans="1:2" x14ac:dyDescent="0.25">
      <c r="A593" t="s">
        <v>925</v>
      </c>
      <c r="B593">
        <v>0.75</v>
      </c>
    </row>
    <row r="594" spans="1:2" x14ac:dyDescent="0.25">
      <c r="A594" t="s">
        <v>926</v>
      </c>
      <c r="B594" t="s">
        <v>537</v>
      </c>
    </row>
    <row r="595" spans="1:2" x14ac:dyDescent="0.25">
      <c r="A595" t="s">
        <v>927</v>
      </c>
      <c r="B595">
        <v>0</v>
      </c>
    </row>
    <row r="596" spans="1:2" x14ac:dyDescent="0.25">
      <c r="A596" t="s">
        <v>928</v>
      </c>
      <c r="B596">
        <v>0</v>
      </c>
    </row>
    <row r="597" spans="1:2" x14ac:dyDescent="0.25">
      <c r="A597" t="s">
        <v>929</v>
      </c>
      <c r="B597">
        <v>0</v>
      </c>
    </row>
    <row r="598" spans="1:2" x14ac:dyDescent="0.25">
      <c r="A598" t="s">
        <v>930</v>
      </c>
      <c r="B598">
        <v>0</v>
      </c>
    </row>
    <row r="599" spans="1:2" x14ac:dyDescent="0.25">
      <c r="A599" t="s">
        <v>931</v>
      </c>
      <c r="B599">
        <v>0</v>
      </c>
    </row>
    <row r="600" spans="1:2" x14ac:dyDescent="0.25">
      <c r="A600" t="s">
        <v>932</v>
      </c>
      <c r="B600">
        <v>0</v>
      </c>
    </row>
    <row r="601" spans="1:2" x14ac:dyDescent="0.25">
      <c r="A601" t="s">
        <v>933</v>
      </c>
      <c r="B601">
        <v>0</v>
      </c>
    </row>
    <row r="602" spans="1:2" x14ac:dyDescent="0.25">
      <c r="A602" t="s">
        <v>934</v>
      </c>
      <c r="B602" t="s">
        <v>551</v>
      </c>
    </row>
    <row r="603" spans="1:2" x14ac:dyDescent="0.25">
      <c r="A603" t="s">
        <v>935</v>
      </c>
      <c r="B603">
        <v>0.75</v>
      </c>
    </row>
    <row r="604" spans="1:2" x14ac:dyDescent="0.25">
      <c r="A604" t="s">
        <v>936</v>
      </c>
      <c r="B604" t="s">
        <v>551</v>
      </c>
    </row>
    <row r="605" spans="1:2" x14ac:dyDescent="0.25">
      <c r="A605" t="s">
        <v>937</v>
      </c>
      <c r="B605">
        <v>0.625</v>
      </c>
    </row>
    <row r="606" spans="1:2" x14ac:dyDescent="0.25">
      <c r="A606" t="s">
        <v>938</v>
      </c>
      <c r="B606" t="s">
        <v>551</v>
      </c>
    </row>
    <row r="607" spans="1:2" x14ac:dyDescent="0.25">
      <c r="A607" t="s">
        <v>939</v>
      </c>
      <c r="B607">
        <v>0.625</v>
      </c>
    </row>
    <row r="608" spans="1:2" x14ac:dyDescent="0.25">
      <c r="A608" t="s">
        <v>940</v>
      </c>
      <c r="B608" t="s">
        <v>551</v>
      </c>
    </row>
    <row r="609" spans="1:2" x14ac:dyDescent="0.25">
      <c r="A609" t="s">
        <v>941</v>
      </c>
      <c r="B609">
        <v>0.625</v>
      </c>
    </row>
    <row r="610" spans="1:2" x14ac:dyDescent="0.25">
      <c r="A610" t="s">
        <v>942</v>
      </c>
      <c r="B610" t="s">
        <v>551</v>
      </c>
    </row>
    <row r="611" spans="1:2" x14ac:dyDescent="0.25">
      <c r="A611" t="s">
        <v>943</v>
      </c>
      <c r="B611">
        <v>0.625</v>
      </c>
    </row>
    <row r="612" spans="1:2" x14ac:dyDescent="0.25">
      <c r="A612" t="s">
        <v>944</v>
      </c>
      <c r="B612" t="s">
        <v>551</v>
      </c>
    </row>
    <row r="613" spans="1:2" x14ac:dyDescent="0.25">
      <c r="A613" t="s">
        <v>945</v>
      </c>
      <c r="B613">
        <v>0.625</v>
      </c>
    </row>
    <row r="614" spans="1:2" x14ac:dyDescent="0.25">
      <c r="A614" t="s">
        <v>946</v>
      </c>
      <c r="B614" t="s">
        <v>551</v>
      </c>
    </row>
    <row r="615" spans="1:2" x14ac:dyDescent="0.25">
      <c r="A615" t="s">
        <v>947</v>
      </c>
      <c r="B615">
        <v>0.625</v>
      </c>
    </row>
    <row r="616" spans="1:2" x14ac:dyDescent="0.25">
      <c r="A616" t="s">
        <v>948</v>
      </c>
      <c r="B616">
        <v>0</v>
      </c>
    </row>
    <row r="617" spans="1:2" x14ac:dyDescent="0.25">
      <c r="A617" t="s">
        <v>949</v>
      </c>
      <c r="B617">
        <v>0</v>
      </c>
    </row>
    <row r="618" spans="1:2" x14ac:dyDescent="0.25">
      <c r="A618" t="s">
        <v>950</v>
      </c>
      <c r="B618">
        <v>0</v>
      </c>
    </row>
    <row r="619" spans="1:2" x14ac:dyDescent="0.25">
      <c r="A619" t="s">
        <v>951</v>
      </c>
      <c r="B619">
        <v>0</v>
      </c>
    </row>
    <row r="620" spans="1:2" x14ac:dyDescent="0.25">
      <c r="A620" t="s">
        <v>952</v>
      </c>
      <c r="B620">
        <v>0</v>
      </c>
    </row>
    <row r="621" spans="1:2" x14ac:dyDescent="0.25">
      <c r="A621" t="s">
        <v>953</v>
      </c>
      <c r="B621">
        <v>0</v>
      </c>
    </row>
    <row r="622" spans="1:2" x14ac:dyDescent="0.25">
      <c r="A622" t="s">
        <v>954</v>
      </c>
      <c r="B622">
        <v>0</v>
      </c>
    </row>
    <row r="623" spans="1:2" x14ac:dyDescent="0.25">
      <c r="A623" t="s">
        <v>955</v>
      </c>
      <c r="B623">
        <v>0</v>
      </c>
    </row>
    <row r="624" spans="1:2" x14ac:dyDescent="0.25">
      <c r="A624" t="s">
        <v>956</v>
      </c>
      <c r="B624">
        <v>0</v>
      </c>
    </row>
    <row r="625" spans="1:2" x14ac:dyDescent="0.25">
      <c r="A625" t="s">
        <v>957</v>
      </c>
      <c r="B625">
        <v>0</v>
      </c>
    </row>
    <row r="626" spans="1:2" x14ac:dyDescent="0.25">
      <c r="A626" t="s">
        <v>958</v>
      </c>
      <c r="B626">
        <v>0</v>
      </c>
    </row>
    <row r="627" spans="1:2" x14ac:dyDescent="0.25">
      <c r="A627" t="s">
        <v>959</v>
      </c>
      <c r="B627">
        <v>0</v>
      </c>
    </row>
    <row r="628" spans="1:2" x14ac:dyDescent="0.25">
      <c r="A628" t="s">
        <v>960</v>
      </c>
      <c r="B628">
        <v>0</v>
      </c>
    </row>
    <row r="629" spans="1:2" x14ac:dyDescent="0.25">
      <c r="A629" t="s">
        <v>1095</v>
      </c>
      <c r="B629" t="s">
        <v>551</v>
      </c>
    </row>
    <row r="630" spans="1:2" x14ac:dyDescent="0.25">
      <c r="A630" t="s">
        <v>1096</v>
      </c>
      <c r="B630">
        <v>0.625</v>
      </c>
    </row>
    <row r="631" spans="1:2" x14ac:dyDescent="0.25">
      <c r="A631" t="s">
        <v>1097</v>
      </c>
      <c r="B631">
        <v>0</v>
      </c>
    </row>
    <row r="632" spans="1:2" x14ac:dyDescent="0.25">
      <c r="A632" t="s">
        <v>1098</v>
      </c>
      <c r="B632">
        <v>0</v>
      </c>
    </row>
    <row r="633" spans="1:2" x14ac:dyDescent="0.25">
      <c r="A633" t="s">
        <v>1099</v>
      </c>
      <c r="B633">
        <v>0</v>
      </c>
    </row>
    <row r="634" spans="1:2" x14ac:dyDescent="0.25">
      <c r="A634" t="s">
        <v>1100</v>
      </c>
      <c r="B634">
        <v>0</v>
      </c>
    </row>
    <row r="635" spans="1:2" x14ac:dyDescent="0.25">
      <c r="A635" t="s">
        <v>1101</v>
      </c>
      <c r="B635">
        <v>0.75</v>
      </c>
    </row>
    <row r="636" spans="1:2" x14ac:dyDescent="0.25">
      <c r="A636" t="s">
        <v>1102</v>
      </c>
      <c r="B636" t="s">
        <v>551</v>
      </c>
    </row>
    <row r="637" spans="1:2" x14ac:dyDescent="0.25">
      <c r="A637" t="s">
        <v>1103</v>
      </c>
      <c r="B637">
        <v>0.625</v>
      </c>
    </row>
    <row r="638" spans="1:2" x14ac:dyDescent="0.25">
      <c r="A638" t="s">
        <v>1104</v>
      </c>
      <c r="B638">
        <v>0</v>
      </c>
    </row>
    <row r="639" spans="1:2" x14ac:dyDescent="0.25">
      <c r="A639" t="s">
        <v>1105</v>
      </c>
      <c r="B639">
        <v>0</v>
      </c>
    </row>
    <row r="640" spans="1:2" x14ac:dyDescent="0.25">
      <c r="A640" t="s">
        <v>1106</v>
      </c>
      <c r="B640">
        <v>0</v>
      </c>
    </row>
    <row r="641" spans="1:2" x14ac:dyDescent="0.25">
      <c r="A641" t="s">
        <v>1107</v>
      </c>
      <c r="B641">
        <v>0</v>
      </c>
    </row>
    <row r="642" spans="1:2" x14ac:dyDescent="0.25">
      <c r="A642" t="s">
        <v>1108</v>
      </c>
      <c r="B642">
        <v>0.75</v>
      </c>
    </row>
    <row r="643" spans="1:2" x14ac:dyDescent="0.25">
      <c r="A643" t="s">
        <v>1109</v>
      </c>
      <c r="B643" t="s">
        <v>551</v>
      </c>
    </row>
    <row r="644" spans="1:2" x14ac:dyDescent="0.25">
      <c r="A644" t="s">
        <v>1110</v>
      </c>
      <c r="B644">
        <v>0.625</v>
      </c>
    </row>
    <row r="645" spans="1:2" x14ac:dyDescent="0.25">
      <c r="A645" t="s">
        <v>1111</v>
      </c>
      <c r="B645">
        <v>0</v>
      </c>
    </row>
    <row r="646" spans="1:2" x14ac:dyDescent="0.25">
      <c r="A646" t="s">
        <v>1112</v>
      </c>
      <c r="B646">
        <v>0</v>
      </c>
    </row>
    <row r="647" spans="1:2" x14ac:dyDescent="0.25">
      <c r="A647" t="s">
        <v>1113</v>
      </c>
      <c r="B647">
        <v>0</v>
      </c>
    </row>
    <row r="648" spans="1:2" x14ac:dyDescent="0.25">
      <c r="A648" t="s">
        <v>1114</v>
      </c>
      <c r="B648">
        <v>0</v>
      </c>
    </row>
    <row r="649" spans="1:2" x14ac:dyDescent="0.25">
      <c r="A649" t="s">
        <v>1115</v>
      </c>
      <c r="B649">
        <v>0.75</v>
      </c>
    </row>
    <row r="650" spans="1:2" x14ac:dyDescent="0.25">
      <c r="A650" t="s">
        <v>1116</v>
      </c>
      <c r="B650" t="s">
        <v>551</v>
      </c>
    </row>
    <row r="651" spans="1:2" x14ac:dyDescent="0.25">
      <c r="A651" t="s">
        <v>1117</v>
      </c>
      <c r="B651">
        <v>0.625</v>
      </c>
    </row>
    <row r="652" spans="1:2" x14ac:dyDescent="0.25">
      <c r="A652" t="s">
        <v>1118</v>
      </c>
      <c r="B652">
        <v>0</v>
      </c>
    </row>
    <row r="653" spans="1:2" x14ac:dyDescent="0.25">
      <c r="A653" t="s">
        <v>1119</v>
      </c>
      <c r="B653">
        <v>0</v>
      </c>
    </row>
    <row r="654" spans="1:2" x14ac:dyDescent="0.25">
      <c r="A654" t="s">
        <v>1120</v>
      </c>
      <c r="B654">
        <v>0</v>
      </c>
    </row>
    <row r="655" spans="1:2" x14ac:dyDescent="0.25">
      <c r="A655" t="s">
        <v>1121</v>
      </c>
      <c r="B655">
        <v>0</v>
      </c>
    </row>
    <row r="656" spans="1:2" x14ac:dyDescent="0.25">
      <c r="A656" t="s">
        <v>1122</v>
      </c>
      <c r="B656">
        <v>0.75</v>
      </c>
    </row>
    <row r="657" spans="1:2" x14ac:dyDescent="0.25">
      <c r="A657" t="s">
        <v>1123</v>
      </c>
      <c r="B657" t="s">
        <v>551</v>
      </c>
    </row>
    <row r="658" spans="1:2" x14ac:dyDescent="0.25">
      <c r="A658" t="s">
        <v>1124</v>
      </c>
      <c r="B658">
        <v>0.625</v>
      </c>
    </row>
    <row r="659" spans="1:2" x14ac:dyDescent="0.25">
      <c r="A659" t="s">
        <v>1125</v>
      </c>
      <c r="B659">
        <v>0</v>
      </c>
    </row>
    <row r="660" spans="1:2" x14ac:dyDescent="0.25">
      <c r="A660" t="s">
        <v>1126</v>
      </c>
      <c r="B660">
        <v>0</v>
      </c>
    </row>
    <row r="661" spans="1:2" x14ac:dyDescent="0.25">
      <c r="A661" t="s">
        <v>1127</v>
      </c>
      <c r="B661">
        <v>0</v>
      </c>
    </row>
    <row r="662" spans="1:2" x14ac:dyDescent="0.25">
      <c r="A662" t="s">
        <v>1128</v>
      </c>
      <c r="B662">
        <v>0</v>
      </c>
    </row>
    <row r="663" spans="1:2" x14ac:dyDescent="0.25">
      <c r="A663" t="s">
        <v>1129</v>
      </c>
      <c r="B663">
        <v>0.75</v>
      </c>
    </row>
    <row r="664" spans="1:2" x14ac:dyDescent="0.25">
      <c r="A664" t="s">
        <v>1130</v>
      </c>
      <c r="B664" t="s">
        <v>551</v>
      </c>
    </row>
    <row r="665" spans="1:2" x14ac:dyDescent="0.25">
      <c r="A665" t="s">
        <v>1131</v>
      </c>
      <c r="B665">
        <v>0.625</v>
      </c>
    </row>
    <row r="666" spans="1:2" x14ac:dyDescent="0.25">
      <c r="A666" t="s">
        <v>1132</v>
      </c>
      <c r="B666">
        <v>0</v>
      </c>
    </row>
    <row r="667" spans="1:2" x14ac:dyDescent="0.25">
      <c r="A667" t="s">
        <v>1133</v>
      </c>
      <c r="B667">
        <v>0</v>
      </c>
    </row>
    <row r="668" spans="1:2" x14ac:dyDescent="0.25">
      <c r="A668" t="s">
        <v>1134</v>
      </c>
      <c r="B668">
        <v>0</v>
      </c>
    </row>
    <row r="669" spans="1:2" x14ac:dyDescent="0.25">
      <c r="A669" t="s">
        <v>1135</v>
      </c>
      <c r="B669">
        <v>0</v>
      </c>
    </row>
    <row r="670" spans="1:2" x14ac:dyDescent="0.25">
      <c r="A670" t="s">
        <v>1136</v>
      </c>
      <c r="B670">
        <v>0.75</v>
      </c>
    </row>
    <row r="671" spans="1:2" x14ac:dyDescent="0.25">
      <c r="A671" t="s">
        <v>1137</v>
      </c>
      <c r="B671" t="s">
        <v>551</v>
      </c>
    </row>
    <row r="672" spans="1:2" x14ac:dyDescent="0.25">
      <c r="A672" t="s">
        <v>1138</v>
      </c>
      <c r="B672">
        <v>0.625</v>
      </c>
    </row>
    <row r="673" spans="1:2" x14ac:dyDescent="0.25">
      <c r="A673" t="s">
        <v>1139</v>
      </c>
      <c r="B673">
        <v>0</v>
      </c>
    </row>
    <row r="674" spans="1:2" x14ac:dyDescent="0.25">
      <c r="A674" t="s">
        <v>1140</v>
      </c>
      <c r="B674">
        <v>0</v>
      </c>
    </row>
    <row r="675" spans="1:2" x14ac:dyDescent="0.25">
      <c r="A675" t="s">
        <v>1141</v>
      </c>
      <c r="B675">
        <v>0</v>
      </c>
    </row>
    <row r="676" spans="1:2" x14ac:dyDescent="0.25">
      <c r="A676" t="s">
        <v>1142</v>
      </c>
      <c r="B676">
        <v>0</v>
      </c>
    </row>
    <row r="677" spans="1:2" x14ac:dyDescent="0.25">
      <c r="A677" t="s">
        <v>1143</v>
      </c>
      <c r="B677">
        <v>0.75</v>
      </c>
    </row>
    <row r="678" spans="1:2" x14ac:dyDescent="0.25">
      <c r="A678" t="s">
        <v>1144</v>
      </c>
      <c r="B678" t="s">
        <v>551</v>
      </c>
    </row>
    <row r="679" spans="1:2" x14ac:dyDescent="0.25">
      <c r="A679" t="s">
        <v>1145</v>
      </c>
      <c r="B679">
        <v>0.625</v>
      </c>
    </row>
    <row r="680" spans="1:2" x14ac:dyDescent="0.25">
      <c r="A680" t="s">
        <v>1146</v>
      </c>
      <c r="B680">
        <v>0</v>
      </c>
    </row>
    <row r="681" spans="1:2" x14ac:dyDescent="0.25">
      <c r="A681" t="s">
        <v>1147</v>
      </c>
      <c r="B681">
        <v>0</v>
      </c>
    </row>
    <row r="682" spans="1:2" x14ac:dyDescent="0.25">
      <c r="A682" t="s">
        <v>1148</v>
      </c>
      <c r="B682">
        <v>0</v>
      </c>
    </row>
    <row r="683" spans="1:2" x14ac:dyDescent="0.25">
      <c r="A683" t="s">
        <v>1149</v>
      </c>
      <c r="B683">
        <v>0</v>
      </c>
    </row>
    <row r="684" spans="1:2" x14ac:dyDescent="0.25">
      <c r="A684" t="s">
        <v>1150</v>
      </c>
      <c r="B684">
        <v>0.75</v>
      </c>
    </row>
    <row r="685" spans="1:2" x14ac:dyDescent="0.25">
      <c r="A685" t="s">
        <v>985</v>
      </c>
      <c r="B685" t="s">
        <v>551</v>
      </c>
    </row>
    <row r="686" spans="1:2" x14ac:dyDescent="0.25">
      <c r="A686" t="s">
        <v>986</v>
      </c>
      <c r="B686">
        <v>0.625</v>
      </c>
    </row>
    <row r="687" spans="1:2" x14ac:dyDescent="0.25">
      <c r="A687" t="s">
        <v>987</v>
      </c>
      <c r="B687">
        <v>0</v>
      </c>
    </row>
    <row r="688" spans="1:2" x14ac:dyDescent="0.25">
      <c r="A688" t="s">
        <v>988</v>
      </c>
      <c r="B688">
        <v>0</v>
      </c>
    </row>
    <row r="689" spans="1:2" x14ac:dyDescent="0.25">
      <c r="A689" t="s">
        <v>989</v>
      </c>
      <c r="B689">
        <v>0</v>
      </c>
    </row>
    <row r="690" spans="1:2" x14ac:dyDescent="0.25">
      <c r="A690" t="s">
        <v>990</v>
      </c>
      <c r="B690">
        <v>0</v>
      </c>
    </row>
    <row r="691" spans="1:2" x14ac:dyDescent="0.25">
      <c r="A691" t="s">
        <v>991</v>
      </c>
      <c r="B691">
        <v>0.75</v>
      </c>
    </row>
    <row r="692" spans="1:2" x14ac:dyDescent="0.25">
      <c r="A692" t="s">
        <v>992</v>
      </c>
      <c r="B692" t="s">
        <v>551</v>
      </c>
    </row>
    <row r="693" spans="1:2" x14ac:dyDescent="0.25">
      <c r="A693" t="s">
        <v>993</v>
      </c>
      <c r="B693">
        <v>0.625</v>
      </c>
    </row>
    <row r="694" spans="1:2" x14ac:dyDescent="0.25">
      <c r="A694" t="s">
        <v>994</v>
      </c>
      <c r="B694">
        <v>0</v>
      </c>
    </row>
    <row r="695" spans="1:2" x14ac:dyDescent="0.25">
      <c r="A695" t="s">
        <v>995</v>
      </c>
      <c r="B695">
        <v>0</v>
      </c>
    </row>
    <row r="696" spans="1:2" x14ac:dyDescent="0.25">
      <c r="A696" t="s">
        <v>996</v>
      </c>
      <c r="B696">
        <v>0</v>
      </c>
    </row>
    <row r="697" spans="1:2" x14ac:dyDescent="0.25">
      <c r="A697" t="s">
        <v>997</v>
      </c>
      <c r="B697">
        <v>0</v>
      </c>
    </row>
    <row r="698" spans="1:2" x14ac:dyDescent="0.25">
      <c r="A698" t="s">
        <v>998</v>
      </c>
      <c r="B698">
        <v>0.75</v>
      </c>
    </row>
    <row r="699" spans="1:2" x14ac:dyDescent="0.25">
      <c r="A699" t="s">
        <v>999</v>
      </c>
      <c r="B699" t="s">
        <v>551</v>
      </c>
    </row>
    <row r="700" spans="1:2" x14ac:dyDescent="0.25">
      <c r="A700" t="s">
        <v>1000</v>
      </c>
      <c r="B700">
        <v>0.625</v>
      </c>
    </row>
    <row r="701" spans="1:2" x14ac:dyDescent="0.25">
      <c r="A701" t="s">
        <v>1001</v>
      </c>
      <c r="B701">
        <v>0</v>
      </c>
    </row>
    <row r="702" spans="1:2" x14ac:dyDescent="0.25">
      <c r="A702" t="s">
        <v>1002</v>
      </c>
      <c r="B702">
        <v>0</v>
      </c>
    </row>
    <row r="703" spans="1:2" x14ac:dyDescent="0.25">
      <c r="A703" t="s">
        <v>1003</v>
      </c>
      <c r="B703">
        <v>0</v>
      </c>
    </row>
    <row r="704" spans="1:2" x14ac:dyDescent="0.25">
      <c r="A704" t="s">
        <v>1004</v>
      </c>
      <c r="B704">
        <v>0</v>
      </c>
    </row>
    <row r="705" spans="1:2" x14ac:dyDescent="0.25">
      <c r="A705" t="s">
        <v>1005</v>
      </c>
      <c r="B705">
        <v>0.75</v>
      </c>
    </row>
    <row r="706" spans="1:2" x14ac:dyDescent="0.25">
      <c r="A706" t="s">
        <v>1151</v>
      </c>
      <c r="B706" t="s">
        <v>551</v>
      </c>
    </row>
    <row r="707" spans="1:2" x14ac:dyDescent="0.25">
      <c r="A707" t="s">
        <v>1152</v>
      </c>
      <c r="B707">
        <v>0.625</v>
      </c>
    </row>
    <row r="708" spans="1:2" x14ac:dyDescent="0.25">
      <c r="A708" t="s">
        <v>1153</v>
      </c>
      <c r="B708">
        <v>0</v>
      </c>
    </row>
    <row r="709" spans="1:2" x14ac:dyDescent="0.25">
      <c r="A709" t="s">
        <v>1154</v>
      </c>
      <c r="B709">
        <v>0</v>
      </c>
    </row>
    <row r="710" spans="1:2" x14ac:dyDescent="0.25">
      <c r="A710" t="s">
        <v>1155</v>
      </c>
      <c r="B710">
        <v>0</v>
      </c>
    </row>
    <row r="711" spans="1:2" x14ac:dyDescent="0.25">
      <c r="A711" t="s">
        <v>1156</v>
      </c>
      <c r="B711">
        <v>0</v>
      </c>
    </row>
    <row r="712" spans="1:2" x14ac:dyDescent="0.25">
      <c r="A712" t="s">
        <v>1157</v>
      </c>
      <c r="B712">
        <v>0.75</v>
      </c>
    </row>
    <row r="713" spans="1:2" x14ac:dyDescent="0.25">
      <c r="A713" t="s">
        <v>1158</v>
      </c>
      <c r="B713" t="s">
        <v>551</v>
      </c>
    </row>
    <row r="714" spans="1:2" x14ac:dyDescent="0.25">
      <c r="A714" t="s">
        <v>1159</v>
      </c>
      <c r="B714">
        <v>0.625</v>
      </c>
    </row>
    <row r="715" spans="1:2" x14ac:dyDescent="0.25">
      <c r="A715" t="s">
        <v>1160</v>
      </c>
      <c r="B715">
        <v>0</v>
      </c>
    </row>
    <row r="716" spans="1:2" x14ac:dyDescent="0.25">
      <c r="A716" t="s">
        <v>1161</v>
      </c>
      <c r="B716">
        <v>0</v>
      </c>
    </row>
    <row r="717" spans="1:2" x14ac:dyDescent="0.25">
      <c r="A717" t="s">
        <v>1162</v>
      </c>
      <c r="B717">
        <v>0</v>
      </c>
    </row>
    <row r="718" spans="1:2" x14ac:dyDescent="0.25">
      <c r="A718" t="s">
        <v>1163</v>
      </c>
      <c r="B718">
        <v>0</v>
      </c>
    </row>
    <row r="719" spans="1:2" x14ac:dyDescent="0.25">
      <c r="A719" t="s">
        <v>1164</v>
      </c>
      <c r="B719">
        <v>0.75</v>
      </c>
    </row>
    <row r="720" spans="1:2" x14ac:dyDescent="0.25">
      <c r="A720" t="s">
        <v>1165</v>
      </c>
      <c r="B720" t="s">
        <v>551</v>
      </c>
    </row>
    <row r="721" spans="1:2" x14ac:dyDescent="0.25">
      <c r="A721" t="s">
        <v>1166</v>
      </c>
      <c r="B721">
        <v>0.625</v>
      </c>
    </row>
    <row r="722" spans="1:2" x14ac:dyDescent="0.25">
      <c r="A722" t="s">
        <v>1167</v>
      </c>
      <c r="B722">
        <v>0</v>
      </c>
    </row>
    <row r="723" spans="1:2" x14ac:dyDescent="0.25">
      <c r="A723" t="s">
        <v>1168</v>
      </c>
      <c r="B723">
        <v>0</v>
      </c>
    </row>
    <row r="724" spans="1:2" x14ac:dyDescent="0.25">
      <c r="A724" t="s">
        <v>1169</v>
      </c>
      <c r="B724">
        <v>0</v>
      </c>
    </row>
    <row r="725" spans="1:2" x14ac:dyDescent="0.25">
      <c r="A725" t="s">
        <v>1170</v>
      </c>
      <c r="B725">
        <v>0</v>
      </c>
    </row>
    <row r="726" spans="1:2" x14ac:dyDescent="0.25">
      <c r="A726" t="s">
        <v>1171</v>
      </c>
      <c r="B726">
        <v>0.75</v>
      </c>
    </row>
    <row r="727" spans="1:2" x14ac:dyDescent="0.25">
      <c r="A727" t="s">
        <v>1172</v>
      </c>
      <c r="B727" t="s">
        <v>551</v>
      </c>
    </row>
    <row r="728" spans="1:2" x14ac:dyDescent="0.25">
      <c r="A728" t="s">
        <v>1173</v>
      </c>
      <c r="B728">
        <v>0.625</v>
      </c>
    </row>
    <row r="729" spans="1:2" x14ac:dyDescent="0.25">
      <c r="A729" t="s">
        <v>1174</v>
      </c>
      <c r="B729">
        <v>0</v>
      </c>
    </row>
    <row r="730" spans="1:2" x14ac:dyDescent="0.25">
      <c r="A730" t="s">
        <v>1175</v>
      </c>
      <c r="B730">
        <v>0</v>
      </c>
    </row>
    <row r="731" spans="1:2" x14ac:dyDescent="0.25">
      <c r="A731" t="s">
        <v>1176</v>
      </c>
      <c r="B731">
        <v>0</v>
      </c>
    </row>
    <row r="732" spans="1:2" x14ac:dyDescent="0.25">
      <c r="A732" t="s">
        <v>1177</v>
      </c>
      <c r="B732">
        <v>0</v>
      </c>
    </row>
    <row r="733" spans="1:2" x14ac:dyDescent="0.25">
      <c r="A733" t="s">
        <v>1178</v>
      </c>
      <c r="B733">
        <v>0.75</v>
      </c>
    </row>
    <row r="734" spans="1:2" x14ac:dyDescent="0.25">
      <c r="A734" t="s">
        <v>1179</v>
      </c>
      <c r="B734" t="s">
        <v>551</v>
      </c>
    </row>
    <row r="735" spans="1:2" x14ac:dyDescent="0.25">
      <c r="A735" t="s">
        <v>1180</v>
      </c>
      <c r="B735">
        <v>0.625</v>
      </c>
    </row>
    <row r="736" spans="1:2" x14ac:dyDescent="0.25">
      <c r="A736" t="s">
        <v>1181</v>
      </c>
      <c r="B736">
        <v>0</v>
      </c>
    </row>
    <row r="737" spans="1:2" x14ac:dyDescent="0.25">
      <c r="A737" t="s">
        <v>1182</v>
      </c>
      <c r="B737">
        <v>0</v>
      </c>
    </row>
    <row r="738" spans="1:2" x14ac:dyDescent="0.25">
      <c r="A738" t="s">
        <v>1183</v>
      </c>
      <c r="B738">
        <v>0</v>
      </c>
    </row>
    <row r="739" spans="1:2" x14ac:dyDescent="0.25">
      <c r="A739" t="s">
        <v>1184</v>
      </c>
      <c r="B739">
        <v>0</v>
      </c>
    </row>
    <row r="740" spans="1:2" x14ac:dyDescent="0.25">
      <c r="A740" t="s">
        <v>1185</v>
      </c>
      <c r="B740">
        <v>0.75</v>
      </c>
    </row>
    <row r="741" spans="1:2" x14ac:dyDescent="0.25">
      <c r="A741" t="s">
        <v>1186</v>
      </c>
      <c r="B741" t="s">
        <v>551</v>
      </c>
    </row>
    <row r="742" spans="1:2" x14ac:dyDescent="0.25">
      <c r="A742" t="s">
        <v>1187</v>
      </c>
      <c r="B742">
        <v>0.625</v>
      </c>
    </row>
    <row r="743" spans="1:2" x14ac:dyDescent="0.25">
      <c r="A743" t="s">
        <v>1188</v>
      </c>
      <c r="B743">
        <v>0</v>
      </c>
    </row>
    <row r="744" spans="1:2" x14ac:dyDescent="0.25">
      <c r="A744" t="s">
        <v>1189</v>
      </c>
      <c r="B744">
        <v>0</v>
      </c>
    </row>
    <row r="745" spans="1:2" x14ac:dyDescent="0.25">
      <c r="A745" t="s">
        <v>1190</v>
      </c>
      <c r="B745">
        <v>0</v>
      </c>
    </row>
    <row r="746" spans="1:2" x14ac:dyDescent="0.25">
      <c r="A746" t="s">
        <v>1191</v>
      </c>
      <c r="B746">
        <v>0</v>
      </c>
    </row>
    <row r="747" spans="1:2" x14ac:dyDescent="0.25">
      <c r="A747" t="s">
        <v>1192</v>
      </c>
      <c r="B747">
        <v>0.75</v>
      </c>
    </row>
    <row r="748" spans="1:2" x14ac:dyDescent="0.25">
      <c r="A748" t="s">
        <v>1193</v>
      </c>
      <c r="B748" t="s">
        <v>551</v>
      </c>
    </row>
    <row r="749" spans="1:2" x14ac:dyDescent="0.25">
      <c r="A749" t="s">
        <v>1194</v>
      </c>
      <c r="B749">
        <v>0.625</v>
      </c>
    </row>
    <row r="750" spans="1:2" x14ac:dyDescent="0.25">
      <c r="A750" t="s">
        <v>1195</v>
      </c>
      <c r="B750">
        <v>0</v>
      </c>
    </row>
    <row r="751" spans="1:2" x14ac:dyDescent="0.25">
      <c r="A751" t="s">
        <v>1196</v>
      </c>
      <c r="B751">
        <v>0</v>
      </c>
    </row>
    <row r="752" spans="1:2" x14ac:dyDescent="0.25">
      <c r="A752" t="s">
        <v>1197</v>
      </c>
      <c r="B752">
        <v>0</v>
      </c>
    </row>
    <row r="753" spans="1:2" x14ac:dyDescent="0.25">
      <c r="A753" t="s">
        <v>1198</v>
      </c>
      <c r="B753">
        <v>0</v>
      </c>
    </row>
    <row r="754" spans="1:2" x14ac:dyDescent="0.25">
      <c r="A754" t="s">
        <v>1199</v>
      </c>
      <c r="B754">
        <v>0.75</v>
      </c>
    </row>
    <row r="755" spans="1:2" x14ac:dyDescent="0.25">
      <c r="A755" t="s">
        <v>1200</v>
      </c>
      <c r="B755" t="s">
        <v>551</v>
      </c>
    </row>
    <row r="756" spans="1:2" x14ac:dyDescent="0.25">
      <c r="A756" t="s">
        <v>1201</v>
      </c>
      <c r="B756">
        <v>0.625</v>
      </c>
    </row>
    <row r="757" spans="1:2" x14ac:dyDescent="0.25">
      <c r="A757" t="s">
        <v>1202</v>
      </c>
      <c r="B757">
        <v>0</v>
      </c>
    </row>
    <row r="758" spans="1:2" x14ac:dyDescent="0.25">
      <c r="A758" t="s">
        <v>1203</v>
      </c>
      <c r="B758">
        <v>0</v>
      </c>
    </row>
    <row r="759" spans="1:2" x14ac:dyDescent="0.25">
      <c r="A759" t="s">
        <v>1204</v>
      </c>
      <c r="B759">
        <v>0</v>
      </c>
    </row>
    <row r="760" spans="1:2" x14ac:dyDescent="0.25">
      <c r="A760" t="s">
        <v>1205</v>
      </c>
      <c r="B760">
        <v>0</v>
      </c>
    </row>
    <row r="761" spans="1:2" x14ac:dyDescent="0.25">
      <c r="A761" t="s">
        <v>1206</v>
      </c>
      <c r="B761">
        <v>0.75</v>
      </c>
    </row>
    <row r="762" spans="1:2" x14ac:dyDescent="0.25">
      <c r="A762" t="s">
        <v>1020</v>
      </c>
      <c r="B762" t="s">
        <v>303</v>
      </c>
    </row>
    <row r="763" spans="1:2" x14ac:dyDescent="0.25">
      <c r="A763" t="s">
        <v>1021</v>
      </c>
      <c r="B763" t="s">
        <v>303</v>
      </c>
    </row>
    <row r="764" spans="1:2" x14ac:dyDescent="0.25">
      <c r="A764" t="s">
        <v>1022</v>
      </c>
      <c r="B764" t="s">
        <v>303</v>
      </c>
    </row>
    <row r="765" spans="1:2" x14ac:dyDescent="0.25">
      <c r="A765" t="s">
        <v>1023</v>
      </c>
      <c r="B765" t="s">
        <v>303</v>
      </c>
    </row>
    <row r="766" spans="1:2" x14ac:dyDescent="0.25">
      <c r="A766" t="s">
        <v>1024</v>
      </c>
      <c r="B766" t="s">
        <v>303</v>
      </c>
    </row>
    <row r="767" spans="1:2" x14ac:dyDescent="0.25">
      <c r="A767" t="s">
        <v>1025</v>
      </c>
      <c r="B767" t="s">
        <v>303</v>
      </c>
    </row>
    <row r="768" spans="1:2" x14ac:dyDescent="0.25">
      <c r="A768" t="s">
        <v>961</v>
      </c>
      <c r="B768">
        <v>0</v>
      </c>
    </row>
    <row r="769" spans="1:2" x14ac:dyDescent="0.25">
      <c r="A769" t="s">
        <v>962</v>
      </c>
      <c r="B769">
        <v>0</v>
      </c>
    </row>
    <row r="770" spans="1:2" x14ac:dyDescent="0.25">
      <c r="A770" t="s">
        <v>963</v>
      </c>
      <c r="B770">
        <v>0</v>
      </c>
    </row>
    <row r="771" spans="1:2" x14ac:dyDescent="0.25">
      <c r="A771" t="s">
        <v>964</v>
      </c>
      <c r="B771">
        <v>0</v>
      </c>
    </row>
    <row r="772" spans="1:2" x14ac:dyDescent="0.25">
      <c r="A772" t="s">
        <v>965</v>
      </c>
      <c r="B772">
        <v>0</v>
      </c>
    </row>
    <row r="773" spans="1:2" x14ac:dyDescent="0.25">
      <c r="A773" t="s">
        <v>966</v>
      </c>
      <c r="B773">
        <v>0</v>
      </c>
    </row>
    <row r="774" spans="1:2" x14ac:dyDescent="0.25">
      <c r="A774" t="s">
        <v>967</v>
      </c>
      <c r="B774">
        <v>0</v>
      </c>
    </row>
    <row r="775" spans="1:2" x14ac:dyDescent="0.25">
      <c r="A775" t="s">
        <v>968</v>
      </c>
      <c r="B775">
        <v>0</v>
      </c>
    </row>
    <row r="776" spans="1:2" x14ac:dyDescent="0.25">
      <c r="A776" t="s">
        <v>771</v>
      </c>
      <c r="B776">
        <v>3</v>
      </c>
    </row>
    <row r="777" spans="1:2" x14ac:dyDescent="0.25">
      <c r="A777" t="s">
        <v>772</v>
      </c>
      <c r="B777" t="s">
        <v>1032</v>
      </c>
    </row>
    <row r="778" spans="1:2" x14ac:dyDescent="0.25">
      <c r="A778" t="s">
        <v>773</v>
      </c>
      <c r="B778">
        <v>240</v>
      </c>
    </row>
    <row r="779" spans="1:2" x14ac:dyDescent="0.25">
      <c r="A779" t="s">
        <v>774</v>
      </c>
      <c r="B779">
        <v>29</v>
      </c>
    </row>
    <row r="780" spans="1:2" x14ac:dyDescent="0.25">
      <c r="A780" t="s">
        <v>775</v>
      </c>
      <c r="B780">
        <v>29</v>
      </c>
    </row>
    <row r="781" spans="1:2" x14ac:dyDescent="0.25">
      <c r="A781" t="s">
        <v>776</v>
      </c>
      <c r="B781">
        <v>1</v>
      </c>
    </row>
    <row r="782" spans="1:2" x14ac:dyDescent="0.25">
      <c r="A782" t="s">
        <v>777</v>
      </c>
      <c r="B782">
        <v>1</v>
      </c>
    </row>
    <row r="783" spans="1:2" x14ac:dyDescent="0.25">
      <c r="A783" t="s">
        <v>778</v>
      </c>
      <c r="B783">
        <v>5</v>
      </c>
    </row>
    <row r="784" spans="1:2" x14ac:dyDescent="0.25">
      <c r="A784" t="s">
        <v>779</v>
      </c>
      <c r="B784" t="s">
        <v>342</v>
      </c>
    </row>
    <row r="785" spans="1:2" x14ac:dyDescent="0.25">
      <c r="A785" t="s">
        <v>780</v>
      </c>
      <c r="B785" s="7">
        <v>1.5</v>
      </c>
    </row>
    <row r="786" spans="1:2" x14ac:dyDescent="0.25">
      <c r="A786" t="s">
        <v>781</v>
      </c>
      <c r="B786">
        <v>50</v>
      </c>
    </row>
    <row r="787" spans="1:2" x14ac:dyDescent="0.25">
      <c r="A787" t="s">
        <v>782</v>
      </c>
      <c r="B787" t="s">
        <v>312</v>
      </c>
    </row>
    <row r="788" spans="1:2" x14ac:dyDescent="0.25">
      <c r="A788" t="s">
        <v>783</v>
      </c>
      <c r="B788">
        <v>36</v>
      </c>
    </row>
    <row r="789" spans="1:2" x14ac:dyDescent="0.25">
      <c r="A789" t="s">
        <v>784</v>
      </c>
      <c r="B789" t="s">
        <v>320</v>
      </c>
    </row>
    <row r="790" spans="1:2" x14ac:dyDescent="0.25">
      <c r="A790" t="s">
        <v>785</v>
      </c>
      <c r="B790">
        <v>36</v>
      </c>
    </row>
    <row r="791" spans="1:2" x14ac:dyDescent="0.25">
      <c r="A791" t="s">
        <v>786</v>
      </c>
      <c r="B791" t="s">
        <v>320</v>
      </c>
    </row>
    <row r="792" spans="1:2" x14ac:dyDescent="0.25">
      <c r="A792" t="s">
        <v>787</v>
      </c>
      <c r="B792">
        <v>36</v>
      </c>
    </row>
    <row r="793" spans="1:2" x14ac:dyDescent="0.25">
      <c r="A793" t="s">
        <v>788</v>
      </c>
      <c r="B793" t="s">
        <v>320</v>
      </c>
    </row>
    <row r="794" spans="1:2" x14ac:dyDescent="0.25">
      <c r="A794" t="s">
        <v>789</v>
      </c>
      <c r="B794">
        <v>36</v>
      </c>
    </row>
    <row r="795" spans="1:2" x14ac:dyDescent="0.25">
      <c r="A795" t="s">
        <v>790</v>
      </c>
      <c r="B795" t="s">
        <v>320</v>
      </c>
    </row>
    <row r="796" spans="1:2" x14ac:dyDescent="0.25">
      <c r="A796" t="s">
        <v>791</v>
      </c>
      <c r="B796">
        <v>36</v>
      </c>
    </row>
    <row r="797" spans="1:2" x14ac:dyDescent="0.25">
      <c r="A797" t="s">
        <v>792</v>
      </c>
      <c r="B797" t="s">
        <v>320</v>
      </c>
    </row>
    <row r="798" spans="1:2" x14ac:dyDescent="0.25">
      <c r="A798" t="s">
        <v>793</v>
      </c>
      <c r="B798">
        <v>50</v>
      </c>
    </row>
    <row r="799" spans="1:2" x14ac:dyDescent="0.25">
      <c r="A799" t="s">
        <v>794</v>
      </c>
      <c r="B799" t="s">
        <v>312</v>
      </c>
    </row>
    <row r="800" spans="1:2" x14ac:dyDescent="0.25">
      <c r="A800" t="s">
        <v>795</v>
      </c>
      <c r="B800">
        <v>50</v>
      </c>
    </row>
    <row r="801" spans="1:2" x14ac:dyDescent="0.25">
      <c r="A801" t="s">
        <v>796</v>
      </c>
      <c r="B801" t="s">
        <v>312</v>
      </c>
    </row>
    <row r="802" spans="1:2" x14ac:dyDescent="0.25">
      <c r="A802" t="s">
        <v>797</v>
      </c>
      <c r="B802" t="s">
        <v>342</v>
      </c>
    </row>
    <row r="803" spans="1:2" x14ac:dyDescent="0.25">
      <c r="A803" t="s">
        <v>798</v>
      </c>
      <c r="B803" s="5">
        <v>44928</v>
      </c>
    </row>
    <row r="804" spans="1:2" x14ac:dyDescent="0.25">
      <c r="A804" t="s">
        <v>799</v>
      </c>
      <c r="B804" t="s">
        <v>342</v>
      </c>
    </row>
    <row r="805" spans="1:2" x14ac:dyDescent="0.25">
      <c r="A805" t="s">
        <v>800</v>
      </c>
    </row>
    <row r="806" spans="1:2" x14ac:dyDescent="0.25">
      <c r="A806" t="s">
        <v>801</v>
      </c>
      <c r="B806" t="s">
        <v>1038</v>
      </c>
    </row>
    <row r="807" spans="1:2" x14ac:dyDescent="0.25">
      <c r="A807" t="s">
        <v>802</v>
      </c>
      <c r="B807" t="s">
        <v>1039</v>
      </c>
    </row>
    <row r="808" spans="1:2" x14ac:dyDescent="0.25">
      <c r="A808" t="s">
        <v>803</v>
      </c>
      <c r="B808" t="s">
        <v>1038</v>
      </c>
    </row>
    <row r="809" spans="1:2" x14ac:dyDescent="0.25">
      <c r="A809" t="s">
        <v>804</v>
      </c>
      <c r="B809" t="s">
        <v>1039</v>
      </c>
    </row>
    <row r="810" spans="1:2" x14ac:dyDescent="0.25">
      <c r="A810" t="s">
        <v>805</v>
      </c>
      <c r="B810">
        <v>1</v>
      </c>
    </row>
    <row r="811" spans="1:2" x14ac:dyDescent="0.25">
      <c r="A811" t="s">
        <v>806</v>
      </c>
      <c r="B811">
        <v>1</v>
      </c>
    </row>
    <row r="812" spans="1:2" x14ac:dyDescent="0.25">
      <c r="A812" t="s">
        <v>807</v>
      </c>
      <c r="B812" t="s">
        <v>303</v>
      </c>
    </row>
    <row r="813" spans="1:2" x14ac:dyDescent="0.25">
      <c r="A813" t="s">
        <v>808</v>
      </c>
      <c r="B813" t="s">
        <v>305</v>
      </c>
    </row>
    <row r="814" spans="1:2" x14ac:dyDescent="0.25">
      <c r="A814" t="s">
        <v>809</v>
      </c>
      <c r="B814" t="s">
        <v>342</v>
      </c>
    </row>
    <row r="815" spans="1:2" x14ac:dyDescent="0.25">
      <c r="A815" t="s">
        <v>810</v>
      </c>
      <c r="B815" s="5">
        <v>44989</v>
      </c>
    </row>
    <row r="816" spans="1:2" x14ac:dyDescent="0.25">
      <c r="A816" t="s">
        <v>811</v>
      </c>
      <c r="B816" t="s">
        <v>342</v>
      </c>
    </row>
    <row r="817" spans="1:2" x14ac:dyDescent="0.25">
      <c r="A817" t="s">
        <v>812</v>
      </c>
    </row>
    <row r="818" spans="1:2" x14ac:dyDescent="0.25">
      <c r="A818" t="s">
        <v>813</v>
      </c>
      <c r="B818">
        <v>36</v>
      </c>
    </row>
    <row r="819" spans="1:2" x14ac:dyDescent="0.25">
      <c r="A819" t="s">
        <v>814</v>
      </c>
      <c r="B819" t="s">
        <v>320</v>
      </c>
    </row>
    <row r="820" spans="1:2" x14ac:dyDescent="0.25">
      <c r="A820" t="s">
        <v>1040</v>
      </c>
      <c r="B820">
        <v>36</v>
      </c>
    </row>
    <row r="821" spans="1:2" x14ac:dyDescent="0.25">
      <c r="A821" t="s">
        <v>1041</v>
      </c>
      <c r="B821" t="s">
        <v>320</v>
      </c>
    </row>
    <row r="822" spans="1:2" x14ac:dyDescent="0.25">
      <c r="A822" t="s">
        <v>1042</v>
      </c>
      <c r="B822">
        <v>36</v>
      </c>
    </row>
    <row r="823" spans="1:2" x14ac:dyDescent="0.25">
      <c r="A823" t="s">
        <v>1043</v>
      </c>
      <c r="B823" t="s">
        <v>320</v>
      </c>
    </row>
    <row r="824" spans="1:2" x14ac:dyDescent="0.25">
      <c r="A824" t="s">
        <v>1044</v>
      </c>
      <c r="B824">
        <v>36</v>
      </c>
    </row>
    <row r="825" spans="1:2" x14ac:dyDescent="0.25">
      <c r="A825" t="s">
        <v>1045</v>
      </c>
      <c r="B825" t="s">
        <v>320</v>
      </c>
    </row>
    <row r="826" spans="1:2" x14ac:dyDescent="0.25">
      <c r="A826" t="s">
        <v>1046</v>
      </c>
      <c r="B826">
        <v>36</v>
      </c>
    </row>
    <row r="827" spans="1:2" x14ac:dyDescent="0.25">
      <c r="A827" t="s">
        <v>1047</v>
      </c>
      <c r="B827" t="s">
        <v>320</v>
      </c>
    </row>
    <row r="828" spans="1:2" x14ac:dyDescent="0.25">
      <c r="A828" t="s">
        <v>1048</v>
      </c>
      <c r="B828">
        <v>36</v>
      </c>
    </row>
    <row r="829" spans="1:2" x14ac:dyDescent="0.25">
      <c r="A829" t="s">
        <v>1049</v>
      </c>
      <c r="B829" t="s">
        <v>320</v>
      </c>
    </row>
    <row r="830" spans="1:2" x14ac:dyDescent="0.25">
      <c r="A830" t="s">
        <v>1050</v>
      </c>
      <c r="B830">
        <v>36</v>
      </c>
    </row>
    <row r="831" spans="1:2" x14ac:dyDescent="0.25">
      <c r="A831" t="s">
        <v>1051</v>
      </c>
      <c r="B831" t="s">
        <v>320</v>
      </c>
    </row>
    <row r="832" spans="1:2" x14ac:dyDescent="0.25">
      <c r="A832" t="s">
        <v>1052</v>
      </c>
      <c r="B832">
        <v>36</v>
      </c>
    </row>
    <row r="833" spans="1:2" x14ac:dyDescent="0.25">
      <c r="A833" t="s">
        <v>1053</v>
      </c>
      <c r="B833" t="s">
        <v>320</v>
      </c>
    </row>
    <row r="834" spans="1:2" x14ac:dyDescent="0.25">
      <c r="A834" t="s">
        <v>1054</v>
      </c>
      <c r="B834">
        <v>36</v>
      </c>
    </row>
    <row r="835" spans="1:2" x14ac:dyDescent="0.25">
      <c r="A835" t="s">
        <v>1055</v>
      </c>
      <c r="B835" t="s">
        <v>320</v>
      </c>
    </row>
    <row r="836" spans="1:2" x14ac:dyDescent="0.25">
      <c r="A836" t="s">
        <v>1056</v>
      </c>
      <c r="B836">
        <v>36</v>
      </c>
    </row>
    <row r="837" spans="1:2" x14ac:dyDescent="0.25">
      <c r="A837" t="s">
        <v>1057</v>
      </c>
      <c r="B837" t="s">
        <v>320</v>
      </c>
    </row>
    <row r="838" spans="1:2" x14ac:dyDescent="0.25">
      <c r="A838" t="s">
        <v>1058</v>
      </c>
      <c r="B838">
        <v>36</v>
      </c>
    </row>
    <row r="839" spans="1:2" x14ac:dyDescent="0.25">
      <c r="A839" t="s">
        <v>1059</v>
      </c>
      <c r="B839" t="s">
        <v>320</v>
      </c>
    </row>
    <row r="840" spans="1:2" x14ac:dyDescent="0.25">
      <c r="A840" t="s">
        <v>1060</v>
      </c>
      <c r="B840">
        <v>36</v>
      </c>
    </row>
    <row r="841" spans="1:2" x14ac:dyDescent="0.25">
      <c r="A841" t="s">
        <v>1061</v>
      </c>
      <c r="B841" t="s">
        <v>320</v>
      </c>
    </row>
    <row r="842" spans="1:2" x14ac:dyDescent="0.25">
      <c r="A842" t="s">
        <v>1062</v>
      </c>
      <c r="B842">
        <v>36</v>
      </c>
    </row>
    <row r="843" spans="1:2" x14ac:dyDescent="0.25">
      <c r="A843" t="s">
        <v>1063</v>
      </c>
      <c r="B843" t="s">
        <v>320</v>
      </c>
    </row>
    <row r="844" spans="1:2" x14ac:dyDescent="0.25">
      <c r="A844" t="s">
        <v>1064</v>
      </c>
      <c r="B844">
        <v>36</v>
      </c>
    </row>
    <row r="845" spans="1:2" x14ac:dyDescent="0.25">
      <c r="A845" t="s">
        <v>1065</v>
      </c>
      <c r="B845" t="s">
        <v>320</v>
      </c>
    </row>
    <row r="846" spans="1:2" x14ac:dyDescent="0.25">
      <c r="A846" t="s">
        <v>1066</v>
      </c>
      <c r="B846">
        <v>36</v>
      </c>
    </row>
    <row r="847" spans="1:2" x14ac:dyDescent="0.25">
      <c r="A847" t="s">
        <v>1067</v>
      </c>
      <c r="B847" t="s">
        <v>320</v>
      </c>
    </row>
    <row r="848" spans="1:2" x14ac:dyDescent="0.25">
      <c r="A848" t="s">
        <v>1068</v>
      </c>
      <c r="B848">
        <v>36</v>
      </c>
    </row>
    <row r="849" spans="1:2" x14ac:dyDescent="0.25">
      <c r="A849" t="s">
        <v>1069</v>
      </c>
      <c r="B849" t="s">
        <v>320</v>
      </c>
    </row>
    <row r="850" spans="1:2" x14ac:dyDescent="0.25">
      <c r="A850" t="s">
        <v>1070</v>
      </c>
      <c r="B850">
        <v>36</v>
      </c>
    </row>
    <row r="851" spans="1:2" x14ac:dyDescent="0.25">
      <c r="A851" t="s">
        <v>1071</v>
      </c>
      <c r="B851" t="s">
        <v>320</v>
      </c>
    </row>
    <row r="852" spans="1:2" x14ac:dyDescent="0.25">
      <c r="A852" t="s">
        <v>1072</v>
      </c>
      <c r="B852">
        <v>36</v>
      </c>
    </row>
    <row r="853" spans="1:2" x14ac:dyDescent="0.25">
      <c r="A853" t="s">
        <v>1073</v>
      </c>
      <c r="B853" t="s">
        <v>320</v>
      </c>
    </row>
    <row r="854" spans="1:2" x14ac:dyDescent="0.25">
      <c r="A854" t="s">
        <v>1074</v>
      </c>
      <c r="B854">
        <v>36</v>
      </c>
    </row>
    <row r="855" spans="1:2" x14ac:dyDescent="0.25">
      <c r="A855" t="s">
        <v>1075</v>
      </c>
      <c r="B855" t="s">
        <v>320</v>
      </c>
    </row>
    <row r="856" spans="1:2" x14ac:dyDescent="0.25">
      <c r="A856" t="s">
        <v>1076</v>
      </c>
      <c r="B856">
        <v>36</v>
      </c>
    </row>
    <row r="857" spans="1:2" x14ac:dyDescent="0.25">
      <c r="A857" t="s">
        <v>1077</v>
      </c>
      <c r="B857" t="s">
        <v>320</v>
      </c>
    </row>
    <row r="858" spans="1:2" x14ac:dyDescent="0.25">
      <c r="A858" t="s">
        <v>815</v>
      </c>
      <c r="B858" t="s">
        <v>1078</v>
      </c>
    </row>
    <row r="859" spans="1:2" x14ac:dyDescent="0.25">
      <c r="A859" t="s">
        <v>1079</v>
      </c>
      <c r="B859" t="s">
        <v>1078</v>
      </c>
    </row>
    <row r="860" spans="1:2" x14ac:dyDescent="0.25">
      <c r="A860" t="s">
        <v>1080</v>
      </c>
      <c r="B860" t="s">
        <v>1078</v>
      </c>
    </row>
    <row r="861" spans="1:2" x14ac:dyDescent="0.25">
      <c r="A861" t="s">
        <v>1081</v>
      </c>
      <c r="B861" t="s">
        <v>1078</v>
      </c>
    </row>
    <row r="862" spans="1:2" x14ac:dyDescent="0.25">
      <c r="A862" t="s">
        <v>1082</v>
      </c>
      <c r="B862" t="s">
        <v>1078</v>
      </c>
    </row>
    <row r="863" spans="1:2" x14ac:dyDescent="0.25">
      <c r="A863" t="s">
        <v>816</v>
      </c>
      <c r="B863" t="s">
        <v>1078</v>
      </c>
    </row>
    <row r="864" spans="1:2" x14ac:dyDescent="0.25">
      <c r="A864" t="s">
        <v>1083</v>
      </c>
      <c r="B864" t="s">
        <v>1078</v>
      </c>
    </row>
    <row r="865" spans="1:3" x14ac:dyDescent="0.25">
      <c r="A865" t="s">
        <v>1084</v>
      </c>
      <c r="B865" t="s">
        <v>1078</v>
      </c>
    </row>
    <row r="866" spans="1:3" x14ac:dyDescent="0.25">
      <c r="A866" t="s">
        <v>1085</v>
      </c>
      <c r="B866" t="s">
        <v>1078</v>
      </c>
    </row>
    <row r="867" spans="1:3" x14ac:dyDescent="0.25">
      <c r="A867" t="s">
        <v>817</v>
      </c>
      <c r="B867" t="s">
        <v>1078</v>
      </c>
    </row>
    <row r="868" spans="1:3" x14ac:dyDescent="0.25">
      <c r="A868" t="s">
        <v>818</v>
      </c>
      <c r="B868" t="s">
        <v>1078</v>
      </c>
    </row>
    <row r="869" spans="1:3" x14ac:dyDescent="0.25">
      <c r="A869" t="s">
        <v>819</v>
      </c>
      <c r="B869" t="s">
        <v>1078</v>
      </c>
    </row>
    <row r="870" spans="1:3" x14ac:dyDescent="0.25">
      <c r="A870" t="s">
        <v>820</v>
      </c>
      <c r="B870" t="s">
        <v>1078</v>
      </c>
    </row>
    <row r="871" spans="1:3" x14ac:dyDescent="0.25">
      <c r="A871" t="s">
        <v>1086</v>
      </c>
      <c r="B871" t="s">
        <v>1078</v>
      </c>
    </row>
    <row r="872" spans="1:3" x14ac:dyDescent="0.25">
      <c r="A872" t="s">
        <v>1087</v>
      </c>
      <c r="B872" t="s">
        <v>1078</v>
      </c>
    </row>
    <row r="873" spans="1:3" x14ac:dyDescent="0.25">
      <c r="A873" t="s">
        <v>1088</v>
      </c>
      <c r="B873" t="s">
        <v>1078</v>
      </c>
    </row>
    <row r="874" spans="1:3" x14ac:dyDescent="0.25">
      <c r="A874" t="s">
        <v>821</v>
      </c>
      <c r="B874" t="s">
        <v>1078</v>
      </c>
    </row>
    <row r="875" spans="1:3" x14ac:dyDescent="0.25">
      <c r="A875" t="s">
        <v>1089</v>
      </c>
      <c r="B875" t="s">
        <v>1078</v>
      </c>
    </row>
    <row r="876" spans="1:3" x14ac:dyDescent="0.25">
      <c r="A876" t="s">
        <v>1090</v>
      </c>
      <c r="B876" t="s">
        <v>1078</v>
      </c>
    </row>
    <row r="877" spans="1:3" x14ac:dyDescent="0.25">
      <c r="A877" t="s">
        <v>1091</v>
      </c>
      <c r="B877" t="s">
        <v>1078</v>
      </c>
    </row>
    <row r="878" spans="1:3" x14ac:dyDescent="0.25">
      <c r="A878" t="s">
        <v>822</v>
      </c>
      <c r="B878" t="s">
        <v>1207</v>
      </c>
      <c r="C878" t="s">
        <v>1208</v>
      </c>
    </row>
    <row r="879" spans="1:3" x14ac:dyDescent="0.25">
      <c r="A879" t="s">
        <v>1028</v>
      </c>
      <c r="B879" t="s">
        <v>1209</v>
      </c>
    </row>
    <row r="880" spans="1:3" x14ac:dyDescent="0.25">
      <c r="A880" t="s">
        <v>823</v>
      </c>
      <c r="B880" t="s">
        <v>1207</v>
      </c>
      <c r="C880" t="s">
        <v>1208</v>
      </c>
    </row>
    <row r="881" spans="1:3" x14ac:dyDescent="0.25">
      <c r="A881" t="s">
        <v>1028</v>
      </c>
      <c r="B881" t="s">
        <v>1209</v>
      </c>
    </row>
    <row r="882" spans="1:3" x14ac:dyDescent="0.25">
      <c r="A882" t="s">
        <v>824</v>
      </c>
      <c r="B882" t="s">
        <v>1207</v>
      </c>
      <c r="C882" t="s">
        <v>1208</v>
      </c>
    </row>
    <row r="883" spans="1:3" x14ac:dyDescent="0.25">
      <c r="A883" t="s">
        <v>1028</v>
      </c>
      <c r="B883" t="s">
        <v>1209</v>
      </c>
    </row>
    <row r="884" spans="1:3" x14ac:dyDescent="0.25">
      <c r="A884" t="s">
        <v>825</v>
      </c>
    </row>
    <row r="885" spans="1:3" x14ac:dyDescent="0.25">
      <c r="A885" t="s">
        <v>826</v>
      </c>
      <c r="B885" t="s">
        <v>1207</v>
      </c>
      <c r="C885" t="s">
        <v>1208</v>
      </c>
    </row>
    <row r="886" spans="1:3" x14ac:dyDescent="0.25">
      <c r="A886" t="s">
        <v>1028</v>
      </c>
      <c r="B886" t="s">
        <v>1209</v>
      </c>
    </row>
    <row r="887" spans="1:3" x14ac:dyDescent="0.25">
      <c r="A887" t="s">
        <v>827</v>
      </c>
      <c r="B887" t="s">
        <v>1207</v>
      </c>
      <c r="C887" t="s">
        <v>1208</v>
      </c>
    </row>
    <row r="888" spans="1:3" x14ac:dyDescent="0.25">
      <c r="A888" t="s">
        <v>1028</v>
      </c>
      <c r="B888" t="s">
        <v>1209</v>
      </c>
    </row>
    <row r="889" spans="1:3" x14ac:dyDescent="0.25">
      <c r="A889" t="s">
        <v>828</v>
      </c>
      <c r="B889" t="s">
        <v>1207</v>
      </c>
      <c r="C889" t="s">
        <v>1208</v>
      </c>
    </row>
    <row r="890" spans="1:3" x14ac:dyDescent="0.25">
      <c r="A890" t="s">
        <v>1028</v>
      </c>
      <c r="B890" t="s">
        <v>1209</v>
      </c>
    </row>
    <row r="891" spans="1:3" x14ac:dyDescent="0.25">
      <c r="A891" t="s">
        <v>829</v>
      </c>
    </row>
    <row r="892" spans="1:3" x14ac:dyDescent="0.25">
      <c r="A892" t="s">
        <v>830</v>
      </c>
      <c r="B892" t="s">
        <v>1026</v>
      </c>
    </row>
    <row r="893" spans="1:3" x14ac:dyDescent="0.25">
      <c r="A893" t="s">
        <v>831</v>
      </c>
      <c r="B893" t="s">
        <v>1026</v>
      </c>
    </row>
    <row r="894" spans="1:3" x14ac:dyDescent="0.25">
      <c r="A894" t="s">
        <v>832</v>
      </c>
      <c r="B894">
        <v>0.45</v>
      </c>
    </row>
    <row r="895" spans="1:3" x14ac:dyDescent="0.25">
      <c r="A895" t="s">
        <v>833</v>
      </c>
    </row>
    <row r="896" spans="1:3" x14ac:dyDescent="0.25">
      <c r="A896" t="s">
        <v>834</v>
      </c>
    </row>
    <row r="897" spans="1:2" x14ac:dyDescent="0.25">
      <c r="A897" t="s">
        <v>835</v>
      </c>
    </row>
    <row r="898" spans="1:2" x14ac:dyDescent="0.25">
      <c r="A898" t="s">
        <v>836</v>
      </c>
    </row>
    <row r="899" spans="1:2" x14ac:dyDescent="0.25">
      <c r="A899" t="s">
        <v>837</v>
      </c>
    </row>
    <row r="900" spans="1:2" x14ac:dyDescent="0.25">
      <c r="A900" t="s">
        <v>838</v>
      </c>
      <c r="B900" t="s">
        <v>1026</v>
      </c>
    </row>
    <row r="901" spans="1:2" x14ac:dyDescent="0.25">
      <c r="A901" t="s">
        <v>839</v>
      </c>
      <c r="B901" t="s">
        <v>1026</v>
      </c>
    </row>
    <row r="902" spans="1:2" x14ac:dyDescent="0.25">
      <c r="A902" t="s">
        <v>840</v>
      </c>
      <c r="B902" t="s">
        <v>1026</v>
      </c>
    </row>
    <row r="903" spans="1:2" x14ac:dyDescent="0.25">
      <c r="A903" t="s">
        <v>841</v>
      </c>
    </row>
    <row r="904" spans="1:2" x14ac:dyDescent="0.25">
      <c r="A904" t="s">
        <v>842</v>
      </c>
      <c r="B904">
        <v>2</v>
      </c>
    </row>
    <row r="905" spans="1:2" x14ac:dyDescent="0.25">
      <c r="A905" t="s">
        <v>843</v>
      </c>
      <c r="B905" t="s">
        <v>1038</v>
      </c>
    </row>
    <row r="906" spans="1:2" x14ac:dyDescent="0.25">
      <c r="A906" t="s">
        <v>844</v>
      </c>
      <c r="B906" t="s">
        <v>1039</v>
      </c>
    </row>
    <row r="907" spans="1:2" x14ac:dyDescent="0.25">
      <c r="A907" t="s">
        <v>845</v>
      </c>
      <c r="B907" t="s">
        <v>307</v>
      </c>
    </row>
    <row r="908" spans="1:2" x14ac:dyDescent="0.25">
      <c r="A908" t="s">
        <v>846</v>
      </c>
      <c r="B908" t="s">
        <v>1092</v>
      </c>
    </row>
    <row r="909" spans="1:2" x14ac:dyDescent="0.25">
      <c r="A909" t="s">
        <v>847</v>
      </c>
      <c r="B909">
        <v>35</v>
      </c>
    </row>
    <row r="910" spans="1:2" x14ac:dyDescent="0.25">
      <c r="A910" t="s">
        <v>848</v>
      </c>
      <c r="B910" t="s">
        <v>315</v>
      </c>
    </row>
    <row r="911" spans="1:2" x14ac:dyDescent="0.25">
      <c r="A911" t="s">
        <v>849</v>
      </c>
      <c r="B911">
        <v>0</v>
      </c>
    </row>
    <row r="912" spans="1:2" x14ac:dyDescent="0.25">
      <c r="A912" t="s">
        <v>850</v>
      </c>
      <c r="B912">
        <v>16</v>
      </c>
    </row>
    <row r="913" spans="1:2" x14ac:dyDescent="0.25">
      <c r="A913" t="s">
        <v>851</v>
      </c>
      <c r="B913">
        <v>21</v>
      </c>
    </row>
    <row r="914" spans="1:2" x14ac:dyDescent="0.25">
      <c r="A914" t="s">
        <v>852</v>
      </c>
      <c r="B914">
        <v>30</v>
      </c>
    </row>
    <row r="915" spans="1:2" x14ac:dyDescent="0.25">
      <c r="A915" t="s">
        <v>853</v>
      </c>
      <c r="B915">
        <v>0.5</v>
      </c>
    </row>
    <row r="916" spans="1:2" x14ac:dyDescent="0.25">
      <c r="A916" t="s">
        <v>854</v>
      </c>
      <c r="B916">
        <v>2</v>
      </c>
    </row>
    <row r="917" spans="1:2" x14ac:dyDescent="0.25">
      <c r="A917" t="s">
        <v>855</v>
      </c>
      <c r="B917">
        <v>65</v>
      </c>
    </row>
    <row r="918" spans="1:2" x14ac:dyDescent="0.25">
      <c r="A918" t="s">
        <v>856</v>
      </c>
      <c r="B918" t="s">
        <v>1093</v>
      </c>
    </row>
    <row r="919" spans="1:2" x14ac:dyDescent="0.25">
      <c r="A919" t="s">
        <v>857</v>
      </c>
      <c r="B919">
        <v>1</v>
      </c>
    </row>
    <row r="920" spans="1:2" x14ac:dyDescent="0.25">
      <c r="A920" t="s">
        <v>858</v>
      </c>
      <c r="B920">
        <v>1</v>
      </c>
    </row>
    <row r="921" spans="1:2" x14ac:dyDescent="0.25">
      <c r="A921" t="s">
        <v>859</v>
      </c>
      <c r="B921" t="s">
        <v>303</v>
      </c>
    </row>
    <row r="922" spans="1:2" x14ac:dyDescent="0.25">
      <c r="A922" t="s">
        <v>860</v>
      </c>
      <c r="B922" t="s">
        <v>303</v>
      </c>
    </row>
    <row r="923" spans="1:2" x14ac:dyDescent="0.25">
      <c r="A923" t="s">
        <v>861</v>
      </c>
      <c r="B923">
        <v>0</v>
      </c>
    </row>
    <row r="924" spans="1:2" x14ac:dyDescent="0.25">
      <c r="A924" t="s">
        <v>862</v>
      </c>
      <c r="B924">
        <v>0</v>
      </c>
    </row>
    <row r="925" spans="1:2" x14ac:dyDescent="0.25">
      <c r="A925" t="s">
        <v>863</v>
      </c>
      <c r="B925">
        <v>0</v>
      </c>
    </row>
    <row r="926" spans="1:2" x14ac:dyDescent="0.25">
      <c r="A926" t="s">
        <v>864</v>
      </c>
      <c r="B926">
        <v>36</v>
      </c>
    </row>
    <row r="927" spans="1:2" x14ac:dyDescent="0.25">
      <c r="A927" t="s">
        <v>865</v>
      </c>
      <c r="B927" t="s">
        <v>320</v>
      </c>
    </row>
    <row r="928" spans="1:2" x14ac:dyDescent="0.25">
      <c r="A928" t="s">
        <v>866</v>
      </c>
      <c r="B928">
        <v>1</v>
      </c>
    </row>
    <row r="929" spans="1:2" x14ac:dyDescent="0.25">
      <c r="A929" t="s">
        <v>867</v>
      </c>
      <c r="B929">
        <v>1</v>
      </c>
    </row>
    <row r="930" spans="1:2" x14ac:dyDescent="0.25">
      <c r="A930" t="s">
        <v>868</v>
      </c>
      <c r="B930">
        <v>0</v>
      </c>
    </row>
    <row r="931" spans="1:2" x14ac:dyDescent="0.25">
      <c r="A931" t="s">
        <v>869</v>
      </c>
      <c r="B931">
        <v>0</v>
      </c>
    </row>
    <row r="932" spans="1:2" x14ac:dyDescent="0.25">
      <c r="A932" t="s">
        <v>870</v>
      </c>
      <c r="B932">
        <v>0</v>
      </c>
    </row>
    <row r="933" spans="1:2" x14ac:dyDescent="0.25">
      <c r="A933" t="s">
        <v>871</v>
      </c>
      <c r="B933">
        <v>0</v>
      </c>
    </row>
    <row r="934" spans="1:2" x14ac:dyDescent="0.25">
      <c r="A934" t="s">
        <v>872</v>
      </c>
      <c r="B934">
        <v>0</v>
      </c>
    </row>
    <row r="935" spans="1:2" x14ac:dyDescent="0.25">
      <c r="A935" t="s">
        <v>873</v>
      </c>
      <c r="B935">
        <v>0</v>
      </c>
    </row>
    <row r="936" spans="1:2" x14ac:dyDescent="0.25">
      <c r="A936" t="s">
        <v>874</v>
      </c>
      <c r="B936">
        <v>0</v>
      </c>
    </row>
    <row r="937" spans="1:2" x14ac:dyDescent="0.25">
      <c r="A937" t="s">
        <v>875</v>
      </c>
      <c r="B937">
        <v>0</v>
      </c>
    </row>
    <row r="938" spans="1:2" x14ac:dyDescent="0.25">
      <c r="A938" t="s">
        <v>876</v>
      </c>
      <c r="B938">
        <v>1</v>
      </c>
    </row>
    <row r="939" spans="1:2" x14ac:dyDescent="0.25">
      <c r="A939" t="s">
        <v>877</v>
      </c>
      <c r="B939">
        <v>1</v>
      </c>
    </row>
    <row r="940" spans="1:2" x14ac:dyDescent="0.25">
      <c r="A940" t="s">
        <v>878</v>
      </c>
      <c r="B940">
        <v>1</v>
      </c>
    </row>
    <row r="941" spans="1:2" x14ac:dyDescent="0.25">
      <c r="A941" t="s">
        <v>879</v>
      </c>
      <c r="B941">
        <v>1</v>
      </c>
    </row>
    <row r="942" spans="1:2" x14ac:dyDescent="0.25">
      <c r="A942" t="s">
        <v>880</v>
      </c>
      <c r="B942">
        <v>1</v>
      </c>
    </row>
    <row r="943" spans="1:2" x14ac:dyDescent="0.25">
      <c r="A943" t="s">
        <v>881</v>
      </c>
      <c r="B943">
        <v>1</v>
      </c>
    </row>
    <row r="944" spans="1:2" x14ac:dyDescent="0.25">
      <c r="A944" t="s">
        <v>882</v>
      </c>
      <c r="B944">
        <v>1</v>
      </c>
    </row>
    <row r="945" spans="1:2" x14ac:dyDescent="0.25">
      <c r="A945" t="s">
        <v>883</v>
      </c>
      <c r="B945">
        <v>1</v>
      </c>
    </row>
    <row r="946" spans="1:2" x14ac:dyDescent="0.25">
      <c r="A946" t="s">
        <v>884</v>
      </c>
      <c r="B946">
        <v>1</v>
      </c>
    </row>
    <row r="947" spans="1:2" x14ac:dyDescent="0.25">
      <c r="A947" t="s">
        <v>885</v>
      </c>
      <c r="B947">
        <v>1</v>
      </c>
    </row>
    <row r="948" spans="1:2" x14ac:dyDescent="0.25">
      <c r="A948" t="s">
        <v>886</v>
      </c>
      <c r="B948">
        <v>1</v>
      </c>
    </row>
    <row r="949" spans="1:2" x14ac:dyDescent="0.25">
      <c r="A949" t="s">
        <v>887</v>
      </c>
      <c r="B949">
        <v>1</v>
      </c>
    </row>
    <row r="950" spans="1:2" x14ac:dyDescent="0.25">
      <c r="A950" t="s">
        <v>888</v>
      </c>
      <c r="B950">
        <v>1</v>
      </c>
    </row>
    <row r="951" spans="1:2" x14ac:dyDescent="0.25">
      <c r="A951" t="s">
        <v>889</v>
      </c>
      <c r="B951">
        <v>1</v>
      </c>
    </row>
    <row r="952" spans="1:2" x14ac:dyDescent="0.25">
      <c r="A952" t="s">
        <v>890</v>
      </c>
      <c r="B952">
        <v>1</v>
      </c>
    </row>
    <row r="953" spans="1:2" x14ac:dyDescent="0.25">
      <c r="A953" t="s">
        <v>891</v>
      </c>
      <c r="B953">
        <v>1</v>
      </c>
    </row>
    <row r="954" spans="1:2" x14ac:dyDescent="0.25">
      <c r="A954" t="s">
        <v>892</v>
      </c>
      <c r="B954">
        <v>1</v>
      </c>
    </row>
    <row r="955" spans="1:2" x14ac:dyDescent="0.25">
      <c r="A955" t="s">
        <v>893</v>
      </c>
      <c r="B955">
        <v>1</v>
      </c>
    </row>
    <row r="956" spans="1:2" x14ac:dyDescent="0.25">
      <c r="A956" t="s">
        <v>894</v>
      </c>
      <c r="B956">
        <v>1</v>
      </c>
    </row>
    <row r="957" spans="1:2" x14ac:dyDescent="0.25">
      <c r="A957" t="s">
        <v>895</v>
      </c>
      <c r="B957">
        <v>1</v>
      </c>
    </row>
    <row r="958" spans="1:2" x14ac:dyDescent="0.25">
      <c r="A958" t="s">
        <v>896</v>
      </c>
      <c r="B958">
        <v>1</v>
      </c>
    </row>
    <row r="959" spans="1:2" x14ac:dyDescent="0.25">
      <c r="A959" t="s">
        <v>897</v>
      </c>
      <c r="B959">
        <v>1</v>
      </c>
    </row>
    <row r="960" spans="1:2" x14ac:dyDescent="0.25">
      <c r="A960" t="s">
        <v>898</v>
      </c>
      <c r="B960">
        <v>1</v>
      </c>
    </row>
    <row r="961" spans="1:2" x14ac:dyDescent="0.25">
      <c r="A961" t="s">
        <v>899</v>
      </c>
      <c r="B961">
        <v>0.5</v>
      </c>
    </row>
    <row r="962" spans="1:2" x14ac:dyDescent="0.25">
      <c r="A962" t="s">
        <v>900</v>
      </c>
      <c r="B962">
        <v>0.85</v>
      </c>
    </row>
    <row r="963" spans="1:2" x14ac:dyDescent="0.25">
      <c r="A963" t="s">
        <v>901</v>
      </c>
      <c r="B963">
        <v>1</v>
      </c>
    </row>
    <row r="964" spans="1:2" x14ac:dyDescent="0.25">
      <c r="A964" t="s">
        <v>902</v>
      </c>
      <c r="B964">
        <v>0.5</v>
      </c>
    </row>
    <row r="965" spans="1:2" x14ac:dyDescent="0.25">
      <c r="A965" t="s">
        <v>903</v>
      </c>
      <c r="B965">
        <v>0.85</v>
      </c>
    </row>
    <row r="966" spans="1:2" x14ac:dyDescent="0.25">
      <c r="A966" t="s">
        <v>904</v>
      </c>
      <c r="B966">
        <v>1</v>
      </c>
    </row>
    <row r="967" spans="1:2" x14ac:dyDescent="0.25">
      <c r="A967" t="s">
        <v>905</v>
      </c>
      <c r="B967" t="s">
        <v>1094</v>
      </c>
    </row>
    <row r="968" spans="1:2" x14ac:dyDescent="0.25">
      <c r="A968" t="s">
        <v>906</v>
      </c>
      <c r="B968" t="s">
        <v>1094</v>
      </c>
    </row>
    <row r="969" spans="1:2" x14ac:dyDescent="0.25">
      <c r="A969" t="s">
        <v>907</v>
      </c>
      <c r="B969">
        <v>36</v>
      </c>
    </row>
    <row r="970" spans="1:2" x14ac:dyDescent="0.25">
      <c r="A970" t="s">
        <v>908</v>
      </c>
      <c r="B970">
        <v>36</v>
      </c>
    </row>
    <row r="971" spans="1:2" x14ac:dyDescent="0.25">
      <c r="A971" t="s">
        <v>909</v>
      </c>
      <c r="B971">
        <v>36</v>
      </c>
    </row>
    <row r="972" spans="1:2" x14ac:dyDescent="0.25">
      <c r="A972" t="s">
        <v>910</v>
      </c>
      <c r="B972">
        <v>36</v>
      </c>
    </row>
    <row r="973" spans="1:2" x14ac:dyDescent="0.25">
      <c r="A973" t="s">
        <v>911</v>
      </c>
      <c r="B973">
        <v>0</v>
      </c>
    </row>
    <row r="974" spans="1:2" x14ac:dyDescent="0.25">
      <c r="A974" t="s">
        <v>912</v>
      </c>
      <c r="B974">
        <v>1</v>
      </c>
    </row>
    <row r="975" spans="1:2" x14ac:dyDescent="0.25">
      <c r="A975" t="s">
        <v>913</v>
      </c>
      <c r="B975">
        <v>0</v>
      </c>
    </row>
    <row r="976" spans="1:2" x14ac:dyDescent="0.25">
      <c r="A976" t="s">
        <v>914</v>
      </c>
      <c r="B976">
        <v>0</v>
      </c>
    </row>
    <row r="977" spans="1:2" x14ac:dyDescent="0.25">
      <c r="A977" t="s">
        <v>915</v>
      </c>
      <c r="B977">
        <v>0</v>
      </c>
    </row>
    <row r="978" spans="1:2" x14ac:dyDescent="0.25">
      <c r="A978" t="s">
        <v>916</v>
      </c>
      <c r="B978">
        <v>0</v>
      </c>
    </row>
    <row r="979" spans="1:2" x14ac:dyDescent="0.25">
      <c r="A979" t="s">
        <v>970</v>
      </c>
      <c r="B979">
        <v>0</v>
      </c>
    </row>
    <row r="980" spans="1:2" x14ac:dyDescent="0.25">
      <c r="A980" t="s">
        <v>919</v>
      </c>
      <c r="B980">
        <v>0</v>
      </c>
    </row>
    <row r="981" spans="1:2" x14ac:dyDescent="0.25">
      <c r="A981" t="s">
        <v>920</v>
      </c>
      <c r="B981">
        <v>0.75</v>
      </c>
    </row>
    <row r="982" spans="1:2" x14ac:dyDescent="0.25">
      <c r="A982" t="s">
        <v>921</v>
      </c>
      <c r="B982">
        <v>0.75</v>
      </c>
    </row>
    <row r="983" spans="1:2" x14ac:dyDescent="0.25">
      <c r="A983" t="s">
        <v>922</v>
      </c>
      <c r="B983">
        <v>0.75</v>
      </c>
    </row>
    <row r="984" spans="1:2" x14ac:dyDescent="0.25">
      <c r="A984" t="s">
        <v>923</v>
      </c>
      <c r="B984">
        <v>0.75</v>
      </c>
    </row>
    <row r="985" spans="1:2" x14ac:dyDescent="0.25">
      <c r="A985" t="s">
        <v>924</v>
      </c>
      <c r="B985">
        <v>0.75</v>
      </c>
    </row>
    <row r="986" spans="1:2" x14ac:dyDescent="0.25">
      <c r="A986" t="s">
        <v>925</v>
      </c>
      <c r="B986">
        <v>0.75</v>
      </c>
    </row>
    <row r="987" spans="1:2" x14ac:dyDescent="0.25">
      <c r="A987" t="s">
        <v>926</v>
      </c>
      <c r="B987" t="s">
        <v>537</v>
      </c>
    </row>
    <row r="988" spans="1:2" x14ac:dyDescent="0.25">
      <c r="A988" t="s">
        <v>927</v>
      </c>
      <c r="B988">
        <v>0</v>
      </c>
    </row>
    <row r="989" spans="1:2" x14ac:dyDescent="0.25">
      <c r="A989" t="s">
        <v>928</v>
      </c>
      <c r="B989">
        <v>0</v>
      </c>
    </row>
    <row r="990" spans="1:2" x14ac:dyDescent="0.25">
      <c r="A990" t="s">
        <v>929</v>
      </c>
      <c r="B990">
        <v>0</v>
      </c>
    </row>
    <row r="991" spans="1:2" x14ac:dyDescent="0.25">
      <c r="A991" t="s">
        <v>930</v>
      </c>
      <c r="B991">
        <v>0</v>
      </c>
    </row>
    <row r="992" spans="1:2" x14ac:dyDescent="0.25">
      <c r="A992" t="s">
        <v>931</v>
      </c>
      <c r="B992">
        <v>0</v>
      </c>
    </row>
    <row r="993" spans="1:2" x14ac:dyDescent="0.25">
      <c r="A993" t="s">
        <v>932</v>
      </c>
      <c r="B993">
        <v>0</v>
      </c>
    </row>
    <row r="994" spans="1:2" x14ac:dyDescent="0.25">
      <c r="A994" t="s">
        <v>933</v>
      </c>
      <c r="B994">
        <v>0</v>
      </c>
    </row>
    <row r="995" spans="1:2" x14ac:dyDescent="0.25">
      <c r="A995" t="s">
        <v>934</v>
      </c>
      <c r="B995" t="s">
        <v>551</v>
      </c>
    </row>
    <row r="996" spans="1:2" x14ac:dyDescent="0.25">
      <c r="A996" t="s">
        <v>935</v>
      </c>
      <c r="B996">
        <v>0.75</v>
      </c>
    </row>
    <row r="997" spans="1:2" x14ac:dyDescent="0.25">
      <c r="A997" t="s">
        <v>936</v>
      </c>
      <c r="B997" t="s">
        <v>551</v>
      </c>
    </row>
    <row r="998" spans="1:2" x14ac:dyDescent="0.25">
      <c r="A998" t="s">
        <v>937</v>
      </c>
      <c r="B998">
        <v>0.625</v>
      </c>
    </row>
    <row r="999" spans="1:2" x14ac:dyDescent="0.25">
      <c r="A999" t="s">
        <v>938</v>
      </c>
      <c r="B999" t="s">
        <v>551</v>
      </c>
    </row>
    <row r="1000" spans="1:2" x14ac:dyDescent="0.25">
      <c r="A1000" t="s">
        <v>939</v>
      </c>
      <c r="B1000">
        <v>0.625</v>
      </c>
    </row>
    <row r="1001" spans="1:2" x14ac:dyDescent="0.25">
      <c r="A1001" t="s">
        <v>940</v>
      </c>
      <c r="B1001" t="s">
        <v>551</v>
      </c>
    </row>
    <row r="1002" spans="1:2" x14ac:dyDescent="0.25">
      <c r="A1002" t="s">
        <v>941</v>
      </c>
      <c r="B1002">
        <v>0.625</v>
      </c>
    </row>
    <row r="1003" spans="1:2" x14ac:dyDescent="0.25">
      <c r="A1003" t="s">
        <v>942</v>
      </c>
      <c r="B1003" t="s">
        <v>551</v>
      </c>
    </row>
    <row r="1004" spans="1:2" x14ac:dyDescent="0.25">
      <c r="A1004" t="s">
        <v>943</v>
      </c>
      <c r="B1004">
        <v>0.625</v>
      </c>
    </row>
    <row r="1005" spans="1:2" x14ac:dyDescent="0.25">
      <c r="A1005" t="s">
        <v>944</v>
      </c>
      <c r="B1005" t="s">
        <v>551</v>
      </c>
    </row>
    <row r="1006" spans="1:2" x14ac:dyDescent="0.25">
      <c r="A1006" t="s">
        <v>945</v>
      </c>
      <c r="B1006">
        <v>0.625</v>
      </c>
    </row>
    <row r="1007" spans="1:2" x14ac:dyDescent="0.25">
      <c r="A1007" t="s">
        <v>946</v>
      </c>
      <c r="B1007" t="s">
        <v>551</v>
      </c>
    </row>
    <row r="1008" spans="1:2" x14ac:dyDescent="0.25">
      <c r="A1008" t="s">
        <v>947</v>
      </c>
      <c r="B1008">
        <v>0.625</v>
      </c>
    </row>
    <row r="1009" spans="1:2" x14ac:dyDescent="0.25">
      <c r="A1009" t="s">
        <v>948</v>
      </c>
      <c r="B1009">
        <v>0</v>
      </c>
    </row>
    <row r="1010" spans="1:2" x14ac:dyDescent="0.25">
      <c r="A1010" t="s">
        <v>949</v>
      </c>
      <c r="B1010">
        <v>0</v>
      </c>
    </row>
    <row r="1011" spans="1:2" x14ac:dyDescent="0.25">
      <c r="A1011" t="s">
        <v>950</v>
      </c>
      <c r="B1011">
        <v>0</v>
      </c>
    </row>
    <row r="1012" spans="1:2" x14ac:dyDescent="0.25">
      <c r="A1012" t="s">
        <v>951</v>
      </c>
      <c r="B1012">
        <v>0</v>
      </c>
    </row>
    <row r="1013" spans="1:2" x14ac:dyDescent="0.25">
      <c r="A1013" t="s">
        <v>952</v>
      </c>
      <c r="B1013">
        <v>0</v>
      </c>
    </row>
    <row r="1014" spans="1:2" x14ac:dyDescent="0.25">
      <c r="A1014" t="s">
        <v>953</v>
      </c>
      <c r="B1014">
        <v>0</v>
      </c>
    </row>
    <row r="1015" spans="1:2" x14ac:dyDescent="0.25">
      <c r="A1015" t="s">
        <v>954</v>
      </c>
      <c r="B1015">
        <v>0</v>
      </c>
    </row>
    <row r="1016" spans="1:2" x14ac:dyDescent="0.25">
      <c r="A1016" t="s">
        <v>955</v>
      </c>
      <c r="B1016">
        <v>0</v>
      </c>
    </row>
    <row r="1017" spans="1:2" x14ac:dyDescent="0.25">
      <c r="A1017" t="s">
        <v>956</v>
      </c>
      <c r="B1017">
        <v>0</v>
      </c>
    </row>
    <row r="1018" spans="1:2" x14ac:dyDescent="0.25">
      <c r="A1018" t="s">
        <v>957</v>
      </c>
      <c r="B1018">
        <v>0</v>
      </c>
    </row>
    <row r="1019" spans="1:2" x14ac:dyDescent="0.25">
      <c r="A1019" t="s">
        <v>958</v>
      </c>
      <c r="B1019">
        <v>0</v>
      </c>
    </row>
    <row r="1020" spans="1:2" x14ac:dyDescent="0.25">
      <c r="A1020" t="s">
        <v>959</v>
      </c>
      <c r="B1020">
        <v>0</v>
      </c>
    </row>
    <row r="1021" spans="1:2" x14ac:dyDescent="0.25">
      <c r="A1021" t="s">
        <v>960</v>
      </c>
      <c r="B1021">
        <v>0</v>
      </c>
    </row>
    <row r="1022" spans="1:2" x14ac:dyDescent="0.25">
      <c r="A1022" t="s">
        <v>1095</v>
      </c>
      <c r="B1022" t="s">
        <v>551</v>
      </c>
    </row>
    <row r="1023" spans="1:2" x14ac:dyDescent="0.25">
      <c r="A1023" t="s">
        <v>1096</v>
      </c>
      <c r="B1023">
        <v>0.625</v>
      </c>
    </row>
    <row r="1024" spans="1:2" x14ac:dyDescent="0.25">
      <c r="A1024" t="s">
        <v>1097</v>
      </c>
      <c r="B1024">
        <v>0</v>
      </c>
    </row>
    <row r="1025" spans="1:2" x14ac:dyDescent="0.25">
      <c r="A1025" t="s">
        <v>1098</v>
      </c>
      <c r="B1025">
        <v>0</v>
      </c>
    </row>
    <row r="1026" spans="1:2" x14ac:dyDescent="0.25">
      <c r="A1026" t="s">
        <v>1099</v>
      </c>
      <c r="B1026">
        <v>0</v>
      </c>
    </row>
    <row r="1027" spans="1:2" x14ac:dyDescent="0.25">
      <c r="A1027" t="s">
        <v>1100</v>
      </c>
      <c r="B1027">
        <v>0</v>
      </c>
    </row>
    <row r="1028" spans="1:2" x14ac:dyDescent="0.25">
      <c r="A1028" t="s">
        <v>1101</v>
      </c>
      <c r="B1028">
        <v>0.75</v>
      </c>
    </row>
    <row r="1029" spans="1:2" x14ac:dyDescent="0.25">
      <c r="A1029" t="s">
        <v>1102</v>
      </c>
      <c r="B1029" t="s">
        <v>551</v>
      </c>
    </row>
    <row r="1030" spans="1:2" x14ac:dyDescent="0.25">
      <c r="A1030" t="s">
        <v>1103</v>
      </c>
      <c r="B1030">
        <v>0.625</v>
      </c>
    </row>
    <row r="1031" spans="1:2" x14ac:dyDescent="0.25">
      <c r="A1031" t="s">
        <v>1104</v>
      </c>
      <c r="B1031">
        <v>0</v>
      </c>
    </row>
    <row r="1032" spans="1:2" x14ac:dyDescent="0.25">
      <c r="A1032" t="s">
        <v>1105</v>
      </c>
      <c r="B1032">
        <v>0</v>
      </c>
    </row>
    <row r="1033" spans="1:2" x14ac:dyDescent="0.25">
      <c r="A1033" t="s">
        <v>1106</v>
      </c>
      <c r="B1033">
        <v>0</v>
      </c>
    </row>
    <row r="1034" spans="1:2" x14ac:dyDescent="0.25">
      <c r="A1034" t="s">
        <v>1107</v>
      </c>
      <c r="B1034">
        <v>0</v>
      </c>
    </row>
    <row r="1035" spans="1:2" x14ac:dyDescent="0.25">
      <c r="A1035" t="s">
        <v>1108</v>
      </c>
      <c r="B1035">
        <v>0.75</v>
      </c>
    </row>
    <row r="1036" spans="1:2" x14ac:dyDescent="0.25">
      <c r="A1036" t="s">
        <v>1109</v>
      </c>
      <c r="B1036" t="s">
        <v>551</v>
      </c>
    </row>
    <row r="1037" spans="1:2" x14ac:dyDescent="0.25">
      <c r="A1037" t="s">
        <v>1110</v>
      </c>
      <c r="B1037">
        <v>0.625</v>
      </c>
    </row>
    <row r="1038" spans="1:2" x14ac:dyDescent="0.25">
      <c r="A1038" t="s">
        <v>1111</v>
      </c>
      <c r="B1038">
        <v>0</v>
      </c>
    </row>
    <row r="1039" spans="1:2" x14ac:dyDescent="0.25">
      <c r="A1039" t="s">
        <v>1112</v>
      </c>
      <c r="B1039">
        <v>0</v>
      </c>
    </row>
    <row r="1040" spans="1:2" x14ac:dyDescent="0.25">
      <c r="A1040" t="s">
        <v>1113</v>
      </c>
      <c r="B1040">
        <v>0</v>
      </c>
    </row>
    <row r="1041" spans="1:2" x14ac:dyDescent="0.25">
      <c r="A1041" t="s">
        <v>1114</v>
      </c>
      <c r="B1041">
        <v>0</v>
      </c>
    </row>
    <row r="1042" spans="1:2" x14ac:dyDescent="0.25">
      <c r="A1042" t="s">
        <v>1115</v>
      </c>
      <c r="B1042">
        <v>0.75</v>
      </c>
    </row>
    <row r="1043" spans="1:2" x14ac:dyDescent="0.25">
      <c r="A1043" t="s">
        <v>1116</v>
      </c>
      <c r="B1043" t="s">
        <v>551</v>
      </c>
    </row>
    <row r="1044" spans="1:2" x14ac:dyDescent="0.25">
      <c r="A1044" t="s">
        <v>1117</v>
      </c>
      <c r="B1044">
        <v>0.625</v>
      </c>
    </row>
    <row r="1045" spans="1:2" x14ac:dyDescent="0.25">
      <c r="A1045" t="s">
        <v>1118</v>
      </c>
      <c r="B1045">
        <v>0</v>
      </c>
    </row>
    <row r="1046" spans="1:2" x14ac:dyDescent="0.25">
      <c r="A1046" t="s">
        <v>1119</v>
      </c>
      <c r="B1046">
        <v>0</v>
      </c>
    </row>
    <row r="1047" spans="1:2" x14ac:dyDescent="0.25">
      <c r="A1047" t="s">
        <v>1120</v>
      </c>
      <c r="B1047">
        <v>0</v>
      </c>
    </row>
    <row r="1048" spans="1:2" x14ac:dyDescent="0.25">
      <c r="A1048" t="s">
        <v>1121</v>
      </c>
      <c r="B1048">
        <v>0</v>
      </c>
    </row>
    <row r="1049" spans="1:2" x14ac:dyDescent="0.25">
      <c r="A1049" t="s">
        <v>1122</v>
      </c>
      <c r="B1049">
        <v>0.75</v>
      </c>
    </row>
    <row r="1050" spans="1:2" x14ac:dyDescent="0.25">
      <c r="A1050" t="s">
        <v>1123</v>
      </c>
      <c r="B1050" t="s">
        <v>551</v>
      </c>
    </row>
    <row r="1051" spans="1:2" x14ac:dyDescent="0.25">
      <c r="A1051" t="s">
        <v>1124</v>
      </c>
      <c r="B1051">
        <v>0.625</v>
      </c>
    </row>
    <row r="1052" spans="1:2" x14ac:dyDescent="0.25">
      <c r="A1052" t="s">
        <v>1125</v>
      </c>
      <c r="B1052">
        <v>0</v>
      </c>
    </row>
    <row r="1053" spans="1:2" x14ac:dyDescent="0.25">
      <c r="A1053" t="s">
        <v>1126</v>
      </c>
      <c r="B1053">
        <v>0</v>
      </c>
    </row>
    <row r="1054" spans="1:2" x14ac:dyDescent="0.25">
      <c r="A1054" t="s">
        <v>1127</v>
      </c>
      <c r="B1054">
        <v>0</v>
      </c>
    </row>
    <row r="1055" spans="1:2" x14ac:dyDescent="0.25">
      <c r="A1055" t="s">
        <v>1128</v>
      </c>
      <c r="B1055">
        <v>0</v>
      </c>
    </row>
    <row r="1056" spans="1:2" x14ac:dyDescent="0.25">
      <c r="A1056" t="s">
        <v>1129</v>
      </c>
      <c r="B1056">
        <v>0.75</v>
      </c>
    </row>
    <row r="1057" spans="1:2" x14ac:dyDescent="0.25">
      <c r="A1057" t="s">
        <v>1130</v>
      </c>
      <c r="B1057" t="s">
        <v>551</v>
      </c>
    </row>
    <row r="1058" spans="1:2" x14ac:dyDescent="0.25">
      <c r="A1058" t="s">
        <v>1131</v>
      </c>
      <c r="B1058">
        <v>0.625</v>
      </c>
    </row>
    <row r="1059" spans="1:2" x14ac:dyDescent="0.25">
      <c r="A1059" t="s">
        <v>1132</v>
      </c>
      <c r="B1059">
        <v>0</v>
      </c>
    </row>
    <row r="1060" spans="1:2" x14ac:dyDescent="0.25">
      <c r="A1060" t="s">
        <v>1133</v>
      </c>
      <c r="B1060">
        <v>0</v>
      </c>
    </row>
    <row r="1061" spans="1:2" x14ac:dyDescent="0.25">
      <c r="A1061" t="s">
        <v>1134</v>
      </c>
      <c r="B1061">
        <v>0</v>
      </c>
    </row>
    <row r="1062" spans="1:2" x14ac:dyDescent="0.25">
      <c r="A1062" t="s">
        <v>1135</v>
      </c>
      <c r="B1062">
        <v>0</v>
      </c>
    </row>
    <row r="1063" spans="1:2" x14ac:dyDescent="0.25">
      <c r="A1063" t="s">
        <v>1136</v>
      </c>
      <c r="B1063">
        <v>0.75</v>
      </c>
    </row>
    <row r="1064" spans="1:2" x14ac:dyDescent="0.25">
      <c r="A1064" t="s">
        <v>1137</v>
      </c>
      <c r="B1064" t="s">
        <v>551</v>
      </c>
    </row>
    <row r="1065" spans="1:2" x14ac:dyDescent="0.25">
      <c r="A1065" t="s">
        <v>1138</v>
      </c>
      <c r="B1065">
        <v>0.625</v>
      </c>
    </row>
    <row r="1066" spans="1:2" x14ac:dyDescent="0.25">
      <c r="A1066" t="s">
        <v>1139</v>
      </c>
      <c r="B1066">
        <v>0</v>
      </c>
    </row>
    <row r="1067" spans="1:2" x14ac:dyDescent="0.25">
      <c r="A1067" t="s">
        <v>1140</v>
      </c>
      <c r="B1067">
        <v>0</v>
      </c>
    </row>
    <row r="1068" spans="1:2" x14ac:dyDescent="0.25">
      <c r="A1068" t="s">
        <v>1141</v>
      </c>
      <c r="B1068">
        <v>0</v>
      </c>
    </row>
    <row r="1069" spans="1:2" x14ac:dyDescent="0.25">
      <c r="A1069" t="s">
        <v>1142</v>
      </c>
      <c r="B1069">
        <v>0</v>
      </c>
    </row>
    <row r="1070" spans="1:2" x14ac:dyDescent="0.25">
      <c r="A1070" t="s">
        <v>1143</v>
      </c>
      <c r="B1070">
        <v>0.75</v>
      </c>
    </row>
    <row r="1071" spans="1:2" x14ac:dyDescent="0.25">
      <c r="A1071" t="s">
        <v>1144</v>
      </c>
      <c r="B1071" t="s">
        <v>551</v>
      </c>
    </row>
    <row r="1072" spans="1:2" x14ac:dyDescent="0.25">
      <c r="A1072" t="s">
        <v>1145</v>
      </c>
      <c r="B1072">
        <v>0.625</v>
      </c>
    </row>
    <row r="1073" spans="1:2" x14ac:dyDescent="0.25">
      <c r="A1073" t="s">
        <v>1146</v>
      </c>
      <c r="B1073">
        <v>0</v>
      </c>
    </row>
    <row r="1074" spans="1:2" x14ac:dyDescent="0.25">
      <c r="A1074" t="s">
        <v>1147</v>
      </c>
      <c r="B1074">
        <v>0</v>
      </c>
    </row>
    <row r="1075" spans="1:2" x14ac:dyDescent="0.25">
      <c r="A1075" t="s">
        <v>1148</v>
      </c>
      <c r="B1075">
        <v>0</v>
      </c>
    </row>
    <row r="1076" spans="1:2" x14ac:dyDescent="0.25">
      <c r="A1076" t="s">
        <v>1149</v>
      </c>
      <c r="B1076">
        <v>0</v>
      </c>
    </row>
    <row r="1077" spans="1:2" x14ac:dyDescent="0.25">
      <c r="A1077" t="s">
        <v>1150</v>
      </c>
      <c r="B1077">
        <v>0.75</v>
      </c>
    </row>
    <row r="1078" spans="1:2" x14ac:dyDescent="0.25">
      <c r="A1078" t="s">
        <v>985</v>
      </c>
      <c r="B1078" t="s">
        <v>551</v>
      </c>
    </row>
    <row r="1079" spans="1:2" x14ac:dyDescent="0.25">
      <c r="A1079" t="s">
        <v>986</v>
      </c>
      <c r="B1079">
        <v>0.625</v>
      </c>
    </row>
    <row r="1080" spans="1:2" x14ac:dyDescent="0.25">
      <c r="A1080" t="s">
        <v>987</v>
      </c>
      <c r="B1080">
        <v>0</v>
      </c>
    </row>
    <row r="1081" spans="1:2" x14ac:dyDescent="0.25">
      <c r="A1081" t="s">
        <v>988</v>
      </c>
      <c r="B1081">
        <v>0</v>
      </c>
    </row>
    <row r="1082" spans="1:2" x14ac:dyDescent="0.25">
      <c r="A1082" t="s">
        <v>989</v>
      </c>
      <c r="B1082">
        <v>0</v>
      </c>
    </row>
    <row r="1083" spans="1:2" x14ac:dyDescent="0.25">
      <c r="A1083" t="s">
        <v>990</v>
      </c>
      <c r="B1083">
        <v>0</v>
      </c>
    </row>
    <row r="1084" spans="1:2" x14ac:dyDescent="0.25">
      <c r="A1084" t="s">
        <v>991</v>
      </c>
      <c r="B1084">
        <v>0.75</v>
      </c>
    </row>
    <row r="1085" spans="1:2" x14ac:dyDescent="0.25">
      <c r="A1085" t="s">
        <v>992</v>
      </c>
      <c r="B1085" t="s">
        <v>551</v>
      </c>
    </row>
    <row r="1086" spans="1:2" x14ac:dyDescent="0.25">
      <c r="A1086" t="s">
        <v>993</v>
      </c>
      <c r="B1086">
        <v>0.625</v>
      </c>
    </row>
    <row r="1087" spans="1:2" x14ac:dyDescent="0.25">
      <c r="A1087" t="s">
        <v>994</v>
      </c>
      <c r="B1087">
        <v>0</v>
      </c>
    </row>
    <row r="1088" spans="1:2" x14ac:dyDescent="0.25">
      <c r="A1088" t="s">
        <v>995</v>
      </c>
      <c r="B1088">
        <v>0</v>
      </c>
    </row>
    <row r="1089" spans="1:2" x14ac:dyDescent="0.25">
      <c r="A1089" t="s">
        <v>996</v>
      </c>
      <c r="B1089">
        <v>0</v>
      </c>
    </row>
    <row r="1090" spans="1:2" x14ac:dyDescent="0.25">
      <c r="A1090" t="s">
        <v>997</v>
      </c>
      <c r="B1090">
        <v>0</v>
      </c>
    </row>
    <row r="1091" spans="1:2" x14ac:dyDescent="0.25">
      <c r="A1091" t="s">
        <v>998</v>
      </c>
      <c r="B1091">
        <v>0.75</v>
      </c>
    </row>
    <row r="1092" spans="1:2" x14ac:dyDescent="0.25">
      <c r="A1092" t="s">
        <v>999</v>
      </c>
      <c r="B1092" t="s">
        <v>551</v>
      </c>
    </row>
    <row r="1093" spans="1:2" x14ac:dyDescent="0.25">
      <c r="A1093" t="s">
        <v>1000</v>
      </c>
      <c r="B1093">
        <v>0.625</v>
      </c>
    </row>
    <row r="1094" spans="1:2" x14ac:dyDescent="0.25">
      <c r="A1094" t="s">
        <v>1001</v>
      </c>
      <c r="B1094">
        <v>0</v>
      </c>
    </row>
    <row r="1095" spans="1:2" x14ac:dyDescent="0.25">
      <c r="A1095" t="s">
        <v>1002</v>
      </c>
      <c r="B1095">
        <v>0</v>
      </c>
    </row>
    <row r="1096" spans="1:2" x14ac:dyDescent="0.25">
      <c r="A1096" t="s">
        <v>1003</v>
      </c>
      <c r="B1096">
        <v>0</v>
      </c>
    </row>
    <row r="1097" spans="1:2" x14ac:dyDescent="0.25">
      <c r="A1097" t="s">
        <v>1004</v>
      </c>
      <c r="B1097">
        <v>0</v>
      </c>
    </row>
    <row r="1098" spans="1:2" x14ac:dyDescent="0.25">
      <c r="A1098" t="s">
        <v>1005</v>
      </c>
      <c r="B1098">
        <v>0.75</v>
      </c>
    </row>
    <row r="1099" spans="1:2" x14ac:dyDescent="0.25">
      <c r="A1099" t="s">
        <v>1151</v>
      </c>
      <c r="B1099" t="s">
        <v>551</v>
      </c>
    </row>
    <row r="1100" spans="1:2" x14ac:dyDescent="0.25">
      <c r="A1100" t="s">
        <v>1152</v>
      </c>
      <c r="B1100">
        <v>0.625</v>
      </c>
    </row>
    <row r="1101" spans="1:2" x14ac:dyDescent="0.25">
      <c r="A1101" t="s">
        <v>1153</v>
      </c>
      <c r="B1101">
        <v>0</v>
      </c>
    </row>
    <row r="1102" spans="1:2" x14ac:dyDescent="0.25">
      <c r="A1102" t="s">
        <v>1154</v>
      </c>
      <c r="B1102">
        <v>0</v>
      </c>
    </row>
    <row r="1103" spans="1:2" x14ac:dyDescent="0.25">
      <c r="A1103" t="s">
        <v>1155</v>
      </c>
      <c r="B1103">
        <v>0</v>
      </c>
    </row>
    <row r="1104" spans="1:2" x14ac:dyDescent="0.25">
      <c r="A1104" t="s">
        <v>1156</v>
      </c>
      <c r="B1104">
        <v>0</v>
      </c>
    </row>
    <row r="1105" spans="1:2" x14ac:dyDescent="0.25">
      <c r="A1105" t="s">
        <v>1157</v>
      </c>
      <c r="B1105">
        <v>0.75</v>
      </c>
    </row>
    <row r="1106" spans="1:2" x14ac:dyDescent="0.25">
      <c r="A1106" t="s">
        <v>1158</v>
      </c>
      <c r="B1106" t="s">
        <v>551</v>
      </c>
    </row>
    <row r="1107" spans="1:2" x14ac:dyDescent="0.25">
      <c r="A1107" t="s">
        <v>1159</v>
      </c>
      <c r="B1107">
        <v>0.625</v>
      </c>
    </row>
    <row r="1108" spans="1:2" x14ac:dyDescent="0.25">
      <c r="A1108" t="s">
        <v>1160</v>
      </c>
      <c r="B1108">
        <v>0</v>
      </c>
    </row>
    <row r="1109" spans="1:2" x14ac:dyDescent="0.25">
      <c r="A1109" t="s">
        <v>1161</v>
      </c>
      <c r="B1109">
        <v>0</v>
      </c>
    </row>
    <row r="1110" spans="1:2" x14ac:dyDescent="0.25">
      <c r="A1110" t="s">
        <v>1162</v>
      </c>
      <c r="B1110">
        <v>0</v>
      </c>
    </row>
    <row r="1111" spans="1:2" x14ac:dyDescent="0.25">
      <c r="A1111" t="s">
        <v>1163</v>
      </c>
      <c r="B1111">
        <v>0</v>
      </c>
    </row>
    <row r="1112" spans="1:2" x14ac:dyDescent="0.25">
      <c r="A1112" t="s">
        <v>1164</v>
      </c>
      <c r="B1112">
        <v>0.75</v>
      </c>
    </row>
    <row r="1113" spans="1:2" x14ac:dyDescent="0.25">
      <c r="A1113" t="s">
        <v>1165</v>
      </c>
      <c r="B1113" t="s">
        <v>551</v>
      </c>
    </row>
    <row r="1114" spans="1:2" x14ac:dyDescent="0.25">
      <c r="A1114" t="s">
        <v>1166</v>
      </c>
      <c r="B1114">
        <v>0.625</v>
      </c>
    </row>
    <row r="1115" spans="1:2" x14ac:dyDescent="0.25">
      <c r="A1115" t="s">
        <v>1167</v>
      </c>
      <c r="B1115">
        <v>0</v>
      </c>
    </row>
    <row r="1116" spans="1:2" x14ac:dyDescent="0.25">
      <c r="A1116" t="s">
        <v>1168</v>
      </c>
      <c r="B1116">
        <v>0</v>
      </c>
    </row>
    <row r="1117" spans="1:2" x14ac:dyDescent="0.25">
      <c r="A1117" t="s">
        <v>1169</v>
      </c>
      <c r="B1117">
        <v>0</v>
      </c>
    </row>
    <row r="1118" spans="1:2" x14ac:dyDescent="0.25">
      <c r="A1118" t="s">
        <v>1170</v>
      </c>
      <c r="B1118">
        <v>0</v>
      </c>
    </row>
    <row r="1119" spans="1:2" x14ac:dyDescent="0.25">
      <c r="A1119" t="s">
        <v>1171</v>
      </c>
      <c r="B1119">
        <v>0.75</v>
      </c>
    </row>
    <row r="1120" spans="1:2" x14ac:dyDescent="0.25">
      <c r="A1120" t="s">
        <v>1172</v>
      </c>
      <c r="B1120" t="s">
        <v>551</v>
      </c>
    </row>
    <row r="1121" spans="1:2" x14ac:dyDescent="0.25">
      <c r="A1121" t="s">
        <v>1173</v>
      </c>
      <c r="B1121">
        <v>0.625</v>
      </c>
    </row>
    <row r="1122" spans="1:2" x14ac:dyDescent="0.25">
      <c r="A1122" t="s">
        <v>1174</v>
      </c>
      <c r="B1122">
        <v>0</v>
      </c>
    </row>
    <row r="1123" spans="1:2" x14ac:dyDescent="0.25">
      <c r="A1123" t="s">
        <v>1175</v>
      </c>
      <c r="B1123">
        <v>0</v>
      </c>
    </row>
    <row r="1124" spans="1:2" x14ac:dyDescent="0.25">
      <c r="A1124" t="s">
        <v>1176</v>
      </c>
      <c r="B1124">
        <v>0</v>
      </c>
    </row>
    <row r="1125" spans="1:2" x14ac:dyDescent="0.25">
      <c r="A1125" t="s">
        <v>1177</v>
      </c>
      <c r="B1125">
        <v>0</v>
      </c>
    </row>
    <row r="1126" spans="1:2" x14ac:dyDescent="0.25">
      <c r="A1126" t="s">
        <v>1178</v>
      </c>
      <c r="B1126">
        <v>0.75</v>
      </c>
    </row>
    <row r="1127" spans="1:2" x14ac:dyDescent="0.25">
      <c r="A1127" t="s">
        <v>1179</v>
      </c>
      <c r="B1127" t="s">
        <v>551</v>
      </c>
    </row>
    <row r="1128" spans="1:2" x14ac:dyDescent="0.25">
      <c r="A1128" t="s">
        <v>1180</v>
      </c>
      <c r="B1128">
        <v>0.625</v>
      </c>
    </row>
    <row r="1129" spans="1:2" x14ac:dyDescent="0.25">
      <c r="A1129" t="s">
        <v>1181</v>
      </c>
      <c r="B1129">
        <v>0</v>
      </c>
    </row>
    <row r="1130" spans="1:2" x14ac:dyDescent="0.25">
      <c r="A1130" t="s">
        <v>1182</v>
      </c>
      <c r="B1130">
        <v>0</v>
      </c>
    </row>
    <row r="1131" spans="1:2" x14ac:dyDescent="0.25">
      <c r="A1131" t="s">
        <v>1183</v>
      </c>
      <c r="B1131">
        <v>0</v>
      </c>
    </row>
    <row r="1132" spans="1:2" x14ac:dyDescent="0.25">
      <c r="A1132" t="s">
        <v>1184</v>
      </c>
      <c r="B1132">
        <v>0</v>
      </c>
    </row>
    <row r="1133" spans="1:2" x14ac:dyDescent="0.25">
      <c r="A1133" t="s">
        <v>1185</v>
      </c>
      <c r="B1133">
        <v>0.75</v>
      </c>
    </row>
    <row r="1134" spans="1:2" x14ac:dyDescent="0.25">
      <c r="A1134" t="s">
        <v>1186</v>
      </c>
      <c r="B1134" t="s">
        <v>551</v>
      </c>
    </row>
    <row r="1135" spans="1:2" x14ac:dyDescent="0.25">
      <c r="A1135" t="s">
        <v>1187</v>
      </c>
      <c r="B1135">
        <v>0.625</v>
      </c>
    </row>
    <row r="1136" spans="1:2" x14ac:dyDescent="0.25">
      <c r="A1136" t="s">
        <v>1188</v>
      </c>
      <c r="B1136">
        <v>0</v>
      </c>
    </row>
    <row r="1137" spans="1:2" x14ac:dyDescent="0.25">
      <c r="A1137" t="s">
        <v>1189</v>
      </c>
      <c r="B1137">
        <v>0</v>
      </c>
    </row>
    <row r="1138" spans="1:2" x14ac:dyDescent="0.25">
      <c r="A1138" t="s">
        <v>1190</v>
      </c>
      <c r="B1138">
        <v>0</v>
      </c>
    </row>
    <row r="1139" spans="1:2" x14ac:dyDescent="0.25">
      <c r="A1139" t="s">
        <v>1191</v>
      </c>
      <c r="B1139">
        <v>0</v>
      </c>
    </row>
    <row r="1140" spans="1:2" x14ac:dyDescent="0.25">
      <c r="A1140" t="s">
        <v>1192</v>
      </c>
      <c r="B1140">
        <v>0.75</v>
      </c>
    </row>
    <row r="1141" spans="1:2" x14ac:dyDescent="0.25">
      <c r="A1141" t="s">
        <v>1193</v>
      </c>
      <c r="B1141" t="s">
        <v>551</v>
      </c>
    </row>
    <row r="1142" spans="1:2" x14ac:dyDescent="0.25">
      <c r="A1142" t="s">
        <v>1194</v>
      </c>
      <c r="B1142">
        <v>0.625</v>
      </c>
    </row>
    <row r="1143" spans="1:2" x14ac:dyDescent="0.25">
      <c r="A1143" t="s">
        <v>1195</v>
      </c>
      <c r="B1143">
        <v>0</v>
      </c>
    </row>
    <row r="1144" spans="1:2" x14ac:dyDescent="0.25">
      <c r="A1144" t="s">
        <v>1196</v>
      </c>
      <c r="B1144">
        <v>0</v>
      </c>
    </row>
    <row r="1145" spans="1:2" x14ac:dyDescent="0.25">
      <c r="A1145" t="s">
        <v>1197</v>
      </c>
      <c r="B1145">
        <v>0</v>
      </c>
    </row>
    <row r="1146" spans="1:2" x14ac:dyDescent="0.25">
      <c r="A1146" t="s">
        <v>1198</v>
      </c>
      <c r="B1146">
        <v>0</v>
      </c>
    </row>
    <row r="1147" spans="1:2" x14ac:dyDescent="0.25">
      <c r="A1147" t="s">
        <v>1199</v>
      </c>
      <c r="B1147">
        <v>0.75</v>
      </c>
    </row>
    <row r="1148" spans="1:2" x14ac:dyDescent="0.25">
      <c r="A1148" t="s">
        <v>1200</v>
      </c>
      <c r="B1148" t="s">
        <v>551</v>
      </c>
    </row>
    <row r="1149" spans="1:2" x14ac:dyDescent="0.25">
      <c r="A1149" t="s">
        <v>1201</v>
      </c>
      <c r="B1149">
        <v>0.625</v>
      </c>
    </row>
    <row r="1150" spans="1:2" x14ac:dyDescent="0.25">
      <c r="A1150" t="s">
        <v>1202</v>
      </c>
      <c r="B1150">
        <v>0</v>
      </c>
    </row>
    <row r="1151" spans="1:2" x14ac:dyDescent="0.25">
      <c r="A1151" t="s">
        <v>1203</v>
      </c>
      <c r="B1151">
        <v>0</v>
      </c>
    </row>
    <row r="1152" spans="1:2" x14ac:dyDescent="0.25">
      <c r="A1152" t="s">
        <v>1204</v>
      </c>
      <c r="B1152">
        <v>0</v>
      </c>
    </row>
    <row r="1153" spans="1:2" x14ac:dyDescent="0.25">
      <c r="A1153" t="s">
        <v>1205</v>
      </c>
      <c r="B1153">
        <v>0</v>
      </c>
    </row>
    <row r="1154" spans="1:2" x14ac:dyDescent="0.25">
      <c r="A1154" t="s">
        <v>1206</v>
      </c>
      <c r="B1154">
        <v>0.75</v>
      </c>
    </row>
    <row r="1155" spans="1:2" x14ac:dyDescent="0.25">
      <c r="A1155" t="s">
        <v>1020</v>
      </c>
      <c r="B1155" t="s">
        <v>303</v>
      </c>
    </row>
    <row r="1156" spans="1:2" x14ac:dyDescent="0.25">
      <c r="A1156" t="s">
        <v>1021</v>
      </c>
      <c r="B1156" t="s">
        <v>303</v>
      </c>
    </row>
    <row r="1157" spans="1:2" x14ac:dyDescent="0.25">
      <c r="A1157" t="s">
        <v>1022</v>
      </c>
      <c r="B1157" t="s">
        <v>303</v>
      </c>
    </row>
    <row r="1158" spans="1:2" x14ac:dyDescent="0.25">
      <c r="A1158" t="s">
        <v>1023</v>
      </c>
      <c r="B1158" t="s">
        <v>303</v>
      </c>
    </row>
    <row r="1159" spans="1:2" x14ac:dyDescent="0.25">
      <c r="A1159" t="s">
        <v>1024</v>
      </c>
      <c r="B1159" t="s">
        <v>303</v>
      </c>
    </row>
    <row r="1160" spans="1:2" x14ac:dyDescent="0.25">
      <c r="A1160" t="s">
        <v>1025</v>
      </c>
      <c r="B1160" t="s">
        <v>303</v>
      </c>
    </row>
    <row r="1161" spans="1:2" x14ac:dyDescent="0.25">
      <c r="A1161" t="s">
        <v>961</v>
      </c>
      <c r="B1161">
        <v>0</v>
      </c>
    </row>
    <row r="1162" spans="1:2" x14ac:dyDescent="0.25">
      <c r="A1162" t="s">
        <v>962</v>
      </c>
      <c r="B1162">
        <v>0</v>
      </c>
    </row>
    <row r="1163" spans="1:2" x14ac:dyDescent="0.25">
      <c r="A1163" t="s">
        <v>963</v>
      </c>
      <c r="B1163">
        <v>0</v>
      </c>
    </row>
    <row r="1164" spans="1:2" x14ac:dyDescent="0.25">
      <c r="A1164" t="s">
        <v>964</v>
      </c>
      <c r="B1164">
        <v>0</v>
      </c>
    </row>
    <row r="1165" spans="1:2" x14ac:dyDescent="0.25">
      <c r="A1165" t="s">
        <v>965</v>
      </c>
      <c r="B1165">
        <v>0</v>
      </c>
    </row>
    <row r="1166" spans="1:2" x14ac:dyDescent="0.25">
      <c r="A1166" t="s">
        <v>966</v>
      </c>
      <c r="B1166">
        <v>0</v>
      </c>
    </row>
    <row r="1167" spans="1:2" x14ac:dyDescent="0.25">
      <c r="A1167" t="s">
        <v>967</v>
      </c>
      <c r="B1167">
        <v>0</v>
      </c>
    </row>
    <row r="1168" spans="1:2" x14ac:dyDescent="0.25">
      <c r="A1168" t="s">
        <v>968</v>
      </c>
      <c r="B1168">
        <v>0</v>
      </c>
    </row>
    <row r="1169" spans="1:2" x14ac:dyDescent="0.25">
      <c r="A1169" t="s">
        <v>771</v>
      </c>
      <c r="B1169">
        <v>4</v>
      </c>
    </row>
    <row r="1170" spans="1:2" x14ac:dyDescent="0.25">
      <c r="A1170" t="s">
        <v>772</v>
      </c>
      <c r="B1170" t="s">
        <v>1036</v>
      </c>
    </row>
    <row r="1171" spans="1:2" x14ac:dyDescent="0.25">
      <c r="A1171" t="s">
        <v>773</v>
      </c>
      <c r="B1171">
        <v>235</v>
      </c>
    </row>
    <row r="1172" spans="1:2" x14ac:dyDescent="0.25">
      <c r="A1172" t="s">
        <v>774</v>
      </c>
      <c r="B1172">
        <v>29</v>
      </c>
    </row>
    <row r="1173" spans="1:2" x14ac:dyDescent="0.25">
      <c r="A1173" t="s">
        <v>775</v>
      </c>
      <c r="B1173">
        <v>29</v>
      </c>
    </row>
    <row r="1174" spans="1:2" x14ac:dyDescent="0.25">
      <c r="A1174" t="s">
        <v>776</v>
      </c>
      <c r="B1174">
        <v>1</v>
      </c>
    </row>
    <row r="1175" spans="1:2" x14ac:dyDescent="0.25">
      <c r="A1175" t="s">
        <v>777</v>
      </c>
      <c r="B1175">
        <v>1</v>
      </c>
    </row>
    <row r="1176" spans="1:2" x14ac:dyDescent="0.25">
      <c r="A1176" t="s">
        <v>778</v>
      </c>
      <c r="B1176">
        <v>5</v>
      </c>
    </row>
    <row r="1177" spans="1:2" x14ac:dyDescent="0.25">
      <c r="A1177" t="s">
        <v>779</v>
      </c>
      <c r="B1177" t="s">
        <v>342</v>
      </c>
    </row>
    <row r="1178" spans="1:2" x14ac:dyDescent="0.25">
      <c r="A1178" t="s">
        <v>780</v>
      </c>
      <c r="B1178" s="7">
        <v>1.5</v>
      </c>
    </row>
    <row r="1179" spans="1:2" x14ac:dyDescent="0.25">
      <c r="A1179" t="s">
        <v>781</v>
      </c>
      <c r="B1179">
        <v>50</v>
      </c>
    </row>
    <row r="1180" spans="1:2" x14ac:dyDescent="0.25">
      <c r="A1180" t="s">
        <v>782</v>
      </c>
      <c r="B1180" t="s">
        <v>312</v>
      </c>
    </row>
    <row r="1181" spans="1:2" x14ac:dyDescent="0.25">
      <c r="A1181" t="s">
        <v>783</v>
      </c>
      <c r="B1181">
        <v>36</v>
      </c>
    </row>
    <row r="1182" spans="1:2" x14ac:dyDescent="0.25">
      <c r="A1182" t="s">
        <v>784</v>
      </c>
      <c r="B1182" t="s">
        <v>320</v>
      </c>
    </row>
    <row r="1183" spans="1:2" x14ac:dyDescent="0.25">
      <c r="A1183" t="s">
        <v>785</v>
      </c>
      <c r="B1183">
        <v>36</v>
      </c>
    </row>
    <row r="1184" spans="1:2" x14ac:dyDescent="0.25">
      <c r="A1184" t="s">
        <v>786</v>
      </c>
      <c r="B1184" t="s">
        <v>320</v>
      </c>
    </row>
    <row r="1185" spans="1:2" x14ac:dyDescent="0.25">
      <c r="A1185" t="s">
        <v>787</v>
      </c>
      <c r="B1185">
        <v>36</v>
      </c>
    </row>
    <row r="1186" spans="1:2" x14ac:dyDescent="0.25">
      <c r="A1186" t="s">
        <v>788</v>
      </c>
      <c r="B1186" t="s">
        <v>320</v>
      </c>
    </row>
    <row r="1187" spans="1:2" x14ac:dyDescent="0.25">
      <c r="A1187" t="s">
        <v>789</v>
      </c>
      <c r="B1187">
        <v>36</v>
      </c>
    </row>
    <row r="1188" spans="1:2" x14ac:dyDescent="0.25">
      <c r="A1188" t="s">
        <v>790</v>
      </c>
      <c r="B1188" t="s">
        <v>320</v>
      </c>
    </row>
    <row r="1189" spans="1:2" x14ac:dyDescent="0.25">
      <c r="A1189" t="s">
        <v>791</v>
      </c>
      <c r="B1189">
        <v>36</v>
      </c>
    </row>
    <row r="1190" spans="1:2" x14ac:dyDescent="0.25">
      <c r="A1190" t="s">
        <v>792</v>
      </c>
      <c r="B1190" t="s">
        <v>320</v>
      </c>
    </row>
    <row r="1191" spans="1:2" x14ac:dyDescent="0.25">
      <c r="A1191" t="s">
        <v>793</v>
      </c>
      <c r="B1191">
        <v>50</v>
      </c>
    </row>
    <row r="1192" spans="1:2" x14ac:dyDescent="0.25">
      <c r="A1192" t="s">
        <v>794</v>
      </c>
      <c r="B1192" t="s">
        <v>312</v>
      </c>
    </row>
    <row r="1193" spans="1:2" x14ac:dyDescent="0.25">
      <c r="A1193" t="s">
        <v>795</v>
      </c>
      <c r="B1193">
        <v>50</v>
      </c>
    </row>
    <row r="1194" spans="1:2" x14ac:dyDescent="0.25">
      <c r="A1194" t="s">
        <v>796</v>
      </c>
      <c r="B1194" t="s">
        <v>312</v>
      </c>
    </row>
    <row r="1195" spans="1:2" x14ac:dyDescent="0.25">
      <c r="A1195" t="s">
        <v>797</v>
      </c>
      <c r="B1195" t="s">
        <v>342</v>
      </c>
    </row>
    <row r="1196" spans="1:2" x14ac:dyDescent="0.25">
      <c r="A1196" t="s">
        <v>798</v>
      </c>
      <c r="B1196" s="5">
        <v>44928</v>
      </c>
    </row>
    <row r="1197" spans="1:2" x14ac:dyDescent="0.25">
      <c r="A1197" t="s">
        <v>799</v>
      </c>
      <c r="B1197" t="s">
        <v>342</v>
      </c>
    </row>
    <row r="1198" spans="1:2" x14ac:dyDescent="0.25">
      <c r="A1198" t="s">
        <v>800</v>
      </c>
    </row>
    <row r="1199" spans="1:2" x14ac:dyDescent="0.25">
      <c r="A1199" t="s">
        <v>801</v>
      </c>
      <c r="B1199" t="s">
        <v>1038</v>
      </c>
    </row>
    <row r="1200" spans="1:2" x14ac:dyDescent="0.25">
      <c r="A1200" t="s">
        <v>802</v>
      </c>
      <c r="B1200" t="s">
        <v>1039</v>
      </c>
    </row>
    <row r="1201" spans="1:2" x14ac:dyDescent="0.25">
      <c r="A1201" t="s">
        <v>803</v>
      </c>
      <c r="B1201" t="s">
        <v>1038</v>
      </c>
    </row>
    <row r="1202" spans="1:2" x14ac:dyDescent="0.25">
      <c r="A1202" t="s">
        <v>804</v>
      </c>
      <c r="B1202" t="s">
        <v>1039</v>
      </c>
    </row>
    <row r="1203" spans="1:2" x14ac:dyDescent="0.25">
      <c r="A1203" t="s">
        <v>805</v>
      </c>
      <c r="B1203">
        <v>1</v>
      </c>
    </row>
    <row r="1204" spans="1:2" x14ac:dyDescent="0.25">
      <c r="A1204" t="s">
        <v>806</v>
      </c>
      <c r="B1204">
        <v>1</v>
      </c>
    </row>
    <row r="1205" spans="1:2" x14ac:dyDescent="0.25">
      <c r="A1205" t="s">
        <v>807</v>
      </c>
      <c r="B1205" t="s">
        <v>303</v>
      </c>
    </row>
    <row r="1206" spans="1:2" x14ac:dyDescent="0.25">
      <c r="A1206" t="s">
        <v>808</v>
      </c>
      <c r="B1206" t="s">
        <v>305</v>
      </c>
    </row>
    <row r="1207" spans="1:2" x14ac:dyDescent="0.25">
      <c r="A1207" t="s">
        <v>809</v>
      </c>
      <c r="B1207" t="s">
        <v>342</v>
      </c>
    </row>
    <row r="1208" spans="1:2" x14ac:dyDescent="0.25">
      <c r="A1208" t="s">
        <v>810</v>
      </c>
      <c r="B1208" s="5">
        <v>44989</v>
      </c>
    </row>
    <row r="1209" spans="1:2" x14ac:dyDescent="0.25">
      <c r="A1209" t="s">
        <v>811</v>
      </c>
      <c r="B1209" t="s">
        <v>342</v>
      </c>
    </row>
    <row r="1210" spans="1:2" x14ac:dyDescent="0.25">
      <c r="A1210" t="s">
        <v>812</v>
      </c>
    </row>
    <row r="1211" spans="1:2" x14ac:dyDescent="0.25">
      <c r="A1211" t="s">
        <v>813</v>
      </c>
      <c r="B1211">
        <v>36</v>
      </c>
    </row>
    <row r="1212" spans="1:2" x14ac:dyDescent="0.25">
      <c r="A1212" t="s">
        <v>814</v>
      </c>
      <c r="B1212" t="s">
        <v>320</v>
      </c>
    </row>
    <row r="1213" spans="1:2" x14ac:dyDescent="0.25">
      <c r="A1213" t="s">
        <v>1040</v>
      </c>
      <c r="B1213">
        <v>36</v>
      </c>
    </row>
    <row r="1214" spans="1:2" x14ac:dyDescent="0.25">
      <c r="A1214" t="s">
        <v>1041</v>
      </c>
      <c r="B1214" t="s">
        <v>320</v>
      </c>
    </row>
    <row r="1215" spans="1:2" x14ac:dyDescent="0.25">
      <c r="A1215" t="s">
        <v>1042</v>
      </c>
      <c r="B1215">
        <v>36</v>
      </c>
    </row>
    <row r="1216" spans="1:2" x14ac:dyDescent="0.25">
      <c r="A1216" t="s">
        <v>1043</v>
      </c>
      <c r="B1216" t="s">
        <v>320</v>
      </c>
    </row>
    <row r="1217" spans="1:2" x14ac:dyDescent="0.25">
      <c r="A1217" t="s">
        <v>1044</v>
      </c>
      <c r="B1217">
        <v>36</v>
      </c>
    </row>
    <row r="1218" spans="1:2" x14ac:dyDescent="0.25">
      <c r="A1218" t="s">
        <v>1045</v>
      </c>
      <c r="B1218" t="s">
        <v>320</v>
      </c>
    </row>
    <row r="1219" spans="1:2" x14ac:dyDescent="0.25">
      <c r="A1219" t="s">
        <v>1046</v>
      </c>
      <c r="B1219">
        <v>36</v>
      </c>
    </row>
    <row r="1220" spans="1:2" x14ac:dyDescent="0.25">
      <c r="A1220" t="s">
        <v>1047</v>
      </c>
      <c r="B1220" t="s">
        <v>320</v>
      </c>
    </row>
    <row r="1221" spans="1:2" x14ac:dyDescent="0.25">
      <c r="A1221" t="s">
        <v>1048</v>
      </c>
      <c r="B1221">
        <v>36</v>
      </c>
    </row>
    <row r="1222" spans="1:2" x14ac:dyDescent="0.25">
      <c r="A1222" t="s">
        <v>1049</v>
      </c>
      <c r="B1222" t="s">
        <v>320</v>
      </c>
    </row>
    <row r="1223" spans="1:2" x14ac:dyDescent="0.25">
      <c r="A1223" t="s">
        <v>1050</v>
      </c>
      <c r="B1223">
        <v>36</v>
      </c>
    </row>
    <row r="1224" spans="1:2" x14ac:dyDescent="0.25">
      <c r="A1224" t="s">
        <v>1051</v>
      </c>
      <c r="B1224" t="s">
        <v>320</v>
      </c>
    </row>
    <row r="1225" spans="1:2" x14ac:dyDescent="0.25">
      <c r="A1225" t="s">
        <v>1052</v>
      </c>
      <c r="B1225">
        <v>36</v>
      </c>
    </row>
    <row r="1226" spans="1:2" x14ac:dyDescent="0.25">
      <c r="A1226" t="s">
        <v>1053</v>
      </c>
      <c r="B1226" t="s">
        <v>320</v>
      </c>
    </row>
    <row r="1227" spans="1:2" x14ac:dyDescent="0.25">
      <c r="A1227" t="s">
        <v>1054</v>
      </c>
      <c r="B1227">
        <v>36</v>
      </c>
    </row>
    <row r="1228" spans="1:2" x14ac:dyDescent="0.25">
      <c r="A1228" t="s">
        <v>1055</v>
      </c>
      <c r="B1228" t="s">
        <v>320</v>
      </c>
    </row>
    <row r="1229" spans="1:2" x14ac:dyDescent="0.25">
      <c r="A1229" t="s">
        <v>1056</v>
      </c>
      <c r="B1229">
        <v>36</v>
      </c>
    </row>
    <row r="1230" spans="1:2" x14ac:dyDescent="0.25">
      <c r="A1230" t="s">
        <v>1057</v>
      </c>
      <c r="B1230" t="s">
        <v>320</v>
      </c>
    </row>
    <row r="1231" spans="1:2" x14ac:dyDescent="0.25">
      <c r="A1231" t="s">
        <v>1058</v>
      </c>
      <c r="B1231">
        <v>36</v>
      </c>
    </row>
    <row r="1232" spans="1:2" x14ac:dyDescent="0.25">
      <c r="A1232" t="s">
        <v>1059</v>
      </c>
      <c r="B1232" t="s">
        <v>320</v>
      </c>
    </row>
    <row r="1233" spans="1:2" x14ac:dyDescent="0.25">
      <c r="A1233" t="s">
        <v>1060</v>
      </c>
      <c r="B1233">
        <v>36</v>
      </c>
    </row>
    <row r="1234" spans="1:2" x14ac:dyDescent="0.25">
      <c r="A1234" t="s">
        <v>1061</v>
      </c>
      <c r="B1234" t="s">
        <v>320</v>
      </c>
    </row>
    <row r="1235" spans="1:2" x14ac:dyDescent="0.25">
      <c r="A1235" t="s">
        <v>1062</v>
      </c>
      <c r="B1235">
        <v>36</v>
      </c>
    </row>
    <row r="1236" spans="1:2" x14ac:dyDescent="0.25">
      <c r="A1236" t="s">
        <v>1063</v>
      </c>
      <c r="B1236" t="s">
        <v>320</v>
      </c>
    </row>
    <row r="1237" spans="1:2" x14ac:dyDescent="0.25">
      <c r="A1237" t="s">
        <v>1064</v>
      </c>
      <c r="B1237">
        <v>36</v>
      </c>
    </row>
    <row r="1238" spans="1:2" x14ac:dyDescent="0.25">
      <c r="A1238" t="s">
        <v>1065</v>
      </c>
      <c r="B1238" t="s">
        <v>320</v>
      </c>
    </row>
    <row r="1239" spans="1:2" x14ac:dyDescent="0.25">
      <c r="A1239" t="s">
        <v>1066</v>
      </c>
      <c r="B1239">
        <v>36</v>
      </c>
    </row>
    <row r="1240" spans="1:2" x14ac:dyDescent="0.25">
      <c r="A1240" t="s">
        <v>1067</v>
      </c>
      <c r="B1240" t="s">
        <v>320</v>
      </c>
    </row>
    <row r="1241" spans="1:2" x14ac:dyDescent="0.25">
      <c r="A1241" t="s">
        <v>1068</v>
      </c>
      <c r="B1241">
        <v>36</v>
      </c>
    </row>
    <row r="1242" spans="1:2" x14ac:dyDescent="0.25">
      <c r="A1242" t="s">
        <v>1069</v>
      </c>
      <c r="B1242" t="s">
        <v>320</v>
      </c>
    </row>
    <row r="1243" spans="1:2" x14ac:dyDescent="0.25">
      <c r="A1243" t="s">
        <v>1070</v>
      </c>
      <c r="B1243">
        <v>36</v>
      </c>
    </row>
    <row r="1244" spans="1:2" x14ac:dyDescent="0.25">
      <c r="A1244" t="s">
        <v>1071</v>
      </c>
      <c r="B1244" t="s">
        <v>320</v>
      </c>
    </row>
    <row r="1245" spans="1:2" x14ac:dyDescent="0.25">
      <c r="A1245" t="s">
        <v>1072</v>
      </c>
      <c r="B1245">
        <v>36</v>
      </c>
    </row>
    <row r="1246" spans="1:2" x14ac:dyDescent="0.25">
      <c r="A1246" t="s">
        <v>1073</v>
      </c>
      <c r="B1246" t="s">
        <v>320</v>
      </c>
    </row>
    <row r="1247" spans="1:2" x14ac:dyDescent="0.25">
      <c r="A1247" t="s">
        <v>1074</v>
      </c>
      <c r="B1247">
        <v>36</v>
      </c>
    </row>
    <row r="1248" spans="1:2" x14ac:dyDescent="0.25">
      <c r="A1248" t="s">
        <v>1075</v>
      </c>
      <c r="B1248" t="s">
        <v>320</v>
      </c>
    </row>
    <row r="1249" spans="1:2" x14ac:dyDescent="0.25">
      <c r="A1249" t="s">
        <v>1076</v>
      </c>
      <c r="B1249">
        <v>36</v>
      </c>
    </row>
    <row r="1250" spans="1:2" x14ac:dyDescent="0.25">
      <c r="A1250" t="s">
        <v>1077</v>
      </c>
      <c r="B1250" t="s">
        <v>320</v>
      </c>
    </row>
    <row r="1251" spans="1:2" x14ac:dyDescent="0.25">
      <c r="A1251" t="s">
        <v>815</v>
      </c>
      <c r="B1251" t="s">
        <v>1078</v>
      </c>
    </row>
    <row r="1252" spans="1:2" x14ac:dyDescent="0.25">
      <c r="A1252" t="s">
        <v>1079</v>
      </c>
      <c r="B1252" t="s">
        <v>1078</v>
      </c>
    </row>
    <row r="1253" spans="1:2" x14ac:dyDescent="0.25">
      <c r="A1253" t="s">
        <v>1080</v>
      </c>
      <c r="B1253" t="s">
        <v>1078</v>
      </c>
    </row>
    <row r="1254" spans="1:2" x14ac:dyDescent="0.25">
      <c r="A1254" t="s">
        <v>1081</v>
      </c>
      <c r="B1254" t="s">
        <v>1078</v>
      </c>
    </row>
    <row r="1255" spans="1:2" x14ac:dyDescent="0.25">
      <c r="A1255" t="s">
        <v>1082</v>
      </c>
      <c r="B1255" t="s">
        <v>1078</v>
      </c>
    </row>
    <row r="1256" spans="1:2" x14ac:dyDescent="0.25">
      <c r="A1256" t="s">
        <v>816</v>
      </c>
      <c r="B1256" t="s">
        <v>1078</v>
      </c>
    </row>
    <row r="1257" spans="1:2" x14ac:dyDescent="0.25">
      <c r="A1257" t="s">
        <v>1083</v>
      </c>
      <c r="B1257" t="s">
        <v>1078</v>
      </c>
    </row>
    <row r="1258" spans="1:2" x14ac:dyDescent="0.25">
      <c r="A1258" t="s">
        <v>1084</v>
      </c>
      <c r="B1258" t="s">
        <v>1078</v>
      </c>
    </row>
    <row r="1259" spans="1:2" x14ac:dyDescent="0.25">
      <c r="A1259" t="s">
        <v>1085</v>
      </c>
      <c r="B1259" t="s">
        <v>1078</v>
      </c>
    </row>
    <row r="1260" spans="1:2" x14ac:dyDescent="0.25">
      <c r="A1260" t="s">
        <v>817</v>
      </c>
      <c r="B1260" t="s">
        <v>1078</v>
      </c>
    </row>
    <row r="1261" spans="1:2" x14ac:dyDescent="0.25">
      <c r="A1261" t="s">
        <v>818</v>
      </c>
      <c r="B1261" t="s">
        <v>1078</v>
      </c>
    </row>
    <row r="1262" spans="1:2" x14ac:dyDescent="0.25">
      <c r="A1262" t="s">
        <v>819</v>
      </c>
      <c r="B1262" t="s">
        <v>1078</v>
      </c>
    </row>
    <row r="1263" spans="1:2" x14ac:dyDescent="0.25">
      <c r="A1263" t="s">
        <v>820</v>
      </c>
      <c r="B1263" t="s">
        <v>1078</v>
      </c>
    </row>
    <row r="1264" spans="1:2" x14ac:dyDescent="0.25">
      <c r="A1264" t="s">
        <v>1086</v>
      </c>
      <c r="B1264" t="s">
        <v>1078</v>
      </c>
    </row>
    <row r="1265" spans="1:3" x14ac:dyDescent="0.25">
      <c r="A1265" t="s">
        <v>1087</v>
      </c>
      <c r="B1265" t="s">
        <v>1078</v>
      </c>
    </row>
    <row r="1266" spans="1:3" x14ac:dyDescent="0.25">
      <c r="A1266" t="s">
        <v>1088</v>
      </c>
      <c r="B1266" t="s">
        <v>1078</v>
      </c>
    </row>
    <row r="1267" spans="1:3" x14ac:dyDescent="0.25">
      <c r="A1267" t="s">
        <v>821</v>
      </c>
      <c r="B1267" t="s">
        <v>1078</v>
      </c>
    </row>
    <row r="1268" spans="1:3" x14ac:dyDescent="0.25">
      <c r="A1268" t="s">
        <v>1089</v>
      </c>
      <c r="B1268" t="s">
        <v>1078</v>
      </c>
    </row>
    <row r="1269" spans="1:3" x14ac:dyDescent="0.25">
      <c r="A1269" t="s">
        <v>1090</v>
      </c>
      <c r="B1269" t="s">
        <v>1078</v>
      </c>
    </row>
    <row r="1270" spans="1:3" x14ac:dyDescent="0.25">
      <c r="A1270" t="s">
        <v>1091</v>
      </c>
      <c r="B1270" t="s">
        <v>1078</v>
      </c>
    </row>
    <row r="1271" spans="1:3" x14ac:dyDescent="0.25">
      <c r="A1271" t="s">
        <v>822</v>
      </c>
      <c r="B1271" t="s">
        <v>1207</v>
      </c>
      <c r="C1271" t="s">
        <v>1208</v>
      </c>
    </row>
    <row r="1272" spans="1:3" x14ac:dyDescent="0.25">
      <c r="A1272" t="s">
        <v>1028</v>
      </c>
      <c r="B1272" t="s">
        <v>1209</v>
      </c>
    </row>
    <row r="1273" spans="1:3" x14ac:dyDescent="0.25">
      <c r="A1273" t="s">
        <v>823</v>
      </c>
      <c r="B1273" t="s">
        <v>1207</v>
      </c>
      <c r="C1273" t="s">
        <v>1208</v>
      </c>
    </row>
    <row r="1274" spans="1:3" x14ac:dyDescent="0.25">
      <c r="A1274" t="s">
        <v>1028</v>
      </c>
      <c r="B1274" t="s">
        <v>1209</v>
      </c>
    </row>
    <row r="1275" spans="1:3" x14ac:dyDescent="0.25">
      <c r="A1275" t="s">
        <v>824</v>
      </c>
      <c r="B1275" t="s">
        <v>1207</v>
      </c>
      <c r="C1275" t="s">
        <v>1208</v>
      </c>
    </row>
    <row r="1276" spans="1:3" x14ac:dyDescent="0.25">
      <c r="A1276" t="s">
        <v>1028</v>
      </c>
      <c r="B1276" t="s">
        <v>1209</v>
      </c>
    </row>
    <row r="1277" spans="1:3" x14ac:dyDescent="0.25">
      <c r="A1277" t="s">
        <v>825</v>
      </c>
      <c r="B1277" t="s">
        <v>1207</v>
      </c>
      <c r="C1277" t="s">
        <v>1208</v>
      </c>
    </row>
    <row r="1278" spans="1:3" x14ac:dyDescent="0.25">
      <c r="A1278" t="s">
        <v>1028</v>
      </c>
      <c r="B1278" t="s">
        <v>1209</v>
      </c>
    </row>
    <row r="1279" spans="1:3" x14ac:dyDescent="0.25">
      <c r="A1279" t="s">
        <v>826</v>
      </c>
      <c r="B1279" t="s">
        <v>1207</v>
      </c>
      <c r="C1279" t="s">
        <v>1208</v>
      </c>
    </row>
    <row r="1280" spans="1:3" x14ac:dyDescent="0.25">
      <c r="A1280" t="s">
        <v>1028</v>
      </c>
      <c r="B1280" t="s">
        <v>1209</v>
      </c>
    </row>
    <row r="1281" spans="1:3" x14ac:dyDescent="0.25">
      <c r="A1281" t="s">
        <v>827</v>
      </c>
      <c r="B1281" t="s">
        <v>1207</v>
      </c>
      <c r="C1281" t="s">
        <v>1208</v>
      </c>
    </row>
    <row r="1282" spans="1:3" x14ac:dyDescent="0.25">
      <c r="A1282" t="s">
        <v>1028</v>
      </c>
      <c r="B1282" t="s">
        <v>1209</v>
      </c>
    </row>
    <row r="1283" spans="1:3" x14ac:dyDescent="0.25">
      <c r="A1283" t="s">
        <v>828</v>
      </c>
      <c r="B1283" t="s">
        <v>1207</v>
      </c>
      <c r="C1283" t="s">
        <v>1208</v>
      </c>
    </row>
    <row r="1284" spans="1:3" x14ac:dyDescent="0.25">
      <c r="A1284" t="s">
        <v>1028</v>
      </c>
      <c r="B1284" t="s">
        <v>1209</v>
      </c>
    </row>
    <row r="1285" spans="1:3" x14ac:dyDescent="0.25">
      <c r="A1285" t="s">
        <v>829</v>
      </c>
      <c r="B1285" t="s">
        <v>1207</v>
      </c>
      <c r="C1285" t="s">
        <v>1208</v>
      </c>
    </row>
    <row r="1286" spans="1:3" x14ac:dyDescent="0.25">
      <c r="A1286" t="s">
        <v>1028</v>
      </c>
      <c r="B1286" t="s">
        <v>1209</v>
      </c>
    </row>
    <row r="1287" spans="1:3" x14ac:dyDescent="0.25">
      <c r="A1287" t="s">
        <v>830</v>
      </c>
      <c r="B1287" t="s">
        <v>1026</v>
      </c>
    </row>
    <row r="1288" spans="1:3" x14ac:dyDescent="0.25">
      <c r="A1288" t="s">
        <v>831</v>
      </c>
    </row>
    <row r="1289" spans="1:3" x14ac:dyDescent="0.25">
      <c r="A1289" t="s">
        <v>832</v>
      </c>
      <c r="B1289">
        <v>0.45</v>
      </c>
    </row>
    <row r="1290" spans="1:3" x14ac:dyDescent="0.25">
      <c r="A1290" t="s">
        <v>833</v>
      </c>
    </row>
    <row r="1291" spans="1:3" x14ac:dyDescent="0.25">
      <c r="A1291" t="s">
        <v>834</v>
      </c>
    </row>
    <row r="1292" spans="1:3" x14ac:dyDescent="0.25">
      <c r="A1292" t="s">
        <v>835</v>
      </c>
    </row>
    <row r="1293" spans="1:3" x14ac:dyDescent="0.25">
      <c r="A1293" t="s">
        <v>836</v>
      </c>
    </row>
    <row r="1294" spans="1:3" x14ac:dyDescent="0.25">
      <c r="A1294" t="s">
        <v>837</v>
      </c>
    </row>
    <row r="1295" spans="1:3" x14ac:dyDescent="0.25">
      <c r="A1295" t="s">
        <v>838</v>
      </c>
      <c r="B1295" t="s">
        <v>1026</v>
      </c>
    </row>
    <row r="1296" spans="1:3" x14ac:dyDescent="0.25">
      <c r="A1296" t="s">
        <v>839</v>
      </c>
      <c r="B1296" t="s">
        <v>1026</v>
      </c>
    </row>
    <row r="1297" spans="1:2" x14ac:dyDescent="0.25">
      <c r="A1297" t="s">
        <v>840</v>
      </c>
      <c r="B1297" t="s">
        <v>1026</v>
      </c>
    </row>
    <row r="1298" spans="1:2" x14ac:dyDescent="0.25">
      <c r="A1298" t="s">
        <v>841</v>
      </c>
    </row>
    <row r="1299" spans="1:2" x14ac:dyDescent="0.25">
      <c r="A1299" t="s">
        <v>842</v>
      </c>
      <c r="B1299">
        <v>2</v>
      </c>
    </row>
    <row r="1300" spans="1:2" x14ac:dyDescent="0.25">
      <c r="A1300" t="s">
        <v>843</v>
      </c>
      <c r="B1300" t="s">
        <v>1038</v>
      </c>
    </row>
    <row r="1301" spans="1:2" x14ac:dyDescent="0.25">
      <c r="A1301" t="s">
        <v>844</v>
      </c>
      <c r="B1301" t="s">
        <v>1039</v>
      </c>
    </row>
    <row r="1302" spans="1:2" x14ac:dyDescent="0.25">
      <c r="A1302" t="s">
        <v>845</v>
      </c>
      <c r="B1302" t="s">
        <v>307</v>
      </c>
    </row>
    <row r="1303" spans="1:2" x14ac:dyDescent="0.25">
      <c r="A1303" t="s">
        <v>846</v>
      </c>
      <c r="B1303" t="s">
        <v>1092</v>
      </c>
    </row>
    <row r="1304" spans="1:2" x14ac:dyDescent="0.25">
      <c r="A1304" t="s">
        <v>847</v>
      </c>
      <c r="B1304">
        <v>35</v>
      </c>
    </row>
    <row r="1305" spans="1:2" x14ac:dyDescent="0.25">
      <c r="A1305" t="s">
        <v>848</v>
      </c>
      <c r="B1305" t="s">
        <v>315</v>
      </c>
    </row>
    <row r="1306" spans="1:2" x14ac:dyDescent="0.25">
      <c r="A1306" t="s">
        <v>849</v>
      </c>
      <c r="B1306">
        <v>0</v>
      </c>
    </row>
    <row r="1307" spans="1:2" x14ac:dyDescent="0.25">
      <c r="A1307" t="s">
        <v>850</v>
      </c>
      <c r="B1307">
        <v>16</v>
      </c>
    </row>
    <row r="1308" spans="1:2" x14ac:dyDescent="0.25">
      <c r="A1308" t="s">
        <v>851</v>
      </c>
      <c r="B1308">
        <v>21</v>
      </c>
    </row>
    <row r="1309" spans="1:2" x14ac:dyDescent="0.25">
      <c r="A1309" t="s">
        <v>852</v>
      </c>
      <c r="B1309">
        <v>30</v>
      </c>
    </row>
    <row r="1310" spans="1:2" x14ac:dyDescent="0.25">
      <c r="A1310" t="s">
        <v>853</v>
      </c>
      <c r="B1310">
        <v>0.5</v>
      </c>
    </row>
    <row r="1311" spans="1:2" x14ac:dyDescent="0.25">
      <c r="A1311" t="s">
        <v>854</v>
      </c>
      <c r="B1311">
        <v>2</v>
      </c>
    </row>
    <row r="1312" spans="1:2" x14ac:dyDescent="0.25">
      <c r="A1312" t="s">
        <v>855</v>
      </c>
      <c r="B1312">
        <v>65</v>
      </c>
    </row>
    <row r="1313" spans="1:2" x14ac:dyDescent="0.25">
      <c r="A1313" t="s">
        <v>856</v>
      </c>
      <c r="B1313" t="s">
        <v>1093</v>
      </c>
    </row>
    <row r="1314" spans="1:2" x14ac:dyDescent="0.25">
      <c r="A1314" t="s">
        <v>857</v>
      </c>
      <c r="B1314">
        <v>1</v>
      </c>
    </row>
    <row r="1315" spans="1:2" x14ac:dyDescent="0.25">
      <c r="A1315" t="s">
        <v>858</v>
      </c>
      <c r="B1315">
        <v>1</v>
      </c>
    </row>
    <row r="1316" spans="1:2" x14ac:dyDescent="0.25">
      <c r="A1316" t="s">
        <v>859</v>
      </c>
      <c r="B1316" t="s">
        <v>303</v>
      </c>
    </row>
    <row r="1317" spans="1:2" x14ac:dyDescent="0.25">
      <c r="A1317" t="s">
        <v>860</v>
      </c>
      <c r="B1317" t="s">
        <v>303</v>
      </c>
    </row>
    <row r="1318" spans="1:2" x14ac:dyDescent="0.25">
      <c r="A1318" t="s">
        <v>861</v>
      </c>
      <c r="B1318">
        <v>0</v>
      </c>
    </row>
    <row r="1319" spans="1:2" x14ac:dyDescent="0.25">
      <c r="A1319" t="s">
        <v>862</v>
      </c>
      <c r="B1319">
        <v>0</v>
      </c>
    </row>
    <row r="1320" spans="1:2" x14ac:dyDescent="0.25">
      <c r="A1320" t="s">
        <v>863</v>
      </c>
      <c r="B1320">
        <v>0</v>
      </c>
    </row>
    <row r="1321" spans="1:2" x14ac:dyDescent="0.25">
      <c r="A1321" t="s">
        <v>864</v>
      </c>
      <c r="B1321">
        <v>36</v>
      </c>
    </row>
    <row r="1322" spans="1:2" x14ac:dyDescent="0.25">
      <c r="A1322" t="s">
        <v>865</v>
      </c>
      <c r="B1322" t="s">
        <v>320</v>
      </c>
    </row>
    <row r="1323" spans="1:2" x14ac:dyDescent="0.25">
      <c r="A1323" t="s">
        <v>866</v>
      </c>
      <c r="B1323">
        <v>1</v>
      </c>
    </row>
    <row r="1324" spans="1:2" x14ac:dyDescent="0.25">
      <c r="A1324" t="s">
        <v>867</v>
      </c>
      <c r="B1324">
        <v>1</v>
      </c>
    </row>
    <row r="1325" spans="1:2" x14ac:dyDescent="0.25">
      <c r="A1325" t="s">
        <v>868</v>
      </c>
      <c r="B1325">
        <v>0</v>
      </c>
    </row>
    <row r="1326" spans="1:2" x14ac:dyDescent="0.25">
      <c r="A1326" t="s">
        <v>869</v>
      </c>
      <c r="B1326">
        <v>0</v>
      </c>
    </row>
    <row r="1327" spans="1:2" x14ac:dyDescent="0.25">
      <c r="A1327" t="s">
        <v>870</v>
      </c>
      <c r="B1327">
        <v>0</v>
      </c>
    </row>
    <row r="1328" spans="1:2" x14ac:dyDescent="0.25">
      <c r="A1328" t="s">
        <v>871</v>
      </c>
      <c r="B1328">
        <v>0</v>
      </c>
    </row>
    <row r="1329" spans="1:2" x14ac:dyDescent="0.25">
      <c r="A1329" t="s">
        <v>872</v>
      </c>
      <c r="B1329">
        <v>0</v>
      </c>
    </row>
    <row r="1330" spans="1:2" x14ac:dyDescent="0.25">
      <c r="A1330" t="s">
        <v>873</v>
      </c>
      <c r="B1330">
        <v>0</v>
      </c>
    </row>
    <row r="1331" spans="1:2" x14ac:dyDescent="0.25">
      <c r="A1331" t="s">
        <v>874</v>
      </c>
      <c r="B1331">
        <v>0</v>
      </c>
    </row>
    <row r="1332" spans="1:2" x14ac:dyDescent="0.25">
      <c r="A1332" t="s">
        <v>875</v>
      </c>
      <c r="B1332">
        <v>0</v>
      </c>
    </row>
    <row r="1333" spans="1:2" x14ac:dyDescent="0.25">
      <c r="A1333" t="s">
        <v>876</v>
      </c>
      <c r="B1333">
        <v>1</v>
      </c>
    </row>
    <row r="1334" spans="1:2" x14ac:dyDescent="0.25">
      <c r="A1334" t="s">
        <v>877</v>
      </c>
      <c r="B1334">
        <v>1</v>
      </c>
    </row>
    <row r="1335" spans="1:2" x14ac:dyDescent="0.25">
      <c r="A1335" t="s">
        <v>878</v>
      </c>
      <c r="B1335">
        <v>1</v>
      </c>
    </row>
    <row r="1336" spans="1:2" x14ac:dyDescent="0.25">
      <c r="A1336" t="s">
        <v>879</v>
      </c>
      <c r="B1336">
        <v>1</v>
      </c>
    </row>
    <row r="1337" spans="1:2" x14ac:dyDescent="0.25">
      <c r="A1337" t="s">
        <v>880</v>
      </c>
      <c r="B1337">
        <v>1</v>
      </c>
    </row>
    <row r="1338" spans="1:2" x14ac:dyDescent="0.25">
      <c r="A1338" t="s">
        <v>881</v>
      </c>
      <c r="B1338">
        <v>1</v>
      </c>
    </row>
    <row r="1339" spans="1:2" x14ac:dyDescent="0.25">
      <c r="A1339" t="s">
        <v>882</v>
      </c>
      <c r="B1339">
        <v>1</v>
      </c>
    </row>
    <row r="1340" spans="1:2" x14ac:dyDescent="0.25">
      <c r="A1340" t="s">
        <v>883</v>
      </c>
      <c r="B1340">
        <v>1</v>
      </c>
    </row>
    <row r="1341" spans="1:2" x14ac:dyDescent="0.25">
      <c r="A1341" t="s">
        <v>884</v>
      </c>
      <c r="B1341">
        <v>1</v>
      </c>
    </row>
    <row r="1342" spans="1:2" x14ac:dyDescent="0.25">
      <c r="A1342" t="s">
        <v>885</v>
      </c>
      <c r="B1342">
        <v>1</v>
      </c>
    </row>
    <row r="1343" spans="1:2" x14ac:dyDescent="0.25">
      <c r="A1343" t="s">
        <v>886</v>
      </c>
      <c r="B1343">
        <v>1</v>
      </c>
    </row>
    <row r="1344" spans="1:2" x14ac:dyDescent="0.25">
      <c r="A1344" t="s">
        <v>887</v>
      </c>
      <c r="B1344">
        <v>1</v>
      </c>
    </row>
    <row r="1345" spans="1:2" x14ac:dyDescent="0.25">
      <c r="A1345" t="s">
        <v>888</v>
      </c>
      <c r="B1345">
        <v>1</v>
      </c>
    </row>
    <row r="1346" spans="1:2" x14ac:dyDescent="0.25">
      <c r="A1346" t="s">
        <v>889</v>
      </c>
      <c r="B1346">
        <v>1</v>
      </c>
    </row>
    <row r="1347" spans="1:2" x14ac:dyDescent="0.25">
      <c r="A1347" t="s">
        <v>890</v>
      </c>
      <c r="B1347">
        <v>1</v>
      </c>
    </row>
    <row r="1348" spans="1:2" x14ac:dyDescent="0.25">
      <c r="A1348" t="s">
        <v>891</v>
      </c>
      <c r="B1348">
        <v>1</v>
      </c>
    </row>
    <row r="1349" spans="1:2" x14ac:dyDescent="0.25">
      <c r="A1349" t="s">
        <v>892</v>
      </c>
      <c r="B1349">
        <v>1</v>
      </c>
    </row>
    <row r="1350" spans="1:2" x14ac:dyDescent="0.25">
      <c r="A1350" t="s">
        <v>893</v>
      </c>
      <c r="B1350">
        <v>1</v>
      </c>
    </row>
    <row r="1351" spans="1:2" x14ac:dyDescent="0.25">
      <c r="A1351" t="s">
        <v>894</v>
      </c>
      <c r="B1351">
        <v>1</v>
      </c>
    </row>
    <row r="1352" spans="1:2" x14ac:dyDescent="0.25">
      <c r="A1352" t="s">
        <v>895</v>
      </c>
      <c r="B1352">
        <v>1</v>
      </c>
    </row>
    <row r="1353" spans="1:2" x14ac:dyDescent="0.25">
      <c r="A1353" t="s">
        <v>896</v>
      </c>
      <c r="B1353">
        <v>1</v>
      </c>
    </row>
    <row r="1354" spans="1:2" x14ac:dyDescent="0.25">
      <c r="A1354" t="s">
        <v>897</v>
      </c>
      <c r="B1354">
        <v>1</v>
      </c>
    </row>
    <row r="1355" spans="1:2" x14ac:dyDescent="0.25">
      <c r="A1355" t="s">
        <v>898</v>
      </c>
      <c r="B1355">
        <v>1</v>
      </c>
    </row>
    <row r="1356" spans="1:2" x14ac:dyDescent="0.25">
      <c r="A1356" t="s">
        <v>899</v>
      </c>
      <c r="B1356">
        <v>0.5</v>
      </c>
    </row>
    <row r="1357" spans="1:2" x14ac:dyDescent="0.25">
      <c r="A1357" t="s">
        <v>900</v>
      </c>
      <c r="B1357">
        <v>0.85</v>
      </c>
    </row>
    <row r="1358" spans="1:2" x14ac:dyDescent="0.25">
      <c r="A1358" t="s">
        <v>901</v>
      </c>
      <c r="B1358">
        <v>1</v>
      </c>
    </row>
    <row r="1359" spans="1:2" x14ac:dyDescent="0.25">
      <c r="A1359" t="s">
        <v>902</v>
      </c>
      <c r="B1359">
        <v>0.5</v>
      </c>
    </row>
    <row r="1360" spans="1:2" x14ac:dyDescent="0.25">
      <c r="A1360" t="s">
        <v>903</v>
      </c>
      <c r="B1360">
        <v>0.85</v>
      </c>
    </row>
    <row r="1361" spans="1:2" x14ac:dyDescent="0.25">
      <c r="A1361" t="s">
        <v>904</v>
      </c>
      <c r="B1361">
        <v>1</v>
      </c>
    </row>
    <row r="1362" spans="1:2" x14ac:dyDescent="0.25">
      <c r="A1362" t="s">
        <v>905</v>
      </c>
      <c r="B1362" t="s">
        <v>1094</v>
      </c>
    </row>
    <row r="1363" spans="1:2" x14ac:dyDescent="0.25">
      <c r="A1363" t="s">
        <v>906</v>
      </c>
      <c r="B1363" t="s">
        <v>1094</v>
      </c>
    </row>
    <row r="1364" spans="1:2" x14ac:dyDescent="0.25">
      <c r="A1364" t="s">
        <v>907</v>
      </c>
      <c r="B1364">
        <v>36</v>
      </c>
    </row>
    <row r="1365" spans="1:2" x14ac:dyDescent="0.25">
      <c r="A1365" t="s">
        <v>908</v>
      </c>
      <c r="B1365">
        <v>36</v>
      </c>
    </row>
    <row r="1366" spans="1:2" x14ac:dyDescent="0.25">
      <c r="A1366" t="s">
        <v>909</v>
      </c>
      <c r="B1366">
        <v>36</v>
      </c>
    </row>
    <row r="1367" spans="1:2" x14ac:dyDescent="0.25">
      <c r="A1367" t="s">
        <v>910</v>
      </c>
      <c r="B1367">
        <v>36</v>
      </c>
    </row>
    <row r="1368" spans="1:2" x14ac:dyDescent="0.25">
      <c r="A1368" t="s">
        <v>911</v>
      </c>
      <c r="B1368">
        <v>0</v>
      </c>
    </row>
    <row r="1369" spans="1:2" x14ac:dyDescent="0.25">
      <c r="A1369" t="s">
        <v>912</v>
      </c>
      <c r="B1369">
        <v>1</v>
      </c>
    </row>
    <row r="1370" spans="1:2" x14ac:dyDescent="0.25">
      <c r="A1370" t="s">
        <v>913</v>
      </c>
      <c r="B1370">
        <v>0</v>
      </c>
    </row>
    <row r="1371" spans="1:2" x14ac:dyDescent="0.25">
      <c r="A1371" t="s">
        <v>914</v>
      </c>
      <c r="B1371">
        <v>0</v>
      </c>
    </row>
    <row r="1372" spans="1:2" x14ac:dyDescent="0.25">
      <c r="A1372" t="s">
        <v>915</v>
      </c>
      <c r="B1372">
        <v>0</v>
      </c>
    </row>
    <row r="1373" spans="1:2" x14ac:dyDescent="0.25">
      <c r="A1373" t="s">
        <v>916</v>
      </c>
      <c r="B1373">
        <v>0</v>
      </c>
    </row>
    <row r="1374" spans="1:2" x14ac:dyDescent="0.25">
      <c r="A1374" t="s">
        <v>970</v>
      </c>
      <c r="B1374">
        <v>0</v>
      </c>
    </row>
    <row r="1375" spans="1:2" x14ac:dyDescent="0.25">
      <c r="A1375" t="s">
        <v>919</v>
      </c>
      <c r="B1375">
        <v>0</v>
      </c>
    </row>
    <row r="1376" spans="1:2" x14ac:dyDescent="0.25">
      <c r="A1376" t="s">
        <v>920</v>
      </c>
      <c r="B1376">
        <v>0.75</v>
      </c>
    </row>
    <row r="1377" spans="1:2" x14ac:dyDescent="0.25">
      <c r="A1377" t="s">
        <v>921</v>
      </c>
      <c r="B1377">
        <v>0.75</v>
      </c>
    </row>
    <row r="1378" spans="1:2" x14ac:dyDescent="0.25">
      <c r="A1378" t="s">
        <v>922</v>
      </c>
      <c r="B1378">
        <v>0.75</v>
      </c>
    </row>
    <row r="1379" spans="1:2" x14ac:dyDescent="0.25">
      <c r="A1379" t="s">
        <v>923</v>
      </c>
      <c r="B1379">
        <v>0.75</v>
      </c>
    </row>
    <row r="1380" spans="1:2" x14ac:dyDescent="0.25">
      <c r="A1380" t="s">
        <v>924</v>
      </c>
      <c r="B1380">
        <v>0.75</v>
      </c>
    </row>
    <row r="1381" spans="1:2" x14ac:dyDescent="0.25">
      <c r="A1381" t="s">
        <v>925</v>
      </c>
      <c r="B1381">
        <v>0.75</v>
      </c>
    </row>
    <row r="1382" spans="1:2" x14ac:dyDescent="0.25">
      <c r="A1382" t="s">
        <v>926</v>
      </c>
      <c r="B1382" t="s">
        <v>537</v>
      </c>
    </row>
    <row r="1383" spans="1:2" x14ac:dyDescent="0.25">
      <c r="A1383" t="s">
        <v>927</v>
      </c>
      <c r="B1383">
        <v>0</v>
      </c>
    </row>
    <row r="1384" spans="1:2" x14ac:dyDescent="0.25">
      <c r="A1384" t="s">
        <v>928</v>
      </c>
      <c r="B1384">
        <v>0</v>
      </c>
    </row>
    <row r="1385" spans="1:2" x14ac:dyDescent="0.25">
      <c r="A1385" t="s">
        <v>929</v>
      </c>
      <c r="B1385">
        <v>0</v>
      </c>
    </row>
    <row r="1386" spans="1:2" x14ac:dyDescent="0.25">
      <c r="A1386" t="s">
        <v>930</v>
      </c>
      <c r="B1386">
        <v>0</v>
      </c>
    </row>
    <row r="1387" spans="1:2" x14ac:dyDescent="0.25">
      <c r="A1387" t="s">
        <v>931</v>
      </c>
      <c r="B1387">
        <v>0</v>
      </c>
    </row>
    <row r="1388" spans="1:2" x14ac:dyDescent="0.25">
      <c r="A1388" t="s">
        <v>932</v>
      </c>
      <c r="B1388">
        <v>0</v>
      </c>
    </row>
    <row r="1389" spans="1:2" x14ac:dyDescent="0.25">
      <c r="A1389" t="s">
        <v>933</v>
      </c>
      <c r="B1389">
        <v>0</v>
      </c>
    </row>
    <row r="1390" spans="1:2" x14ac:dyDescent="0.25">
      <c r="A1390" t="s">
        <v>934</v>
      </c>
      <c r="B1390" t="s">
        <v>551</v>
      </c>
    </row>
    <row r="1391" spans="1:2" x14ac:dyDescent="0.25">
      <c r="A1391" t="s">
        <v>935</v>
      </c>
      <c r="B1391">
        <v>0.75</v>
      </c>
    </row>
    <row r="1392" spans="1:2" x14ac:dyDescent="0.25">
      <c r="A1392" t="s">
        <v>936</v>
      </c>
      <c r="B1392" t="s">
        <v>551</v>
      </c>
    </row>
    <row r="1393" spans="1:2" x14ac:dyDescent="0.25">
      <c r="A1393" t="s">
        <v>937</v>
      </c>
      <c r="B1393">
        <v>0.625</v>
      </c>
    </row>
    <row r="1394" spans="1:2" x14ac:dyDescent="0.25">
      <c r="A1394" t="s">
        <v>938</v>
      </c>
      <c r="B1394" t="s">
        <v>551</v>
      </c>
    </row>
    <row r="1395" spans="1:2" x14ac:dyDescent="0.25">
      <c r="A1395" t="s">
        <v>939</v>
      </c>
      <c r="B1395">
        <v>0.625</v>
      </c>
    </row>
    <row r="1396" spans="1:2" x14ac:dyDescent="0.25">
      <c r="A1396" t="s">
        <v>940</v>
      </c>
      <c r="B1396" t="s">
        <v>551</v>
      </c>
    </row>
    <row r="1397" spans="1:2" x14ac:dyDescent="0.25">
      <c r="A1397" t="s">
        <v>941</v>
      </c>
      <c r="B1397">
        <v>0.625</v>
      </c>
    </row>
    <row r="1398" spans="1:2" x14ac:dyDescent="0.25">
      <c r="A1398" t="s">
        <v>942</v>
      </c>
      <c r="B1398" t="s">
        <v>551</v>
      </c>
    </row>
    <row r="1399" spans="1:2" x14ac:dyDescent="0.25">
      <c r="A1399" t="s">
        <v>943</v>
      </c>
      <c r="B1399">
        <v>0.625</v>
      </c>
    </row>
    <row r="1400" spans="1:2" x14ac:dyDescent="0.25">
      <c r="A1400" t="s">
        <v>944</v>
      </c>
      <c r="B1400" t="s">
        <v>551</v>
      </c>
    </row>
    <row r="1401" spans="1:2" x14ac:dyDescent="0.25">
      <c r="A1401" t="s">
        <v>945</v>
      </c>
      <c r="B1401">
        <v>0.625</v>
      </c>
    </row>
    <row r="1402" spans="1:2" x14ac:dyDescent="0.25">
      <c r="A1402" t="s">
        <v>946</v>
      </c>
      <c r="B1402" t="s">
        <v>551</v>
      </c>
    </row>
    <row r="1403" spans="1:2" x14ac:dyDescent="0.25">
      <c r="A1403" t="s">
        <v>947</v>
      </c>
      <c r="B1403">
        <v>0.625</v>
      </c>
    </row>
    <row r="1404" spans="1:2" x14ac:dyDescent="0.25">
      <c r="A1404" t="s">
        <v>948</v>
      </c>
      <c r="B1404">
        <v>0</v>
      </c>
    </row>
    <row r="1405" spans="1:2" x14ac:dyDescent="0.25">
      <c r="A1405" t="s">
        <v>949</v>
      </c>
      <c r="B1405">
        <v>0</v>
      </c>
    </row>
    <row r="1406" spans="1:2" x14ac:dyDescent="0.25">
      <c r="A1406" t="s">
        <v>950</v>
      </c>
      <c r="B1406">
        <v>0</v>
      </c>
    </row>
    <row r="1407" spans="1:2" x14ac:dyDescent="0.25">
      <c r="A1407" t="s">
        <v>951</v>
      </c>
      <c r="B1407">
        <v>0</v>
      </c>
    </row>
    <row r="1408" spans="1:2" x14ac:dyDescent="0.25">
      <c r="A1408" t="s">
        <v>952</v>
      </c>
      <c r="B1408">
        <v>0</v>
      </c>
    </row>
    <row r="1409" spans="1:2" x14ac:dyDescent="0.25">
      <c r="A1409" t="s">
        <v>953</v>
      </c>
      <c r="B1409">
        <v>0</v>
      </c>
    </row>
    <row r="1410" spans="1:2" x14ac:dyDescent="0.25">
      <c r="A1410" t="s">
        <v>954</v>
      </c>
      <c r="B1410">
        <v>0</v>
      </c>
    </row>
    <row r="1411" spans="1:2" x14ac:dyDescent="0.25">
      <c r="A1411" t="s">
        <v>955</v>
      </c>
      <c r="B1411">
        <v>0</v>
      </c>
    </row>
    <row r="1412" spans="1:2" x14ac:dyDescent="0.25">
      <c r="A1412" t="s">
        <v>956</v>
      </c>
      <c r="B1412">
        <v>0</v>
      </c>
    </row>
    <row r="1413" spans="1:2" x14ac:dyDescent="0.25">
      <c r="A1413" t="s">
        <v>957</v>
      </c>
      <c r="B1413">
        <v>0</v>
      </c>
    </row>
    <row r="1414" spans="1:2" x14ac:dyDescent="0.25">
      <c r="A1414" t="s">
        <v>958</v>
      </c>
      <c r="B1414">
        <v>0</v>
      </c>
    </row>
    <row r="1415" spans="1:2" x14ac:dyDescent="0.25">
      <c r="A1415" t="s">
        <v>959</v>
      </c>
      <c r="B1415">
        <v>0</v>
      </c>
    </row>
    <row r="1416" spans="1:2" x14ac:dyDescent="0.25">
      <c r="A1416" t="s">
        <v>960</v>
      </c>
      <c r="B1416">
        <v>0</v>
      </c>
    </row>
    <row r="1417" spans="1:2" x14ac:dyDescent="0.25">
      <c r="A1417" t="s">
        <v>1095</v>
      </c>
      <c r="B1417" t="s">
        <v>551</v>
      </c>
    </row>
    <row r="1418" spans="1:2" x14ac:dyDescent="0.25">
      <c r="A1418" t="s">
        <v>1096</v>
      </c>
      <c r="B1418">
        <v>0.625</v>
      </c>
    </row>
    <row r="1419" spans="1:2" x14ac:dyDescent="0.25">
      <c r="A1419" t="s">
        <v>1097</v>
      </c>
      <c r="B1419">
        <v>0</v>
      </c>
    </row>
    <row r="1420" spans="1:2" x14ac:dyDescent="0.25">
      <c r="A1420" t="s">
        <v>1098</v>
      </c>
      <c r="B1420">
        <v>0</v>
      </c>
    </row>
    <row r="1421" spans="1:2" x14ac:dyDescent="0.25">
      <c r="A1421" t="s">
        <v>1099</v>
      </c>
      <c r="B1421">
        <v>0</v>
      </c>
    </row>
    <row r="1422" spans="1:2" x14ac:dyDescent="0.25">
      <c r="A1422" t="s">
        <v>1100</v>
      </c>
      <c r="B1422">
        <v>0</v>
      </c>
    </row>
    <row r="1423" spans="1:2" x14ac:dyDescent="0.25">
      <c r="A1423" t="s">
        <v>1101</v>
      </c>
      <c r="B1423">
        <v>0.75</v>
      </c>
    </row>
    <row r="1424" spans="1:2" x14ac:dyDescent="0.25">
      <c r="A1424" t="s">
        <v>1102</v>
      </c>
      <c r="B1424" t="s">
        <v>551</v>
      </c>
    </row>
    <row r="1425" spans="1:2" x14ac:dyDescent="0.25">
      <c r="A1425" t="s">
        <v>1103</v>
      </c>
      <c r="B1425">
        <v>0.625</v>
      </c>
    </row>
    <row r="1426" spans="1:2" x14ac:dyDescent="0.25">
      <c r="A1426" t="s">
        <v>1104</v>
      </c>
      <c r="B1426">
        <v>0</v>
      </c>
    </row>
    <row r="1427" spans="1:2" x14ac:dyDescent="0.25">
      <c r="A1427" t="s">
        <v>1105</v>
      </c>
      <c r="B1427">
        <v>0</v>
      </c>
    </row>
    <row r="1428" spans="1:2" x14ac:dyDescent="0.25">
      <c r="A1428" t="s">
        <v>1106</v>
      </c>
      <c r="B1428">
        <v>0</v>
      </c>
    </row>
    <row r="1429" spans="1:2" x14ac:dyDescent="0.25">
      <c r="A1429" t="s">
        <v>1107</v>
      </c>
      <c r="B1429">
        <v>0</v>
      </c>
    </row>
    <row r="1430" spans="1:2" x14ac:dyDescent="0.25">
      <c r="A1430" t="s">
        <v>1108</v>
      </c>
      <c r="B1430">
        <v>0.75</v>
      </c>
    </row>
    <row r="1431" spans="1:2" x14ac:dyDescent="0.25">
      <c r="A1431" t="s">
        <v>1109</v>
      </c>
      <c r="B1431" t="s">
        <v>551</v>
      </c>
    </row>
    <row r="1432" spans="1:2" x14ac:dyDescent="0.25">
      <c r="A1432" t="s">
        <v>1110</v>
      </c>
      <c r="B1432">
        <v>0.625</v>
      </c>
    </row>
    <row r="1433" spans="1:2" x14ac:dyDescent="0.25">
      <c r="A1433" t="s">
        <v>1111</v>
      </c>
      <c r="B1433">
        <v>0</v>
      </c>
    </row>
    <row r="1434" spans="1:2" x14ac:dyDescent="0.25">
      <c r="A1434" t="s">
        <v>1112</v>
      </c>
      <c r="B1434">
        <v>0</v>
      </c>
    </row>
    <row r="1435" spans="1:2" x14ac:dyDescent="0.25">
      <c r="A1435" t="s">
        <v>1113</v>
      </c>
      <c r="B1435">
        <v>0</v>
      </c>
    </row>
    <row r="1436" spans="1:2" x14ac:dyDescent="0.25">
      <c r="A1436" t="s">
        <v>1114</v>
      </c>
      <c r="B1436">
        <v>0</v>
      </c>
    </row>
    <row r="1437" spans="1:2" x14ac:dyDescent="0.25">
      <c r="A1437" t="s">
        <v>1115</v>
      </c>
      <c r="B1437">
        <v>0.75</v>
      </c>
    </row>
    <row r="1438" spans="1:2" x14ac:dyDescent="0.25">
      <c r="A1438" t="s">
        <v>1116</v>
      </c>
      <c r="B1438" t="s">
        <v>551</v>
      </c>
    </row>
    <row r="1439" spans="1:2" x14ac:dyDescent="0.25">
      <c r="A1439" t="s">
        <v>1117</v>
      </c>
      <c r="B1439">
        <v>0.625</v>
      </c>
    </row>
    <row r="1440" spans="1:2" x14ac:dyDescent="0.25">
      <c r="A1440" t="s">
        <v>1118</v>
      </c>
      <c r="B1440">
        <v>0</v>
      </c>
    </row>
    <row r="1441" spans="1:2" x14ac:dyDescent="0.25">
      <c r="A1441" t="s">
        <v>1119</v>
      </c>
      <c r="B1441">
        <v>0</v>
      </c>
    </row>
    <row r="1442" spans="1:2" x14ac:dyDescent="0.25">
      <c r="A1442" t="s">
        <v>1120</v>
      </c>
      <c r="B1442">
        <v>0</v>
      </c>
    </row>
    <row r="1443" spans="1:2" x14ac:dyDescent="0.25">
      <c r="A1443" t="s">
        <v>1121</v>
      </c>
      <c r="B1443">
        <v>0</v>
      </c>
    </row>
    <row r="1444" spans="1:2" x14ac:dyDescent="0.25">
      <c r="A1444" t="s">
        <v>1122</v>
      </c>
      <c r="B1444">
        <v>0.75</v>
      </c>
    </row>
    <row r="1445" spans="1:2" x14ac:dyDescent="0.25">
      <c r="A1445" t="s">
        <v>1123</v>
      </c>
      <c r="B1445" t="s">
        <v>551</v>
      </c>
    </row>
    <row r="1446" spans="1:2" x14ac:dyDescent="0.25">
      <c r="A1446" t="s">
        <v>1124</v>
      </c>
      <c r="B1446">
        <v>0.625</v>
      </c>
    </row>
    <row r="1447" spans="1:2" x14ac:dyDescent="0.25">
      <c r="A1447" t="s">
        <v>1125</v>
      </c>
      <c r="B1447">
        <v>0</v>
      </c>
    </row>
    <row r="1448" spans="1:2" x14ac:dyDescent="0.25">
      <c r="A1448" t="s">
        <v>1126</v>
      </c>
      <c r="B1448">
        <v>0</v>
      </c>
    </row>
    <row r="1449" spans="1:2" x14ac:dyDescent="0.25">
      <c r="A1449" t="s">
        <v>1127</v>
      </c>
      <c r="B1449">
        <v>0</v>
      </c>
    </row>
    <row r="1450" spans="1:2" x14ac:dyDescent="0.25">
      <c r="A1450" t="s">
        <v>1128</v>
      </c>
      <c r="B1450">
        <v>0</v>
      </c>
    </row>
    <row r="1451" spans="1:2" x14ac:dyDescent="0.25">
      <c r="A1451" t="s">
        <v>1129</v>
      </c>
      <c r="B1451">
        <v>0.75</v>
      </c>
    </row>
    <row r="1452" spans="1:2" x14ac:dyDescent="0.25">
      <c r="A1452" t="s">
        <v>1130</v>
      </c>
      <c r="B1452" t="s">
        <v>551</v>
      </c>
    </row>
    <row r="1453" spans="1:2" x14ac:dyDescent="0.25">
      <c r="A1453" t="s">
        <v>1131</v>
      </c>
      <c r="B1453">
        <v>0.625</v>
      </c>
    </row>
    <row r="1454" spans="1:2" x14ac:dyDescent="0.25">
      <c r="A1454" t="s">
        <v>1132</v>
      </c>
      <c r="B1454">
        <v>0</v>
      </c>
    </row>
    <row r="1455" spans="1:2" x14ac:dyDescent="0.25">
      <c r="A1455" t="s">
        <v>1133</v>
      </c>
      <c r="B1455">
        <v>0</v>
      </c>
    </row>
    <row r="1456" spans="1:2" x14ac:dyDescent="0.25">
      <c r="A1456" t="s">
        <v>1134</v>
      </c>
      <c r="B1456">
        <v>0</v>
      </c>
    </row>
    <row r="1457" spans="1:2" x14ac:dyDescent="0.25">
      <c r="A1457" t="s">
        <v>1135</v>
      </c>
      <c r="B1457">
        <v>0</v>
      </c>
    </row>
    <row r="1458" spans="1:2" x14ac:dyDescent="0.25">
      <c r="A1458" t="s">
        <v>1136</v>
      </c>
      <c r="B1458">
        <v>0.75</v>
      </c>
    </row>
    <row r="1459" spans="1:2" x14ac:dyDescent="0.25">
      <c r="A1459" t="s">
        <v>1137</v>
      </c>
      <c r="B1459" t="s">
        <v>551</v>
      </c>
    </row>
    <row r="1460" spans="1:2" x14ac:dyDescent="0.25">
      <c r="A1460" t="s">
        <v>1138</v>
      </c>
      <c r="B1460">
        <v>0.625</v>
      </c>
    </row>
    <row r="1461" spans="1:2" x14ac:dyDescent="0.25">
      <c r="A1461" t="s">
        <v>1139</v>
      </c>
      <c r="B1461">
        <v>0</v>
      </c>
    </row>
    <row r="1462" spans="1:2" x14ac:dyDescent="0.25">
      <c r="A1462" t="s">
        <v>1140</v>
      </c>
      <c r="B1462">
        <v>0</v>
      </c>
    </row>
    <row r="1463" spans="1:2" x14ac:dyDescent="0.25">
      <c r="A1463" t="s">
        <v>1141</v>
      </c>
      <c r="B1463">
        <v>0</v>
      </c>
    </row>
    <row r="1464" spans="1:2" x14ac:dyDescent="0.25">
      <c r="A1464" t="s">
        <v>1142</v>
      </c>
      <c r="B1464">
        <v>0</v>
      </c>
    </row>
    <row r="1465" spans="1:2" x14ac:dyDescent="0.25">
      <c r="A1465" t="s">
        <v>1143</v>
      </c>
      <c r="B1465">
        <v>0.75</v>
      </c>
    </row>
    <row r="1466" spans="1:2" x14ac:dyDescent="0.25">
      <c r="A1466" t="s">
        <v>1144</v>
      </c>
      <c r="B1466" t="s">
        <v>551</v>
      </c>
    </row>
    <row r="1467" spans="1:2" x14ac:dyDescent="0.25">
      <c r="A1467" t="s">
        <v>1145</v>
      </c>
      <c r="B1467">
        <v>0.625</v>
      </c>
    </row>
    <row r="1468" spans="1:2" x14ac:dyDescent="0.25">
      <c r="A1468" t="s">
        <v>1146</v>
      </c>
      <c r="B1468">
        <v>0</v>
      </c>
    </row>
    <row r="1469" spans="1:2" x14ac:dyDescent="0.25">
      <c r="A1469" t="s">
        <v>1147</v>
      </c>
      <c r="B1469">
        <v>0</v>
      </c>
    </row>
    <row r="1470" spans="1:2" x14ac:dyDescent="0.25">
      <c r="A1470" t="s">
        <v>1148</v>
      </c>
      <c r="B1470">
        <v>0</v>
      </c>
    </row>
    <row r="1471" spans="1:2" x14ac:dyDescent="0.25">
      <c r="A1471" t="s">
        <v>1149</v>
      </c>
      <c r="B1471">
        <v>0</v>
      </c>
    </row>
    <row r="1472" spans="1:2" x14ac:dyDescent="0.25">
      <c r="A1472" t="s">
        <v>1150</v>
      </c>
      <c r="B1472">
        <v>0.75</v>
      </c>
    </row>
    <row r="1473" spans="1:2" x14ac:dyDescent="0.25">
      <c r="A1473" t="s">
        <v>985</v>
      </c>
      <c r="B1473" t="s">
        <v>551</v>
      </c>
    </row>
    <row r="1474" spans="1:2" x14ac:dyDescent="0.25">
      <c r="A1474" t="s">
        <v>986</v>
      </c>
      <c r="B1474">
        <v>0.625</v>
      </c>
    </row>
    <row r="1475" spans="1:2" x14ac:dyDescent="0.25">
      <c r="A1475" t="s">
        <v>987</v>
      </c>
      <c r="B1475">
        <v>0</v>
      </c>
    </row>
    <row r="1476" spans="1:2" x14ac:dyDescent="0.25">
      <c r="A1476" t="s">
        <v>988</v>
      </c>
      <c r="B1476">
        <v>0</v>
      </c>
    </row>
    <row r="1477" spans="1:2" x14ac:dyDescent="0.25">
      <c r="A1477" t="s">
        <v>989</v>
      </c>
      <c r="B1477">
        <v>0</v>
      </c>
    </row>
    <row r="1478" spans="1:2" x14ac:dyDescent="0.25">
      <c r="A1478" t="s">
        <v>990</v>
      </c>
      <c r="B1478">
        <v>0</v>
      </c>
    </row>
    <row r="1479" spans="1:2" x14ac:dyDescent="0.25">
      <c r="A1479" t="s">
        <v>991</v>
      </c>
      <c r="B1479">
        <v>0.75</v>
      </c>
    </row>
    <row r="1480" spans="1:2" x14ac:dyDescent="0.25">
      <c r="A1480" t="s">
        <v>992</v>
      </c>
      <c r="B1480" t="s">
        <v>551</v>
      </c>
    </row>
    <row r="1481" spans="1:2" x14ac:dyDescent="0.25">
      <c r="A1481" t="s">
        <v>993</v>
      </c>
      <c r="B1481">
        <v>0.625</v>
      </c>
    </row>
    <row r="1482" spans="1:2" x14ac:dyDescent="0.25">
      <c r="A1482" t="s">
        <v>994</v>
      </c>
      <c r="B1482">
        <v>0</v>
      </c>
    </row>
    <row r="1483" spans="1:2" x14ac:dyDescent="0.25">
      <c r="A1483" t="s">
        <v>995</v>
      </c>
      <c r="B1483">
        <v>0</v>
      </c>
    </row>
    <row r="1484" spans="1:2" x14ac:dyDescent="0.25">
      <c r="A1484" t="s">
        <v>996</v>
      </c>
      <c r="B1484">
        <v>0</v>
      </c>
    </row>
    <row r="1485" spans="1:2" x14ac:dyDescent="0.25">
      <c r="A1485" t="s">
        <v>997</v>
      </c>
      <c r="B1485">
        <v>0</v>
      </c>
    </row>
    <row r="1486" spans="1:2" x14ac:dyDescent="0.25">
      <c r="A1486" t="s">
        <v>998</v>
      </c>
      <c r="B1486">
        <v>0.75</v>
      </c>
    </row>
    <row r="1487" spans="1:2" x14ac:dyDescent="0.25">
      <c r="A1487" t="s">
        <v>999</v>
      </c>
      <c r="B1487" t="s">
        <v>551</v>
      </c>
    </row>
    <row r="1488" spans="1:2" x14ac:dyDescent="0.25">
      <c r="A1488" t="s">
        <v>1000</v>
      </c>
      <c r="B1488">
        <v>0.625</v>
      </c>
    </row>
    <row r="1489" spans="1:2" x14ac:dyDescent="0.25">
      <c r="A1489" t="s">
        <v>1001</v>
      </c>
      <c r="B1489">
        <v>0</v>
      </c>
    </row>
    <row r="1490" spans="1:2" x14ac:dyDescent="0.25">
      <c r="A1490" t="s">
        <v>1002</v>
      </c>
      <c r="B1490">
        <v>0</v>
      </c>
    </row>
    <row r="1491" spans="1:2" x14ac:dyDescent="0.25">
      <c r="A1491" t="s">
        <v>1003</v>
      </c>
      <c r="B1491">
        <v>0</v>
      </c>
    </row>
    <row r="1492" spans="1:2" x14ac:dyDescent="0.25">
      <c r="A1492" t="s">
        <v>1004</v>
      </c>
      <c r="B1492">
        <v>0</v>
      </c>
    </row>
    <row r="1493" spans="1:2" x14ac:dyDescent="0.25">
      <c r="A1493" t="s">
        <v>1005</v>
      </c>
      <c r="B1493">
        <v>0.75</v>
      </c>
    </row>
    <row r="1494" spans="1:2" x14ac:dyDescent="0.25">
      <c r="A1494" t="s">
        <v>1151</v>
      </c>
      <c r="B1494" t="s">
        <v>551</v>
      </c>
    </row>
    <row r="1495" spans="1:2" x14ac:dyDescent="0.25">
      <c r="A1495" t="s">
        <v>1152</v>
      </c>
      <c r="B1495">
        <v>0.625</v>
      </c>
    </row>
    <row r="1496" spans="1:2" x14ac:dyDescent="0.25">
      <c r="A1496" t="s">
        <v>1153</v>
      </c>
      <c r="B1496">
        <v>0</v>
      </c>
    </row>
    <row r="1497" spans="1:2" x14ac:dyDescent="0.25">
      <c r="A1497" t="s">
        <v>1154</v>
      </c>
      <c r="B1497">
        <v>0</v>
      </c>
    </row>
    <row r="1498" spans="1:2" x14ac:dyDescent="0.25">
      <c r="A1498" t="s">
        <v>1155</v>
      </c>
      <c r="B1498">
        <v>0</v>
      </c>
    </row>
    <row r="1499" spans="1:2" x14ac:dyDescent="0.25">
      <c r="A1499" t="s">
        <v>1156</v>
      </c>
      <c r="B1499">
        <v>0</v>
      </c>
    </row>
    <row r="1500" spans="1:2" x14ac:dyDescent="0.25">
      <c r="A1500" t="s">
        <v>1157</v>
      </c>
      <c r="B1500">
        <v>0.75</v>
      </c>
    </row>
    <row r="1501" spans="1:2" x14ac:dyDescent="0.25">
      <c r="A1501" t="s">
        <v>1158</v>
      </c>
      <c r="B1501" t="s">
        <v>551</v>
      </c>
    </row>
    <row r="1502" spans="1:2" x14ac:dyDescent="0.25">
      <c r="A1502" t="s">
        <v>1159</v>
      </c>
      <c r="B1502">
        <v>0.625</v>
      </c>
    </row>
    <row r="1503" spans="1:2" x14ac:dyDescent="0.25">
      <c r="A1503" t="s">
        <v>1160</v>
      </c>
      <c r="B1503">
        <v>0</v>
      </c>
    </row>
    <row r="1504" spans="1:2" x14ac:dyDescent="0.25">
      <c r="A1504" t="s">
        <v>1161</v>
      </c>
      <c r="B1504">
        <v>0</v>
      </c>
    </row>
    <row r="1505" spans="1:2" x14ac:dyDescent="0.25">
      <c r="A1505" t="s">
        <v>1162</v>
      </c>
      <c r="B1505">
        <v>0</v>
      </c>
    </row>
    <row r="1506" spans="1:2" x14ac:dyDescent="0.25">
      <c r="A1506" t="s">
        <v>1163</v>
      </c>
      <c r="B1506">
        <v>0</v>
      </c>
    </row>
    <row r="1507" spans="1:2" x14ac:dyDescent="0.25">
      <c r="A1507" t="s">
        <v>1164</v>
      </c>
      <c r="B1507">
        <v>0.75</v>
      </c>
    </row>
    <row r="1508" spans="1:2" x14ac:dyDescent="0.25">
      <c r="A1508" t="s">
        <v>1165</v>
      </c>
      <c r="B1508" t="s">
        <v>551</v>
      </c>
    </row>
    <row r="1509" spans="1:2" x14ac:dyDescent="0.25">
      <c r="A1509" t="s">
        <v>1166</v>
      </c>
      <c r="B1509">
        <v>0.625</v>
      </c>
    </row>
    <row r="1510" spans="1:2" x14ac:dyDescent="0.25">
      <c r="A1510" t="s">
        <v>1167</v>
      </c>
      <c r="B1510">
        <v>0</v>
      </c>
    </row>
    <row r="1511" spans="1:2" x14ac:dyDescent="0.25">
      <c r="A1511" t="s">
        <v>1168</v>
      </c>
      <c r="B1511">
        <v>0</v>
      </c>
    </row>
    <row r="1512" spans="1:2" x14ac:dyDescent="0.25">
      <c r="A1512" t="s">
        <v>1169</v>
      </c>
      <c r="B1512">
        <v>0</v>
      </c>
    </row>
    <row r="1513" spans="1:2" x14ac:dyDescent="0.25">
      <c r="A1513" t="s">
        <v>1170</v>
      </c>
      <c r="B1513">
        <v>0</v>
      </c>
    </row>
    <row r="1514" spans="1:2" x14ac:dyDescent="0.25">
      <c r="A1514" t="s">
        <v>1171</v>
      </c>
      <c r="B1514">
        <v>0.75</v>
      </c>
    </row>
    <row r="1515" spans="1:2" x14ac:dyDescent="0.25">
      <c r="A1515" t="s">
        <v>1172</v>
      </c>
      <c r="B1515" t="s">
        <v>551</v>
      </c>
    </row>
    <row r="1516" spans="1:2" x14ac:dyDescent="0.25">
      <c r="A1516" t="s">
        <v>1173</v>
      </c>
      <c r="B1516">
        <v>0.625</v>
      </c>
    </row>
    <row r="1517" spans="1:2" x14ac:dyDescent="0.25">
      <c r="A1517" t="s">
        <v>1174</v>
      </c>
      <c r="B1517">
        <v>0</v>
      </c>
    </row>
    <row r="1518" spans="1:2" x14ac:dyDescent="0.25">
      <c r="A1518" t="s">
        <v>1175</v>
      </c>
      <c r="B1518">
        <v>0</v>
      </c>
    </row>
    <row r="1519" spans="1:2" x14ac:dyDescent="0.25">
      <c r="A1519" t="s">
        <v>1176</v>
      </c>
      <c r="B1519">
        <v>0</v>
      </c>
    </row>
    <row r="1520" spans="1:2" x14ac:dyDescent="0.25">
      <c r="A1520" t="s">
        <v>1177</v>
      </c>
      <c r="B1520">
        <v>0</v>
      </c>
    </row>
    <row r="1521" spans="1:2" x14ac:dyDescent="0.25">
      <c r="A1521" t="s">
        <v>1178</v>
      </c>
      <c r="B1521">
        <v>0.75</v>
      </c>
    </row>
    <row r="1522" spans="1:2" x14ac:dyDescent="0.25">
      <c r="A1522" t="s">
        <v>1179</v>
      </c>
      <c r="B1522" t="s">
        <v>551</v>
      </c>
    </row>
    <row r="1523" spans="1:2" x14ac:dyDescent="0.25">
      <c r="A1523" t="s">
        <v>1180</v>
      </c>
      <c r="B1523">
        <v>0.625</v>
      </c>
    </row>
    <row r="1524" spans="1:2" x14ac:dyDescent="0.25">
      <c r="A1524" t="s">
        <v>1181</v>
      </c>
      <c r="B1524">
        <v>0</v>
      </c>
    </row>
    <row r="1525" spans="1:2" x14ac:dyDescent="0.25">
      <c r="A1525" t="s">
        <v>1182</v>
      </c>
      <c r="B1525">
        <v>0</v>
      </c>
    </row>
    <row r="1526" spans="1:2" x14ac:dyDescent="0.25">
      <c r="A1526" t="s">
        <v>1183</v>
      </c>
      <c r="B1526">
        <v>0</v>
      </c>
    </row>
    <row r="1527" spans="1:2" x14ac:dyDescent="0.25">
      <c r="A1527" t="s">
        <v>1184</v>
      </c>
      <c r="B1527">
        <v>0</v>
      </c>
    </row>
    <row r="1528" spans="1:2" x14ac:dyDescent="0.25">
      <c r="A1528" t="s">
        <v>1185</v>
      </c>
      <c r="B1528">
        <v>0.75</v>
      </c>
    </row>
    <row r="1529" spans="1:2" x14ac:dyDescent="0.25">
      <c r="A1529" t="s">
        <v>1186</v>
      </c>
      <c r="B1529" t="s">
        <v>551</v>
      </c>
    </row>
    <row r="1530" spans="1:2" x14ac:dyDescent="0.25">
      <c r="A1530" t="s">
        <v>1187</v>
      </c>
      <c r="B1530">
        <v>0.625</v>
      </c>
    </row>
    <row r="1531" spans="1:2" x14ac:dyDescent="0.25">
      <c r="A1531" t="s">
        <v>1188</v>
      </c>
      <c r="B1531">
        <v>0</v>
      </c>
    </row>
    <row r="1532" spans="1:2" x14ac:dyDescent="0.25">
      <c r="A1532" t="s">
        <v>1189</v>
      </c>
      <c r="B1532">
        <v>0</v>
      </c>
    </row>
    <row r="1533" spans="1:2" x14ac:dyDescent="0.25">
      <c r="A1533" t="s">
        <v>1190</v>
      </c>
      <c r="B1533">
        <v>0</v>
      </c>
    </row>
    <row r="1534" spans="1:2" x14ac:dyDescent="0.25">
      <c r="A1534" t="s">
        <v>1191</v>
      </c>
      <c r="B1534">
        <v>0</v>
      </c>
    </row>
    <row r="1535" spans="1:2" x14ac:dyDescent="0.25">
      <c r="A1535" t="s">
        <v>1192</v>
      </c>
      <c r="B1535">
        <v>0.75</v>
      </c>
    </row>
    <row r="1536" spans="1:2" x14ac:dyDescent="0.25">
      <c r="A1536" t="s">
        <v>1193</v>
      </c>
      <c r="B1536" t="s">
        <v>551</v>
      </c>
    </row>
    <row r="1537" spans="1:2" x14ac:dyDescent="0.25">
      <c r="A1537" t="s">
        <v>1194</v>
      </c>
      <c r="B1537">
        <v>0.625</v>
      </c>
    </row>
    <row r="1538" spans="1:2" x14ac:dyDescent="0.25">
      <c r="A1538" t="s">
        <v>1195</v>
      </c>
      <c r="B1538">
        <v>0</v>
      </c>
    </row>
    <row r="1539" spans="1:2" x14ac:dyDescent="0.25">
      <c r="A1539" t="s">
        <v>1196</v>
      </c>
      <c r="B1539">
        <v>0</v>
      </c>
    </row>
    <row r="1540" spans="1:2" x14ac:dyDescent="0.25">
      <c r="A1540" t="s">
        <v>1197</v>
      </c>
      <c r="B1540">
        <v>0</v>
      </c>
    </row>
    <row r="1541" spans="1:2" x14ac:dyDescent="0.25">
      <c r="A1541" t="s">
        <v>1198</v>
      </c>
      <c r="B1541">
        <v>0</v>
      </c>
    </row>
    <row r="1542" spans="1:2" x14ac:dyDescent="0.25">
      <c r="A1542" t="s">
        <v>1199</v>
      </c>
      <c r="B1542">
        <v>0.75</v>
      </c>
    </row>
    <row r="1543" spans="1:2" x14ac:dyDescent="0.25">
      <c r="A1543" t="s">
        <v>1200</v>
      </c>
      <c r="B1543" t="s">
        <v>551</v>
      </c>
    </row>
    <row r="1544" spans="1:2" x14ac:dyDescent="0.25">
      <c r="A1544" t="s">
        <v>1201</v>
      </c>
      <c r="B1544">
        <v>0.625</v>
      </c>
    </row>
    <row r="1545" spans="1:2" x14ac:dyDescent="0.25">
      <c r="A1545" t="s">
        <v>1202</v>
      </c>
      <c r="B1545">
        <v>0</v>
      </c>
    </row>
    <row r="1546" spans="1:2" x14ac:dyDescent="0.25">
      <c r="A1546" t="s">
        <v>1203</v>
      </c>
      <c r="B1546">
        <v>0</v>
      </c>
    </row>
    <row r="1547" spans="1:2" x14ac:dyDescent="0.25">
      <c r="A1547" t="s">
        <v>1204</v>
      </c>
      <c r="B1547">
        <v>0</v>
      </c>
    </row>
    <row r="1548" spans="1:2" x14ac:dyDescent="0.25">
      <c r="A1548" t="s">
        <v>1205</v>
      </c>
      <c r="B1548">
        <v>0</v>
      </c>
    </row>
    <row r="1549" spans="1:2" x14ac:dyDescent="0.25">
      <c r="A1549" t="s">
        <v>1206</v>
      </c>
      <c r="B1549">
        <v>0.75</v>
      </c>
    </row>
    <row r="1550" spans="1:2" x14ac:dyDescent="0.25">
      <c r="A1550" t="s">
        <v>1020</v>
      </c>
      <c r="B1550" t="s">
        <v>303</v>
      </c>
    </row>
    <row r="1551" spans="1:2" x14ac:dyDescent="0.25">
      <c r="A1551" t="s">
        <v>1021</v>
      </c>
      <c r="B1551" t="s">
        <v>303</v>
      </c>
    </row>
    <row r="1552" spans="1:2" x14ac:dyDescent="0.25">
      <c r="A1552" t="s">
        <v>1022</v>
      </c>
      <c r="B1552" t="s">
        <v>303</v>
      </c>
    </row>
    <row r="1553" spans="1:2" x14ac:dyDescent="0.25">
      <c r="A1553" t="s">
        <v>1023</v>
      </c>
      <c r="B1553" t="s">
        <v>303</v>
      </c>
    </row>
    <row r="1554" spans="1:2" x14ac:dyDescent="0.25">
      <c r="A1554" t="s">
        <v>1024</v>
      </c>
      <c r="B1554" t="s">
        <v>303</v>
      </c>
    </row>
    <row r="1555" spans="1:2" x14ac:dyDescent="0.25">
      <c r="A1555" t="s">
        <v>1025</v>
      </c>
      <c r="B1555" t="s">
        <v>303</v>
      </c>
    </row>
    <row r="1556" spans="1:2" x14ac:dyDescent="0.25">
      <c r="A1556" t="s">
        <v>961</v>
      </c>
      <c r="B1556">
        <v>0</v>
      </c>
    </row>
    <row r="1557" spans="1:2" x14ac:dyDescent="0.25">
      <c r="A1557" t="s">
        <v>962</v>
      </c>
      <c r="B1557">
        <v>0</v>
      </c>
    </row>
    <row r="1558" spans="1:2" x14ac:dyDescent="0.25">
      <c r="A1558" t="s">
        <v>963</v>
      </c>
      <c r="B1558">
        <v>0</v>
      </c>
    </row>
    <row r="1559" spans="1:2" x14ac:dyDescent="0.25">
      <c r="A1559" t="s">
        <v>964</v>
      </c>
      <c r="B1559">
        <v>0</v>
      </c>
    </row>
    <row r="1560" spans="1:2" x14ac:dyDescent="0.25">
      <c r="A1560" t="s">
        <v>965</v>
      </c>
      <c r="B1560">
        <v>0</v>
      </c>
    </row>
    <row r="1561" spans="1:2" x14ac:dyDescent="0.25">
      <c r="A1561" t="s">
        <v>966</v>
      </c>
      <c r="B1561">
        <v>0</v>
      </c>
    </row>
    <row r="1562" spans="1:2" x14ac:dyDescent="0.25">
      <c r="A1562" t="s">
        <v>967</v>
      </c>
      <c r="B1562">
        <v>0</v>
      </c>
    </row>
    <row r="1563" spans="1:2" x14ac:dyDescent="0.25">
      <c r="A1563" t="s">
        <v>968</v>
      </c>
      <c r="B1563">
        <v>0</v>
      </c>
    </row>
    <row r="1564" spans="1:2" x14ac:dyDescent="0.25">
      <c r="A1564" t="s">
        <v>771</v>
      </c>
      <c r="B1564">
        <v>5</v>
      </c>
    </row>
    <row r="1565" spans="1:2" x14ac:dyDescent="0.25">
      <c r="A1565" t="s">
        <v>772</v>
      </c>
      <c r="B1565" t="s">
        <v>1033</v>
      </c>
    </row>
    <row r="1566" spans="1:2" x14ac:dyDescent="0.25">
      <c r="A1566" t="s">
        <v>773</v>
      </c>
      <c r="B1566">
        <v>230</v>
      </c>
    </row>
    <row r="1567" spans="1:2" x14ac:dyDescent="0.25">
      <c r="A1567" t="s">
        <v>774</v>
      </c>
      <c r="B1567">
        <v>29</v>
      </c>
    </row>
    <row r="1568" spans="1:2" x14ac:dyDescent="0.25">
      <c r="A1568" t="s">
        <v>775</v>
      </c>
      <c r="B1568">
        <v>29</v>
      </c>
    </row>
    <row r="1569" spans="1:2" x14ac:dyDescent="0.25">
      <c r="A1569" t="s">
        <v>776</v>
      </c>
      <c r="B1569">
        <v>1</v>
      </c>
    </row>
    <row r="1570" spans="1:2" x14ac:dyDescent="0.25">
      <c r="A1570" t="s">
        <v>777</v>
      </c>
      <c r="B1570">
        <v>1</v>
      </c>
    </row>
    <row r="1571" spans="1:2" x14ac:dyDescent="0.25">
      <c r="A1571" t="s">
        <v>778</v>
      </c>
      <c r="B1571">
        <v>5</v>
      </c>
    </row>
    <row r="1572" spans="1:2" x14ac:dyDescent="0.25">
      <c r="A1572" t="s">
        <v>779</v>
      </c>
      <c r="B1572" t="s">
        <v>342</v>
      </c>
    </row>
    <row r="1573" spans="1:2" x14ac:dyDescent="0.25">
      <c r="A1573" t="s">
        <v>780</v>
      </c>
      <c r="B1573" s="7">
        <v>1.5</v>
      </c>
    </row>
    <row r="1574" spans="1:2" x14ac:dyDescent="0.25">
      <c r="A1574" t="s">
        <v>781</v>
      </c>
      <c r="B1574">
        <v>50</v>
      </c>
    </row>
    <row r="1575" spans="1:2" x14ac:dyDescent="0.25">
      <c r="A1575" t="s">
        <v>782</v>
      </c>
      <c r="B1575" t="s">
        <v>312</v>
      </c>
    </row>
    <row r="1576" spans="1:2" x14ac:dyDescent="0.25">
      <c r="A1576" t="s">
        <v>783</v>
      </c>
      <c r="B1576">
        <v>36</v>
      </c>
    </row>
    <row r="1577" spans="1:2" x14ac:dyDescent="0.25">
      <c r="A1577" t="s">
        <v>784</v>
      </c>
      <c r="B1577" t="s">
        <v>320</v>
      </c>
    </row>
    <row r="1578" spans="1:2" x14ac:dyDescent="0.25">
      <c r="A1578" t="s">
        <v>785</v>
      </c>
      <c r="B1578">
        <v>36</v>
      </c>
    </row>
    <row r="1579" spans="1:2" x14ac:dyDescent="0.25">
      <c r="A1579" t="s">
        <v>786</v>
      </c>
      <c r="B1579" t="s">
        <v>320</v>
      </c>
    </row>
    <row r="1580" spans="1:2" x14ac:dyDescent="0.25">
      <c r="A1580" t="s">
        <v>787</v>
      </c>
      <c r="B1580">
        <v>36</v>
      </c>
    </row>
    <row r="1581" spans="1:2" x14ac:dyDescent="0.25">
      <c r="A1581" t="s">
        <v>788</v>
      </c>
      <c r="B1581" t="s">
        <v>320</v>
      </c>
    </row>
    <row r="1582" spans="1:2" x14ac:dyDescent="0.25">
      <c r="A1582" t="s">
        <v>789</v>
      </c>
      <c r="B1582">
        <v>36</v>
      </c>
    </row>
    <row r="1583" spans="1:2" x14ac:dyDescent="0.25">
      <c r="A1583" t="s">
        <v>790</v>
      </c>
      <c r="B1583" t="s">
        <v>320</v>
      </c>
    </row>
    <row r="1584" spans="1:2" x14ac:dyDescent="0.25">
      <c r="A1584" t="s">
        <v>791</v>
      </c>
      <c r="B1584">
        <v>36</v>
      </c>
    </row>
    <row r="1585" spans="1:2" x14ac:dyDescent="0.25">
      <c r="A1585" t="s">
        <v>792</v>
      </c>
      <c r="B1585" t="s">
        <v>320</v>
      </c>
    </row>
    <row r="1586" spans="1:2" x14ac:dyDescent="0.25">
      <c r="A1586" t="s">
        <v>793</v>
      </c>
      <c r="B1586">
        <v>36</v>
      </c>
    </row>
    <row r="1587" spans="1:2" x14ac:dyDescent="0.25">
      <c r="A1587" t="s">
        <v>794</v>
      </c>
      <c r="B1587" t="s">
        <v>320</v>
      </c>
    </row>
    <row r="1588" spans="1:2" x14ac:dyDescent="0.25">
      <c r="A1588" t="s">
        <v>795</v>
      </c>
      <c r="B1588">
        <v>50</v>
      </c>
    </row>
    <row r="1589" spans="1:2" x14ac:dyDescent="0.25">
      <c r="A1589" t="s">
        <v>796</v>
      </c>
      <c r="B1589" t="s">
        <v>312</v>
      </c>
    </row>
    <row r="1590" spans="1:2" x14ac:dyDescent="0.25">
      <c r="A1590" t="s">
        <v>797</v>
      </c>
      <c r="B1590" t="s">
        <v>342</v>
      </c>
    </row>
    <row r="1591" spans="1:2" x14ac:dyDescent="0.25">
      <c r="A1591" t="s">
        <v>798</v>
      </c>
      <c r="B1591" s="5">
        <v>44928</v>
      </c>
    </row>
    <row r="1592" spans="1:2" x14ac:dyDescent="0.25">
      <c r="A1592" t="s">
        <v>799</v>
      </c>
      <c r="B1592" t="s">
        <v>342</v>
      </c>
    </row>
    <row r="1593" spans="1:2" x14ac:dyDescent="0.25">
      <c r="A1593" t="s">
        <v>800</v>
      </c>
    </row>
    <row r="1594" spans="1:2" x14ac:dyDescent="0.25">
      <c r="A1594" t="s">
        <v>801</v>
      </c>
      <c r="B1594" t="s">
        <v>1038</v>
      </c>
    </row>
    <row r="1595" spans="1:2" x14ac:dyDescent="0.25">
      <c r="A1595" t="s">
        <v>802</v>
      </c>
      <c r="B1595" t="s">
        <v>1039</v>
      </c>
    </row>
    <row r="1596" spans="1:2" x14ac:dyDescent="0.25">
      <c r="A1596" t="s">
        <v>803</v>
      </c>
      <c r="B1596" t="s">
        <v>1038</v>
      </c>
    </row>
    <row r="1597" spans="1:2" x14ac:dyDescent="0.25">
      <c r="A1597" t="s">
        <v>804</v>
      </c>
      <c r="B1597" t="s">
        <v>1039</v>
      </c>
    </row>
    <row r="1598" spans="1:2" x14ac:dyDescent="0.25">
      <c r="A1598" t="s">
        <v>805</v>
      </c>
      <c r="B1598">
        <v>1</v>
      </c>
    </row>
    <row r="1599" spans="1:2" x14ac:dyDescent="0.25">
      <c r="A1599" t="s">
        <v>806</v>
      </c>
      <c r="B1599">
        <v>1</v>
      </c>
    </row>
    <row r="1600" spans="1:2" x14ac:dyDescent="0.25">
      <c r="A1600" t="s">
        <v>807</v>
      </c>
      <c r="B1600" t="s">
        <v>303</v>
      </c>
    </row>
    <row r="1601" spans="1:2" x14ac:dyDescent="0.25">
      <c r="A1601" t="s">
        <v>808</v>
      </c>
      <c r="B1601" t="s">
        <v>305</v>
      </c>
    </row>
    <row r="1602" spans="1:2" x14ac:dyDescent="0.25">
      <c r="A1602" t="s">
        <v>809</v>
      </c>
      <c r="B1602" t="s">
        <v>342</v>
      </c>
    </row>
    <row r="1603" spans="1:2" x14ac:dyDescent="0.25">
      <c r="A1603" t="s">
        <v>810</v>
      </c>
      <c r="B1603" s="5">
        <v>44928</v>
      </c>
    </row>
    <row r="1604" spans="1:2" x14ac:dyDescent="0.25">
      <c r="A1604" t="s">
        <v>811</v>
      </c>
      <c r="B1604" t="s">
        <v>342</v>
      </c>
    </row>
    <row r="1605" spans="1:2" x14ac:dyDescent="0.25">
      <c r="A1605" t="s">
        <v>812</v>
      </c>
    </row>
    <row r="1606" spans="1:2" x14ac:dyDescent="0.25">
      <c r="A1606" t="s">
        <v>813</v>
      </c>
      <c r="B1606">
        <v>36</v>
      </c>
    </row>
    <row r="1607" spans="1:2" x14ac:dyDescent="0.25">
      <c r="A1607" t="s">
        <v>814</v>
      </c>
      <c r="B1607" t="s">
        <v>320</v>
      </c>
    </row>
    <row r="1608" spans="1:2" x14ac:dyDescent="0.25">
      <c r="A1608" t="s">
        <v>1040</v>
      </c>
      <c r="B1608">
        <v>36</v>
      </c>
    </row>
    <row r="1609" spans="1:2" x14ac:dyDescent="0.25">
      <c r="A1609" t="s">
        <v>1041</v>
      </c>
      <c r="B1609" t="s">
        <v>320</v>
      </c>
    </row>
    <row r="1610" spans="1:2" x14ac:dyDescent="0.25">
      <c r="A1610" t="s">
        <v>1042</v>
      </c>
      <c r="B1610">
        <v>36</v>
      </c>
    </row>
    <row r="1611" spans="1:2" x14ac:dyDescent="0.25">
      <c r="A1611" t="s">
        <v>1043</v>
      </c>
      <c r="B1611" t="s">
        <v>320</v>
      </c>
    </row>
    <row r="1612" spans="1:2" x14ac:dyDescent="0.25">
      <c r="A1612" t="s">
        <v>1044</v>
      </c>
      <c r="B1612">
        <v>36</v>
      </c>
    </row>
    <row r="1613" spans="1:2" x14ac:dyDescent="0.25">
      <c r="A1613" t="s">
        <v>1045</v>
      </c>
      <c r="B1613" t="s">
        <v>320</v>
      </c>
    </row>
    <row r="1614" spans="1:2" x14ac:dyDescent="0.25">
      <c r="A1614" t="s">
        <v>1046</v>
      </c>
      <c r="B1614">
        <v>36</v>
      </c>
    </row>
    <row r="1615" spans="1:2" x14ac:dyDescent="0.25">
      <c r="A1615" t="s">
        <v>1047</v>
      </c>
      <c r="B1615" t="s">
        <v>320</v>
      </c>
    </row>
    <row r="1616" spans="1:2" x14ac:dyDescent="0.25">
      <c r="A1616" t="s">
        <v>1048</v>
      </c>
      <c r="B1616">
        <v>36</v>
      </c>
    </row>
    <row r="1617" spans="1:2" x14ac:dyDescent="0.25">
      <c r="A1617" t="s">
        <v>1049</v>
      </c>
      <c r="B1617" t="s">
        <v>320</v>
      </c>
    </row>
    <row r="1618" spans="1:2" x14ac:dyDescent="0.25">
      <c r="A1618" t="s">
        <v>1050</v>
      </c>
      <c r="B1618">
        <v>36</v>
      </c>
    </row>
    <row r="1619" spans="1:2" x14ac:dyDescent="0.25">
      <c r="A1619" t="s">
        <v>1051</v>
      </c>
      <c r="B1619" t="s">
        <v>320</v>
      </c>
    </row>
    <row r="1620" spans="1:2" x14ac:dyDescent="0.25">
      <c r="A1620" t="s">
        <v>1052</v>
      </c>
      <c r="B1620">
        <v>36</v>
      </c>
    </row>
    <row r="1621" spans="1:2" x14ac:dyDescent="0.25">
      <c r="A1621" t="s">
        <v>1053</v>
      </c>
      <c r="B1621" t="s">
        <v>320</v>
      </c>
    </row>
    <row r="1622" spans="1:2" x14ac:dyDescent="0.25">
      <c r="A1622" t="s">
        <v>1054</v>
      </c>
      <c r="B1622">
        <v>36</v>
      </c>
    </row>
    <row r="1623" spans="1:2" x14ac:dyDescent="0.25">
      <c r="A1623" t="s">
        <v>1055</v>
      </c>
      <c r="B1623" t="s">
        <v>320</v>
      </c>
    </row>
    <row r="1624" spans="1:2" x14ac:dyDescent="0.25">
      <c r="A1624" t="s">
        <v>1056</v>
      </c>
      <c r="B1624">
        <v>36</v>
      </c>
    </row>
    <row r="1625" spans="1:2" x14ac:dyDescent="0.25">
      <c r="A1625" t="s">
        <v>1057</v>
      </c>
      <c r="B1625" t="s">
        <v>320</v>
      </c>
    </row>
    <row r="1626" spans="1:2" x14ac:dyDescent="0.25">
      <c r="A1626" t="s">
        <v>1058</v>
      </c>
      <c r="B1626">
        <v>36</v>
      </c>
    </row>
    <row r="1627" spans="1:2" x14ac:dyDescent="0.25">
      <c r="A1627" t="s">
        <v>1059</v>
      </c>
      <c r="B1627" t="s">
        <v>320</v>
      </c>
    </row>
    <row r="1628" spans="1:2" x14ac:dyDescent="0.25">
      <c r="A1628" t="s">
        <v>1060</v>
      </c>
      <c r="B1628">
        <v>36</v>
      </c>
    </row>
    <row r="1629" spans="1:2" x14ac:dyDescent="0.25">
      <c r="A1629" t="s">
        <v>1061</v>
      </c>
      <c r="B1629" t="s">
        <v>320</v>
      </c>
    </row>
    <row r="1630" spans="1:2" x14ac:dyDescent="0.25">
      <c r="A1630" t="s">
        <v>1062</v>
      </c>
      <c r="B1630">
        <v>36</v>
      </c>
    </row>
    <row r="1631" spans="1:2" x14ac:dyDescent="0.25">
      <c r="A1631" t="s">
        <v>1063</v>
      </c>
      <c r="B1631" t="s">
        <v>320</v>
      </c>
    </row>
    <row r="1632" spans="1:2" x14ac:dyDescent="0.25">
      <c r="A1632" t="s">
        <v>1064</v>
      </c>
      <c r="B1632">
        <v>36</v>
      </c>
    </row>
    <row r="1633" spans="1:2" x14ac:dyDescent="0.25">
      <c r="A1633" t="s">
        <v>1065</v>
      </c>
      <c r="B1633" t="s">
        <v>320</v>
      </c>
    </row>
    <row r="1634" spans="1:2" x14ac:dyDescent="0.25">
      <c r="A1634" t="s">
        <v>1066</v>
      </c>
      <c r="B1634">
        <v>36</v>
      </c>
    </row>
    <row r="1635" spans="1:2" x14ac:dyDescent="0.25">
      <c r="A1635" t="s">
        <v>1067</v>
      </c>
      <c r="B1635" t="s">
        <v>320</v>
      </c>
    </row>
    <row r="1636" spans="1:2" x14ac:dyDescent="0.25">
      <c r="A1636" t="s">
        <v>1068</v>
      </c>
      <c r="B1636">
        <v>36</v>
      </c>
    </row>
    <row r="1637" spans="1:2" x14ac:dyDescent="0.25">
      <c r="A1637" t="s">
        <v>1069</v>
      </c>
      <c r="B1637" t="s">
        <v>320</v>
      </c>
    </row>
    <row r="1638" spans="1:2" x14ac:dyDescent="0.25">
      <c r="A1638" t="s">
        <v>1070</v>
      </c>
      <c r="B1638">
        <v>36</v>
      </c>
    </row>
    <row r="1639" spans="1:2" x14ac:dyDescent="0.25">
      <c r="A1639" t="s">
        <v>1071</v>
      </c>
      <c r="B1639" t="s">
        <v>320</v>
      </c>
    </row>
    <row r="1640" spans="1:2" x14ac:dyDescent="0.25">
      <c r="A1640" t="s">
        <v>1072</v>
      </c>
      <c r="B1640">
        <v>36</v>
      </c>
    </row>
    <row r="1641" spans="1:2" x14ac:dyDescent="0.25">
      <c r="A1641" t="s">
        <v>1073</v>
      </c>
      <c r="B1641" t="s">
        <v>320</v>
      </c>
    </row>
    <row r="1642" spans="1:2" x14ac:dyDescent="0.25">
      <c r="A1642" t="s">
        <v>1074</v>
      </c>
      <c r="B1642">
        <v>36</v>
      </c>
    </row>
    <row r="1643" spans="1:2" x14ac:dyDescent="0.25">
      <c r="A1643" t="s">
        <v>1075</v>
      </c>
      <c r="B1643" t="s">
        <v>320</v>
      </c>
    </row>
    <row r="1644" spans="1:2" x14ac:dyDescent="0.25">
      <c r="A1644" t="s">
        <v>1076</v>
      </c>
      <c r="B1644">
        <v>36</v>
      </c>
    </row>
    <row r="1645" spans="1:2" x14ac:dyDescent="0.25">
      <c r="A1645" t="s">
        <v>1077</v>
      </c>
      <c r="B1645" t="s">
        <v>320</v>
      </c>
    </row>
    <row r="1646" spans="1:2" x14ac:dyDescent="0.25">
      <c r="A1646" t="s">
        <v>815</v>
      </c>
      <c r="B1646" t="s">
        <v>1078</v>
      </c>
    </row>
    <row r="1647" spans="1:2" x14ac:dyDescent="0.25">
      <c r="A1647" t="s">
        <v>1079</v>
      </c>
      <c r="B1647" t="s">
        <v>1078</v>
      </c>
    </row>
    <row r="1648" spans="1:2" x14ac:dyDescent="0.25">
      <c r="A1648" t="s">
        <v>1080</v>
      </c>
      <c r="B1648" t="s">
        <v>1078</v>
      </c>
    </row>
    <row r="1649" spans="1:2" x14ac:dyDescent="0.25">
      <c r="A1649" t="s">
        <v>1081</v>
      </c>
      <c r="B1649" t="s">
        <v>1078</v>
      </c>
    </row>
    <row r="1650" spans="1:2" x14ac:dyDescent="0.25">
      <c r="A1650" t="s">
        <v>1082</v>
      </c>
      <c r="B1650" t="s">
        <v>1078</v>
      </c>
    </row>
    <row r="1651" spans="1:2" x14ac:dyDescent="0.25">
      <c r="A1651" t="s">
        <v>816</v>
      </c>
      <c r="B1651" t="s">
        <v>1078</v>
      </c>
    </row>
    <row r="1652" spans="1:2" x14ac:dyDescent="0.25">
      <c r="A1652" t="s">
        <v>1083</v>
      </c>
      <c r="B1652" t="s">
        <v>1078</v>
      </c>
    </row>
    <row r="1653" spans="1:2" x14ac:dyDescent="0.25">
      <c r="A1653" t="s">
        <v>1084</v>
      </c>
      <c r="B1653" t="s">
        <v>1078</v>
      </c>
    </row>
    <row r="1654" spans="1:2" x14ac:dyDescent="0.25">
      <c r="A1654" t="s">
        <v>1085</v>
      </c>
      <c r="B1654" t="s">
        <v>1078</v>
      </c>
    </row>
    <row r="1655" spans="1:2" x14ac:dyDescent="0.25">
      <c r="A1655" t="s">
        <v>817</v>
      </c>
      <c r="B1655" t="s">
        <v>1078</v>
      </c>
    </row>
    <row r="1656" spans="1:2" x14ac:dyDescent="0.25">
      <c r="A1656" t="s">
        <v>818</v>
      </c>
      <c r="B1656" t="s">
        <v>1078</v>
      </c>
    </row>
    <row r="1657" spans="1:2" x14ac:dyDescent="0.25">
      <c r="A1657" t="s">
        <v>819</v>
      </c>
      <c r="B1657" t="s">
        <v>1078</v>
      </c>
    </row>
    <row r="1658" spans="1:2" x14ac:dyDescent="0.25">
      <c r="A1658" t="s">
        <v>820</v>
      </c>
      <c r="B1658" t="s">
        <v>1078</v>
      </c>
    </row>
    <row r="1659" spans="1:2" x14ac:dyDescent="0.25">
      <c r="A1659" t="s">
        <v>1086</v>
      </c>
      <c r="B1659" t="s">
        <v>1078</v>
      </c>
    </row>
    <row r="1660" spans="1:2" x14ac:dyDescent="0.25">
      <c r="A1660" t="s">
        <v>1087</v>
      </c>
      <c r="B1660" t="s">
        <v>1078</v>
      </c>
    </row>
    <row r="1661" spans="1:2" x14ac:dyDescent="0.25">
      <c r="A1661" t="s">
        <v>1088</v>
      </c>
      <c r="B1661" t="s">
        <v>1078</v>
      </c>
    </row>
    <row r="1662" spans="1:2" x14ac:dyDescent="0.25">
      <c r="A1662" t="s">
        <v>821</v>
      </c>
      <c r="B1662" t="s">
        <v>1078</v>
      </c>
    </row>
    <row r="1663" spans="1:2" x14ac:dyDescent="0.25">
      <c r="A1663" t="s">
        <v>1089</v>
      </c>
      <c r="B1663" t="s">
        <v>1078</v>
      </c>
    </row>
    <row r="1664" spans="1:2" x14ac:dyDescent="0.25">
      <c r="A1664" t="s">
        <v>1090</v>
      </c>
      <c r="B1664" t="s">
        <v>1078</v>
      </c>
    </row>
    <row r="1665" spans="1:2" x14ac:dyDescent="0.25">
      <c r="A1665" t="s">
        <v>1091</v>
      </c>
      <c r="B1665" t="s">
        <v>1078</v>
      </c>
    </row>
    <row r="1666" spans="1:2" x14ac:dyDescent="0.25">
      <c r="A1666" t="s">
        <v>822</v>
      </c>
    </row>
    <row r="1667" spans="1:2" x14ac:dyDescent="0.25">
      <c r="A1667" t="s">
        <v>823</v>
      </c>
    </row>
    <row r="1668" spans="1:2" x14ac:dyDescent="0.25">
      <c r="A1668" t="s">
        <v>824</v>
      </c>
    </row>
    <row r="1669" spans="1:2" x14ac:dyDescent="0.25">
      <c r="A1669" t="s">
        <v>825</v>
      </c>
    </row>
    <row r="1670" spans="1:2" x14ac:dyDescent="0.25">
      <c r="A1670" t="s">
        <v>826</v>
      </c>
    </row>
    <row r="1671" spans="1:2" x14ac:dyDescent="0.25">
      <c r="A1671" t="s">
        <v>827</v>
      </c>
    </row>
    <row r="1672" spans="1:2" x14ac:dyDescent="0.25">
      <c r="A1672" t="s">
        <v>828</v>
      </c>
    </row>
    <row r="1673" spans="1:2" x14ac:dyDescent="0.25">
      <c r="A1673" t="s">
        <v>829</v>
      </c>
    </row>
    <row r="1674" spans="1:2" x14ac:dyDescent="0.25">
      <c r="A1674" t="s">
        <v>830</v>
      </c>
    </row>
    <row r="1675" spans="1:2" x14ac:dyDescent="0.25">
      <c r="A1675" t="s">
        <v>831</v>
      </c>
    </row>
    <row r="1676" spans="1:2" x14ac:dyDescent="0.25">
      <c r="A1676" t="s">
        <v>832</v>
      </c>
      <c r="B1676">
        <v>0.45</v>
      </c>
    </row>
    <row r="1677" spans="1:2" x14ac:dyDescent="0.25">
      <c r="A1677" t="s">
        <v>833</v>
      </c>
    </row>
    <row r="1678" spans="1:2" x14ac:dyDescent="0.25">
      <c r="A1678" t="s">
        <v>834</v>
      </c>
    </row>
    <row r="1679" spans="1:2" x14ac:dyDescent="0.25">
      <c r="A1679" t="s">
        <v>835</v>
      </c>
    </row>
    <row r="1680" spans="1:2" x14ac:dyDescent="0.25">
      <c r="A1680" t="s">
        <v>836</v>
      </c>
    </row>
    <row r="1681" spans="1:2" x14ac:dyDescent="0.25">
      <c r="A1681" t="s">
        <v>837</v>
      </c>
    </row>
    <row r="1682" spans="1:2" x14ac:dyDescent="0.25">
      <c r="A1682" t="s">
        <v>838</v>
      </c>
    </row>
    <row r="1683" spans="1:2" x14ac:dyDescent="0.25">
      <c r="A1683" t="s">
        <v>839</v>
      </c>
    </row>
    <row r="1684" spans="1:2" x14ac:dyDescent="0.25">
      <c r="A1684" t="s">
        <v>840</v>
      </c>
    </row>
    <row r="1685" spans="1:2" x14ac:dyDescent="0.25">
      <c r="A1685" t="s">
        <v>841</v>
      </c>
    </row>
    <row r="1686" spans="1:2" x14ac:dyDescent="0.25">
      <c r="A1686" t="s">
        <v>842</v>
      </c>
      <c r="B1686">
        <v>0</v>
      </c>
    </row>
    <row r="1687" spans="1:2" x14ac:dyDescent="0.25">
      <c r="A1687" t="s">
        <v>843</v>
      </c>
      <c r="B1687" t="s">
        <v>1038</v>
      </c>
    </row>
    <row r="1688" spans="1:2" x14ac:dyDescent="0.25">
      <c r="A1688" t="s">
        <v>844</v>
      </c>
    </row>
    <row r="1689" spans="1:2" x14ac:dyDescent="0.25">
      <c r="A1689" t="s">
        <v>845</v>
      </c>
      <c r="B1689" t="s">
        <v>307</v>
      </c>
    </row>
    <row r="1690" spans="1:2" x14ac:dyDescent="0.25">
      <c r="A1690" t="s">
        <v>846</v>
      </c>
      <c r="B1690" t="s">
        <v>1092</v>
      </c>
    </row>
    <row r="1691" spans="1:2" x14ac:dyDescent="0.25">
      <c r="A1691" t="s">
        <v>847</v>
      </c>
      <c r="B1691">
        <v>35</v>
      </c>
    </row>
    <row r="1692" spans="1:2" x14ac:dyDescent="0.25">
      <c r="A1692" t="s">
        <v>848</v>
      </c>
      <c r="B1692" t="s">
        <v>315</v>
      </c>
    </row>
    <row r="1693" spans="1:2" x14ac:dyDescent="0.25">
      <c r="A1693" t="s">
        <v>849</v>
      </c>
      <c r="B1693">
        <v>0</v>
      </c>
    </row>
    <row r="1694" spans="1:2" x14ac:dyDescent="0.25">
      <c r="A1694" t="s">
        <v>850</v>
      </c>
      <c r="B1694">
        <v>16</v>
      </c>
    </row>
    <row r="1695" spans="1:2" x14ac:dyDescent="0.25">
      <c r="A1695" t="s">
        <v>851</v>
      </c>
      <c r="B1695">
        <v>21</v>
      </c>
    </row>
    <row r="1696" spans="1:2" x14ac:dyDescent="0.25">
      <c r="A1696" t="s">
        <v>852</v>
      </c>
      <c r="B1696">
        <v>30</v>
      </c>
    </row>
    <row r="1697" spans="1:2" x14ac:dyDescent="0.25">
      <c r="A1697" t="s">
        <v>853</v>
      </c>
      <c r="B1697">
        <v>0.5</v>
      </c>
    </row>
    <row r="1698" spans="1:2" x14ac:dyDescent="0.25">
      <c r="A1698" t="s">
        <v>854</v>
      </c>
      <c r="B1698">
        <v>2</v>
      </c>
    </row>
    <row r="1699" spans="1:2" x14ac:dyDescent="0.25">
      <c r="A1699" t="s">
        <v>855</v>
      </c>
      <c r="B1699">
        <v>65</v>
      </c>
    </row>
    <row r="1700" spans="1:2" x14ac:dyDescent="0.25">
      <c r="A1700" t="s">
        <v>856</v>
      </c>
      <c r="B1700" t="s">
        <v>1093</v>
      </c>
    </row>
    <row r="1701" spans="1:2" x14ac:dyDescent="0.25">
      <c r="A1701" t="s">
        <v>857</v>
      </c>
      <c r="B1701">
        <v>1</v>
      </c>
    </row>
    <row r="1702" spans="1:2" x14ac:dyDescent="0.25">
      <c r="A1702" t="s">
        <v>858</v>
      </c>
      <c r="B1702">
        <v>1</v>
      </c>
    </row>
    <row r="1703" spans="1:2" x14ac:dyDescent="0.25">
      <c r="A1703" t="s">
        <v>859</v>
      </c>
      <c r="B1703" t="s">
        <v>303</v>
      </c>
    </row>
    <row r="1704" spans="1:2" x14ac:dyDescent="0.25">
      <c r="A1704" t="s">
        <v>860</v>
      </c>
      <c r="B1704" t="s">
        <v>303</v>
      </c>
    </row>
    <row r="1705" spans="1:2" x14ac:dyDescent="0.25">
      <c r="A1705" t="s">
        <v>861</v>
      </c>
      <c r="B1705">
        <v>0</v>
      </c>
    </row>
    <row r="1706" spans="1:2" x14ac:dyDescent="0.25">
      <c r="A1706" t="s">
        <v>862</v>
      </c>
      <c r="B1706">
        <v>0</v>
      </c>
    </row>
    <row r="1707" spans="1:2" x14ac:dyDescent="0.25">
      <c r="A1707" t="s">
        <v>863</v>
      </c>
      <c r="B1707">
        <v>0</v>
      </c>
    </row>
    <row r="1708" spans="1:2" x14ac:dyDescent="0.25">
      <c r="A1708" t="s">
        <v>864</v>
      </c>
      <c r="B1708">
        <v>36</v>
      </c>
    </row>
    <row r="1709" spans="1:2" x14ac:dyDescent="0.25">
      <c r="A1709" t="s">
        <v>865</v>
      </c>
      <c r="B1709" t="s">
        <v>320</v>
      </c>
    </row>
    <row r="1710" spans="1:2" x14ac:dyDescent="0.25">
      <c r="A1710" t="s">
        <v>866</v>
      </c>
      <c r="B1710">
        <v>1</v>
      </c>
    </row>
    <row r="1711" spans="1:2" x14ac:dyDescent="0.25">
      <c r="A1711" t="s">
        <v>867</v>
      </c>
      <c r="B1711">
        <v>1</v>
      </c>
    </row>
    <row r="1712" spans="1:2" x14ac:dyDescent="0.25">
      <c r="A1712" t="s">
        <v>868</v>
      </c>
      <c r="B1712">
        <v>0</v>
      </c>
    </row>
    <row r="1713" spans="1:2" x14ac:dyDescent="0.25">
      <c r="A1713" t="s">
        <v>869</v>
      </c>
      <c r="B1713">
        <v>0</v>
      </c>
    </row>
    <row r="1714" spans="1:2" x14ac:dyDescent="0.25">
      <c r="A1714" t="s">
        <v>870</v>
      </c>
      <c r="B1714">
        <v>0</v>
      </c>
    </row>
    <row r="1715" spans="1:2" x14ac:dyDescent="0.25">
      <c r="A1715" t="s">
        <v>871</v>
      </c>
      <c r="B1715">
        <v>0</v>
      </c>
    </row>
    <row r="1716" spans="1:2" x14ac:dyDescent="0.25">
      <c r="A1716" t="s">
        <v>872</v>
      </c>
      <c r="B1716">
        <v>0</v>
      </c>
    </row>
    <row r="1717" spans="1:2" x14ac:dyDescent="0.25">
      <c r="A1717" t="s">
        <v>873</v>
      </c>
      <c r="B1717">
        <v>0</v>
      </c>
    </row>
    <row r="1718" spans="1:2" x14ac:dyDescent="0.25">
      <c r="A1718" t="s">
        <v>874</v>
      </c>
      <c r="B1718">
        <v>0</v>
      </c>
    </row>
    <row r="1719" spans="1:2" x14ac:dyDescent="0.25">
      <c r="A1719" t="s">
        <v>875</v>
      </c>
      <c r="B1719">
        <v>0</v>
      </c>
    </row>
    <row r="1720" spans="1:2" x14ac:dyDescent="0.25">
      <c r="A1720" t="s">
        <v>876</v>
      </c>
      <c r="B1720">
        <v>1</v>
      </c>
    </row>
    <row r="1721" spans="1:2" x14ac:dyDescent="0.25">
      <c r="A1721" t="s">
        <v>877</v>
      </c>
      <c r="B1721">
        <v>1</v>
      </c>
    </row>
    <row r="1722" spans="1:2" x14ac:dyDescent="0.25">
      <c r="A1722" t="s">
        <v>878</v>
      </c>
      <c r="B1722">
        <v>1</v>
      </c>
    </row>
    <row r="1723" spans="1:2" x14ac:dyDescent="0.25">
      <c r="A1723" t="s">
        <v>879</v>
      </c>
      <c r="B1723">
        <v>1</v>
      </c>
    </row>
    <row r="1724" spans="1:2" x14ac:dyDescent="0.25">
      <c r="A1724" t="s">
        <v>880</v>
      </c>
      <c r="B1724">
        <v>1</v>
      </c>
    </row>
    <row r="1725" spans="1:2" x14ac:dyDescent="0.25">
      <c r="A1725" t="s">
        <v>881</v>
      </c>
      <c r="B1725">
        <v>1</v>
      </c>
    </row>
    <row r="1726" spans="1:2" x14ac:dyDescent="0.25">
      <c r="A1726" t="s">
        <v>882</v>
      </c>
      <c r="B1726">
        <v>1</v>
      </c>
    </row>
    <row r="1727" spans="1:2" x14ac:dyDescent="0.25">
      <c r="A1727" t="s">
        <v>883</v>
      </c>
      <c r="B1727">
        <v>1</v>
      </c>
    </row>
    <row r="1728" spans="1:2" x14ac:dyDescent="0.25">
      <c r="A1728" t="s">
        <v>884</v>
      </c>
      <c r="B1728">
        <v>1</v>
      </c>
    </row>
    <row r="1729" spans="1:2" x14ac:dyDescent="0.25">
      <c r="A1729" t="s">
        <v>885</v>
      </c>
      <c r="B1729">
        <v>1</v>
      </c>
    </row>
    <row r="1730" spans="1:2" x14ac:dyDescent="0.25">
      <c r="A1730" t="s">
        <v>886</v>
      </c>
      <c r="B1730">
        <v>1</v>
      </c>
    </row>
    <row r="1731" spans="1:2" x14ac:dyDescent="0.25">
      <c r="A1731" t="s">
        <v>887</v>
      </c>
      <c r="B1731">
        <v>1</v>
      </c>
    </row>
    <row r="1732" spans="1:2" x14ac:dyDescent="0.25">
      <c r="A1732" t="s">
        <v>888</v>
      </c>
      <c r="B1732">
        <v>1</v>
      </c>
    </row>
    <row r="1733" spans="1:2" x14ac:dyDescent="0.25">
      <c r="A1733" t="s">
        <v>889</v>
      </c>
      <c r="B1733">
        <v>1</v>
      </c>
    </row>
    <row r="1734" spans="1:2" x14ac:dyDescent="0.25">
      <c r="A1734" t="s">
        <v>890</v>
      </c>
      <c r="B1734">
        <v>1</v>
      </c>
    </row>
    <row r="1735" spans="1:2" x14ac:dyDescent="0.25">
      <c r="A1735" t="s">
        <v>891</v>
      </c>
      <c r="B1735">
        <v>1</v>
      </c>
    </row>
    <row r="1736" spans="1:2" x14ac:dyDescent="0.25">
      <c r="A1736" t="s">
        <v>892</v>
      </c>
      <c r="B1736">
        <v>1</v>
      </c>
    </row>
    <row r="1737" spans="1:2" x14ac:dyDescent="0.25">
      <c r="A1737" t="s">
        <v>893</v>
      </c>
      <c r="B1737">
        <v>1</v>
      </c>
    </row>
    <row r="1738" spans="1:2" x14ac:dyDescent="0.25">
      <c r="A1738" t="s">
        <v>894</v>
      </c>
      <c r="B1738">
        <v>1</v>
      </c>
    </row>
    <row r="1739" spans="1:2" x14ac:dyDescent="0.25">
      <c r="A1739" t="s">
        <v>895</v>
      </c>
      <c r="B1739">
        <v>1</v>
      </c>
    </row>
    <row r="1740" spans="1:2" x14ac:dyDescent="0.25">
      <c r="A1740" t="s">
        <v>896</v>
      </c>
      <c r="B1740">
        <v>1</v>
      </c>
    </row>
    <row r="1741" spans="1:2" x14ac:dyDescent="0.25">
      <c r="A1741" t="s">
        <v>897</v>
      </c>
      <c r="B1741">
        <v>1</v>
      </c>
    </row>
    <row r="1742" spans="1:2" x14ac:dyDescent="0.25">
      <c r="A1742" t="s">
        <v>898</v>
      </c>
      <c r="B1742">
        <v>1</v>
      </c>
    </row>
    <row r="1743" spans="1:2" x14ac:dyDescent="0.25">
      <c r="A1743" t="s">
        <v>899</v>
      </c>
      <c r="B1743">
        <v>0.5</v>
      </c>
    </row>
    <row r="1744" spans="1:2" x14ac:dyDescent="0.25">
      <c r="A1744" t="s">
        <v>900</v>
      </c>
      <c r="B1744">
        <v>0.85</v>
      </c>
    </row>
    <row r="1745" spans="1:2" x14ac:dyDescent="0.25">
      <c r="A1745" t="s">
        <v>901</v>
      </c>
      <c r="B1745">
        <v>1</v>
      </c>
    </row>
    <row r="1746" spans="1:2" x14ac:dyDescent="0.25">
      <c r="A1746" t="s">
        <v>902</v>
      </c>
      <c r="B1746">
        <v>0.5</v>
      </c>
    </row>
    <row r="1747" spans="1:2" x14ac:dyDescent="0.25">
      <c r="A1747" t="s">
        <v>903</v>
      </c>
      <c r="B1747">
        <v>0.85</v>
      </c>
    </row>
    <row r="1748" spans="1:2" x14ac:dyDescent="0.25">
      <c r="A1748" t="s">
        <v>904</v>
      </c>
      <c r="B1748">
        <v>1</v>
      </c>
    </row>
    <row r="1749" spans="1:2" x14ac:dyDescent="0.25">
      <c r="A1749" t="s">
        <v>905</v>
      </c>
      <c r="B1749" t="s">
        <v>1094</v>
      </c>
    </row>
    <row r="1750" spans="1:2" x14ac:dyDescent="0.25">
      <c r="A1750" t="s">
        <v>906</v>
      </c>
      <c r="B1750" t="s">
        <v>1094</v>
      </c>
    </row>
    <row r="1751" spans="1:2" x14ac:dyDescent="0.25">
      <c r="A1751" t="s">
        <v>907</v>
      </c>
      <c r="B1751">
        <v>36</v>
      </c>
    </row>
    <row r="1752" spans="1:2" x14ac:dyDescent="0.25">
      <c r="A1752" t="s">
        <v>908</v>
      </c>
      <c r="B1752">
        <v>36</v>
      </c>
    </row>
    <row r="1753" spans="1:2" x14ac:dyDescent="0.25">
      <c r="A1753" t="s">
        <v>909</v>
      </c>
      <c r="B1753">
        <v>36</v>
      </c>
    </row>
    <row r="1754" spans="1:2" x14ac:dyDescent="0.25">
      <c r="A1754" t="s">
        <v>910</v>
      </c>
      <c r="B1754">
        <v>36</v>
      </c>
    </row>
    <row r="1755" spans="1:2" x14ac:dyDescent="0.25">
      <c r="A1755" t="s">
        <v>911</v>
      </c>
      <c r="B1755">
        <v>0</v>
      </c>
    </row>
    <row r="1756" spans="1:2" x14ac:dyDescent="0.25">
      <c r="A1756" t="s">
        <v>912</v>
      </c>
      <c r="B1756">
        <v>1</v>
      </c>
    </row>
    <row r="1757" spans="1:2" x14ac:dyDescent="0.25">
      <c r="A1757" t="s">
        <v>913</v>
      </c>
      <c r="B1757">
        <v>0</v>
      </c>
    </row>
    <row r="1758" spans="1:2" x14ac:dyDescent="0.25">
      <c r="A1758" t="s">
        <v>914</v>
      </c>
      <c r="B1758">
        <v>0</v>
      </c>
    </row>
    <row r="1759" spans="1:2" x14ac:dyDescent="0.25">
      <c r="A1759" t="s">
        <v>915</v>
      </c>
      <c r="B1759">
        <v>0</v>
      </c>
    </row>
    <row r="1760" spans="1:2" x14ac:dyDescent="0.25">
      <c r="A1760" t="s">
        <v>916</v>
      </c>
      <c r="B1760">
        <v>0</v>
      </c>
    </row>
    <row r="1761" spans="1:2" x14ac:dyDescent="0.25">
      <c r="A1761" t="s">
        <v>970</v>
      </c>
      <c r="B1761">
        <v>0</v>
      </c>
    </row>
    <row r="1762" spans="1:2" x14ac:dyDescent="0.25">
      <c r="A1762" t="s">
        <v>919</v>
      </c>
      <c r="B1762">
        <v>0</v>
      </c>
    </row>
    <row r="1763" spans="1:2" x14ac:dyDescent="0.25">
      <c r="A1763" t="s">
        <v>920</v>
      </c>
      <c r="B1763">
        <v>0.75</v>
      </c>
    </row>
    <row r="1764" spans="1:2" x14ac:dyDescent="0.25">
      <c r="A1764" t="s">
        <v>921</v>
      </c>
      <c r="B1764">
        <v>0.75</v>
      </c>
    </row>
    <row r="1765" spans="1:2" x14ac:dyDescent="0.25">
      <c r="A1765" t="s">
        <v>922</v>
      </c>
      <c r="B1765">
        <v>0.75</v>
      </c>
    </row>
    <row r="1766" spans="1:2" x14ac:dyDescent="0.25">
      <c r="A1766" t="s">
        <v>923</v>
      </c>
      <c r="B1766">
        <v>0.75</v>
      </c>
    </row>
    <row r="1767" spans="1:2" x14ac:dyDescent="0.25">
      <c r="A1767" t="s">
        <v>924</v>
      </c>
      <c r="B1767">
        <v>0.75</v>
      </c>
    </row>
    <row r="1768" spans="1:2" x14ac:dyDescent="0.25">
      <c r="A1768" t="s">
        <v>925</v>
      </c>
      <c r="B1768">
        <v>0.75</v>
      </c>
    </row>
    <row r="1769" spans="1:2" x14ac:dyDescent="0.25">
      <c r="A1769" t="s">
        <v>926</v>
      </c>
      <c r="B1769" t="s">
        <v>537</v>
      </c>
    </row>
    <row r="1770" spans="1:2" x14ac:dyDescent="0.25">
      <c r="A1770" t="s">
        <v>927</v>
      </c>
      <c r="B1770">
        <v>0</v>
      </c>
    </row>
    <row r="1771" spans="1:2" x14ac:dyDescent="0.25">
      <c r="A1771" t="s">
        <v>928</v>
      </c>
      <c r="B1771">
        <v>0</v>
      </c>
    </row>
    <row r="1772" spans="1:2" x14ac:dyDescent="0.25">
      <c r="A1772" t="s">
        <v>929</v>
      </c>
      <c r="B1772">
        <v>0</v>
      </c>
    </row>
    <row r="1773" spans="1:2" x14ac:dyDescent="0.25">
      <c r="A1773" t="s">
        <v>930</v>
      </c>
      <c r="B1773">
        <v>0</v>
      </c>
    </row>
    <row r="1774" spans="1:2" x14ac:dyDescent="0.25">
      <c r="A1774" t="s">
        <v>931</v>
      </c>
      <c r="B1774">
        <v>0</v>
      </c>
    </row>
    <row r="1775" spans="1:2" x14ac:dyDescent="0.25">
      <c r="A1775" t="s">
        <v>932</v>
      </c>
      <c r="B1775">
        <v>0</v>
      </c>
    </row>
    <row r="1776" spans="1:2" x14ac:dyDescent="0.25">
      <c r="A1776" t="s">
        <v>933</v>
      </c>
      <c r="B1776">
        <v>0</v>
      </c>
    </row>
    <row r="1777" spans="1:2" x14ac:dyDescent="0.25">
      <c r="A1777" t="s">
        <v>934</v>
      </c>
      <c r="B1777" t="s">
        <v>551</v>
      </c>
    </row>
    <row r="1778" spans="1:2" x14ac:dyDescent="0.25">
      <c r="A1778" t="s">
        <v>935</v>
      </c>
      <c r="B1778">
        <v>0.75</v>
      </c>
    </row>
    <row r="1779" spans="1:2" x14ac:dyDescent="0.25">
      <c r="A1779" t="s">
        <v>936</v>
      </c>
      <c r="B1779" t="s">
        <v>551</v>
      </c>
    </row>
    <row r="1780" spans="1:2" x14ac:dyDescent="0.25">
      <c r="A1780" t="s">
        <v>937</v>
      </c>
      <c r="B1780">
        <v>0.625</v>
      </c>
    </row>
    <row r="1781" spans="1:2" x14ac:dyDescent="0.25">
      <c r="A1781" t="s">
        <v>938</v>
      </c>
      <c r="B1781" t="s">
        <v>551</v>
      </c>
    </row>
    <row r="1782" spans="1:2" x14ac:dyDescent="0.25">
      <c r="A1782" t="s">
        <v>939</v>
      </c>
      <c r="B1782">
        <v>0.625</v>
      </c>
    </row>
    <row r="1783" spans="1:2" x14ac:dyDescent="0.25">
      <c r="A1783" t="s">
        <v>940</v>
      </c>
      <c r="B1783" t="s">
        <v>551</v>
      </c>
    </row>
    <row r="1784" spans="1:2" x14ac:dyDescent="0.25">
      <c r="A1784" t="s">
        <v>941</v>
      </c>
      <c r="B1784">
        <v>0.625</v>
      </c>
    </row>
    <row r="1785" spans="1:2" x14ac:dyDescent="0.25">
      <c r="A1785" t="s">
        <v>942</v>
      </c>
      <c r="B1785" t="s">
        <v>551</v>
      </c>
    </row>
    <row r="1786" spans="1:2" x14ac:dyDescent="0.25">
      <c r="A1786" t="s">
        <v>943</v>
      </c>
      <c r="B1786">
        <v>0.625</v>
      </c>
    </row>
    <row r="1787" spans="1:2" x14ac:dyDescent="0.25">
      <c r="A1787" t="s">
        <v>944</v>
      </c>
      <c r="B1787" t="s">
        <v>551</v>
      </c>
    </row>
    <row r="1788" spans="1:2" x14ac:dyDescent="0.25">
      <c r="A1788" t="s">
        <v>945</v>
      </c>
      <c r="B1788">
        <v>0.625</v>
      </c>
    </row>
    <row r="1789" spans="1:2" x14ac:dyDescent="0.25">
      <c r="A1789" t="s">
        <v>946</v>
      </c>
      <c r="B1789" t="s">
        <v>551</v>
      </c>
    </row>
    <row r="1790" spans="1:2" x14ac:dyDescent="0.25">
      <c r="A1790" t="s">
        <v>947</v>
      </c>
      <c r="B1790">
        <v>0.625</v>
      </c>
    </row>
    <row r="1791" spans="1:2" x14ac:dyDescent="0.25">
      <c r="A1791" t="s">
        <v>948</v>
      </c>
      <c r="B1791">
        <v>0</v>
      </c>
    </row>
    <row r="1792" spans="1:2" x14ac:dyDescent="0.25">
      <c r="A1792" t="s">
        <v>949</v>
      </c>
      <c r="B1792">
        <v>0</v>
      </c>
    </row>
    <row r="1793" spans="1:2" x14ac:dyDescent="0.25">
      <c r="A1793" t="s">
        <v>950</v>
      </c>
      <c r="B1793">
        <v>0</v>
      </c>
    </row>
    <row r="1794" spans="1:2" x14ac:dyDescent="0.25">
      <c r="A1794" t="s">
        <v>951</v>
      </c>
      <c r="B1794">
        <v>0</v>
      </c>
    </row>
    <row r="1795" spans="1:2" x14ac:dyDescent="0.25">
      <c r="A1795" t="s">
        <v>952</v>
      </c>
      <c r="B1795">
        <v>0</v>
      </c>
    </row>
    <row r="1796" spans="1:2" x14ac:dyDescent="0.25">
      <c r="A1796" t="s">
        <v>953</v>
      </c>
      <c r="B1796">
        <v>0</v>
      </c>
    </row>
    <row r="1797" spans="1:2" x14ac:dyDescent="0.25">
      <c r="A1797" t="s">
        <v>954</v>
      </c>
      <c r="B1797">
        <v>0</v>
      </c>
    </row>
    <row r="1798" spans="1:2" x14ac:dyDescent="0.25">
      <c r="A1798" t="s">
        <v>955</v>
      </c>
      <c r="B1798">
        <v>0</v>
      </c>
    </row>
    <row r="1799" spans="1:2" x14ac:dyDescent="0.25">
      <c r="A1799" t="s">
        <v>956</v>
      </c>
      <c r="B1799">
        <v>0</v>
      </c>
    </row>
    <row r="1800" spans="1:2" x14ac:dyDescent="0.25">
      <c r="A1800" t="s">
        <v>957</v>
      </c>
      <c r="B1800">
        <v>0</v>
      </c>
    </row>
    <row r="1801" spans="1:2" x14ac:dyDescent="0.25">
      <c r="A1801" t="s">
        <v>958</v>
      </c>
      <c r="B1801">
        <v>0</v>
      </c>
    </row>
    <row r="1802" spans="1:2" x14ac:dyDescent="0.25">
      <c r="A1802" t="s">
        <v>959</v>
      </c>
      <c r="B1802">
        <v>0</v>
      </c>
    </row>
    <row r="1803" spans="1:2" x14ac:dyDescent="0.25">
      <c r="A1803" t="s">
        <v>960</v>
      </c>
      <c r="B1803">
        <v>0</v>
      </c>
    </row>
    <row r="1804" spans="1:2" x14ac:dyDescent="0.25">
      <c r="A1804" t="s">
        <v>1095</v>
      </c>
      <c r="B1804" t="s">
        <v>551</v>
      </c>
    </row>
    <row r="1805" spans="1:2" x14ac:dyDescent="0.25">
      <c r="A1805" t="s">
        <v>1096</v>
      </c>
      <c r="B1805">
        <v>0.625</v>
      </c>
    </row>
    <row r="1806" spans="1:2" x14ac:dyDescent="0.25">
      <c r="A1806" t="s">
        <v>1097</v>
      </c>
      <c r="B1806">
        <v>0</v>
      </c>
    </row>
    <row r="1807" spans="1:2" x14ac:dyDescent="0.25">
      <c r="A1807" t="s">
        <v>1098</v>
      </c>
      <c r="B1807">
        <v>0</v>
      </c>
    </row>
    <row r="1808" spans="1:2" x14ac:dyDescent="0.25">
      <c r="A1808" t="s">
        <v>1099</v>
      </c>
      <c r="B1808">
        <v>0</v>
      </c>
    </row>
    <row r="1809" spans="1:2" x14ac:dyDescent="0.25">
      <c r="A1809" t="s">
        <v>1100</v>
      </c>
      <c r="B1809">
        <v>0</v>
      </c>
    </row>
    <row r="1810" spans="1:2" x14ac:dyDescent="0.25">
      <c r="A1810" t="s">
        <v>1101</v>
      </c>
      <c r="B1810">
        <v>0.75</v>
      </c>
    </row>
    <row r="1811" spans="1:2" x14ac:dyDescent="0.25">
      <c r="A1811" t="s">
        <v>1102</v>
      </c>
      <c r="B1811" t="s">
        <v>551</v>
      </c>
    </row>
    <row r="1812" spans="1:2" x14ac:dyDescent="0.25">
      <c r="A1812" t="s">
        <v>1103</v>
      </c>
      <c r="B1812">
        <v>0.625</v>
      </c>
    </row>
    <row r="1813" spans="1:2" x14ac:dyDescent="0.25">
      <c r="A1813" t="s">
        <v>1104</v>
      </c>
      <c r="B1813">
        <v>0</v>
      </c>
    </row>
    <row r="1814" spans="1:2" x14ac:dyDescent="0.25">
      <c r="A1814" t="s">
        <v>1105</v>
      </c>
      <c r="B1814">
        <v>0</v>
      </c>
    </row>
    <row r="1815" spans="1:2" x14ac:dyDescent="0.25">
      <c r="A1815" t="s">
        <v>1106</v>
      </c>
      <c r="B1815">
        <v>0</v>
      </c>
    </row>
    <row r="1816" spans="1:2" x14ac:dyDescent="0.25">
      <c r="A1816" t="s">
        <v>1107</v>
      </c>
      <c r="B1816">
        <v>0</v>
      </c>
    </row>
    <row r="1817" spans="1:2" x14ac:dyDescent="0.25">
      <c r="A1817" t="s">
        <v>1108</v>
      </c>
      <c r="B1817">
        <v>0.75</v>
      </c>
    </row>
    <row r="1818" spans="1:2" x14ac:dyDescent="0.25">
      <c r="A1818" t="s">
        <v>1109</v>
      </c>
      <c r="B1818" t="s">
        <v>551</v>
      </c>
    </row>
    <row r="1819" spans="1:2" x14ac:dyDescent="0.25">
      <c r="A1819" t="s">
        <v>1110</v>
      </c>
      <c r="B1819">
        <v>0.625</v>
      </c>
    </row>
    <row r="1820" spans="1:2" x14ac:dyDescent="0.25">
      <c r="A1820" t="s">
        <v>1111</v>
      </c>
      <c r="B1820">
        <v>0</v>
      </c>
    </row>
    <row r="1821" spans="1:2" x14ac:dyDescent="0.25">
      <c r="A1821" t="s">
        <v>1112</v>
      </c>
      <c r="B1821">
        <v>0</v>
      </c>
    </row>
    <row r="1822" spans="1:2" x14ac:dyDescent="0.25">
      <c r="A1822" t="s">
        <v>1113</v>
      </c>
      <c r="B1822">
        <v>0</v>
      </c>
    </row>
    <row r="1823" spans="1:2" x14ac:dyDescent="0.25">
      <c r="A1823" t="s">
        <v>1114</v>
      </c>
      <c r="B1823">
        <v>0</v>
      </c>
    </row>
    <row r="1824" spans="1:2" x14ac:dyDescent="0.25">
      <c r="A1824" t="s">
        <v>1115</v>
      </c>
      <c r="B1824">
        <v>0.75</v>
      </c>
    </row>
    <row r="1825" spans="1:2" x14ac:dyDescent="0.25">
      <c r="A1825" t="s">
        <v>1116</v>
      </c>
      <c r="B1825" t="s">
        <v>551</v>
      </c>
    </row>
    <row r="1826" spans="1:2" x14ac:dyDescent="0.25">
      <c r="A1826" t="s">
        <v>1117</v>
      </c>
      <c r="B1826">
        <v>0.625</v>
      </c>
    </row>
    <row r="1827" spans="1:2" x14ac:dyDescent="0.25">
      <c r="A1827" t="s">
        <v>1118</v>
      </c>
      <c r="B1827">
        <v>0</v>
      </c>
    </row>
    <row r="1828" spans="1:2" x14ac:dyDescent="0.25">
      <c r="A1828" t="s">
        <v>1119</v>
      </c>
      <c r="B1828">
        <v>0</v>
      </c>
    </row>
    <row r="1829" spans="1:2" x14ac:dyDescent="0.25">
      <c r="A1829" t="s">
        <v>1120</v>
      </c>
      <c r="B1829">
        <v>0</v>
      </c>
    </row>
    <row r="1830" spans="1:2" x14ac:dyDescent="0.25">
      <c r="A1830" t="s">
        <v>1121</v>
      </c>
      <c r="B1830">
        <v>0</v>
      </c>
    </row>
    <row r="1831" spans="1:2" x14ac:dyDescent="0.25">
      <c r="A1831" t="s">
        <v>1122</v>
      </c>
      <c r="B1831">
        <v>0.75</v>
      </c>
    </row>
    <row r="1832" spans="1:2" x14ac:dyDescent="0.25">
      <c r="A1832" t="s">
        <v>1123</v>
      </c>
      <c r="B1832" t="s">
        <v>551</v>
      </c>
    </row>
    <row r="1833" spans="1:2" x14ac:dyDescent="0.25">
      <c r="A1833" t="s">
        <v>1124</v>
      </c>
      <c r="B1833">
        <v>0.625</v>
      </c>
    </row>
    <row r="1834" spans="1:2" x14ac:dyDescent="0.25">
      <c r="A1834" t="s">
        <v>1125</v>
      </c>
      <c r="B1834">
        <v>0</v>
      </c>
    </row>
    <row r="1835" spans="1:2" x14ac:dyDescent="0.25">
      <c r="A1835" t="s">
        <v>1126</v>
      </c>
      <c r="B1835">
        <v>0</v>
      </c>
    </row>
    <row r="1836" spans="1:2" x14ac:dyDescent="0.25">
      <c r="A1836" t="s">
        <v>1127</v>
      </c>
      <c r="B1836">
        <v>0</v>
      </c>
    </row>
    <row r="1837" spans="1:2" x14ac:dyDescent="0.25">
      <c r="A1837" t="s">
        <v>1128</v>
      </c>
      <c r="B1837">
        <v>0</v>
      </c>
    </row>
    <row r="1838" spans="1:2" x14ac:dyDescent="0.25">
      <c r="A1838" t="s">
        <v>1129</v>
      </c>
      <c r="B1838">
        <v>0.75</v>
      </c>
    </row>
    <row r="1839" spans="1:2" x14ac:dyDescent="0.25">
      <c r="A1839" t="s">
        <v>1130</v>
      </c>
      <c r="B1839" t="s">
        <v>551</v>
      </c>
    </row>
    <row r="1840" spans="1:2" x14ac:dyDescent="0.25">
      <c r="A1840" t="s">
        <v>1131</v>
      </c>
      <c r="B1840">
        <v>0.625</v>
      </c>
    </row>
    <row r="1841" spans="1:2" x14ac:dyDescent="0.25">
      <c r="A1841" t="s">
        <v>1132</v>
      </c>
      <c r="B1841">
        <v>0</v>
      </c>
    </row>
    <row r="1842" spans="1:2" x14ac:dyDescent="0.25">
      <c r="A1842" t="s">
        <v>1133</v>
      </c>
      <c r="B1842">
        <v>0</v>
      </c>
    </row>
    <row r="1843" spans="1:2" x14ac:dyDescent="0.25">
      <c r="A1843" t="s">
        <v>1134</v>
      </c>
      <c r="B1843">
        <v>0</v>
      </c>
    </row>
    <row r="1844" spans="1:2" x14ac:dyDescent="0.25">
      <c r="A1844" t="s">
        <v>1135</v>
      </c>
      <c r="B1844">
        <v>0</v>
      </c>
    </row>
    <row r="1845" spans="1:2" x14ac:dyDescent="0.25">
      <c r="A1845" t="s">
        <v>1136</v>
      </c>
      <c r="B1845">
        <v>0.75</v>
      </c>
    </row>
    <row r="1846" spans="1:2" x14ac:dyDescent="0.25">
      <c r="A1846" t="s">
        <v>1137</v>
      </c>
      <c r="B1846" t="s">
        <v>551</v>
      </c>
    </row>
    <row r="1847" spans="1:2" x14ac:dyDescent="0.25">
      <c r="A1847" t="s">
        <v>1138</v>
      </c>
      <c r="B1847">
        <v>0.625</v>
      </c>
    </row>
    <row r="1848" spans="1:2" x14ac:dyDescent="0.25">
      <c r="A1848" t="s">
        <v>1139</v>
      </c>
      <c r="B1848">
        <v>0</v>
      </c>
    </row>
    <row r="1849" spans="1:2" x14ac:dyDescent="0.25">
      <c r="A1849" t="s">
        <v>1140</v>
      </c>
      <c r="B1849">
        <v>0</v>
      </c>
    </row>
    <row r="1850" spans="1:2" x14ac:dyDescent="0.25">
      <c r="A1850" t="s">
        <v>1141</v>
      </c>
      <c r="B1850">
        <v>0</v>
      </c>
    </row>
    <row r="1851" spans="1:2" x14ac:dyDescent="0.25">
      <c r="A1851" t="s">
        <v>1142</v>
      </c>
      <c r="B1851">
        <v>0</v>
      </c>
    </row>
    <row r="1852" spans="1:2" x14ac:dyDescent="0.25">
      <c r="A1852" t="s">
        <v>1143</v>
      </c>
      <c r="B1852">
        <v>0.75</v>
      </c>
    </row>
    <row r="1853" spans="1:2" x14ac:dyDescent="0.25">
      <c r="A1853" t="s">
        <v>1144</v>
      </c>
      <c r="B1853" t="s">
        <v>551</v>
      </c>
    </row>
    <row r="1854" spans="1:2" x14ac:dyDescent="0.25">
      <c r="A1854" t="s">
        <v>1145</v>
      </c>
      <c r="B1854">
        <v>0.625</v>
      </c>
    </row>
    <row r="1855" spans="1:2" x14ac:dyDescent="0.25">
      <c r="A1855" t="s">
        <v>1146</v>
      </c>
      <c r="B1855">
        <v>0</v>
      </c>
    </row>
    <row r="1856" spans="1:2" x14ac:dyDescent="0.25">
      <c r="A1856" t="s">
        <v>1147</v>
      </c>
      <c r="B1856">
        <v>0</v>
      </c>
    </row>
    <row r="1857" spans="1:2" x14ac:dyDescent="0.25">
      <c r="A1857" t="s">
        <v>1148</v>
      </c>
      <c r="B1857">
        <v>0</v>
      </c>
    </row>
    <row r="1858" spans="1:2" x14ac:dyDescent="0.25">
      <c r="A1858" t="s">
        <v>1149</v>
      </c>
      <c r="B1858">
        <v>0</v>
      </c>
    </row>
    <row r="1859" spans="1:2" x14ac:dyDescent="0.25">
      <c r="A1859" t="s">
        <v>1150</v>
      </c>
      <c r="B1859">
        <v>0.75</v>
      </c>
    </row>
    <row r="1860" spans="1:2" x14ac:dyDescent="0.25">
      <c r="A1860" t="s">
        <v>985</v>
      </c>
      <c r="B1860" t="s">
        <v>551</v>
      </c>
    </row>
    <row r="1861" spans="1:2" x14ac:dyDescent="0.25">
      <c r="A1861" t="s">
        <v>986</v>
      </c>
      <c r="B1861">
        <v>0.625</v>
      </c>
    </row>
    <row r="1862" spans="1:2" x14ac:dyDescent="0.25">
      <c r="A1862" t="s">
        <v>987</v>
      </c>
      <c r="B1862">
        <v>0</v>
      </c>
    </row>
    <row r="1863" spans="1:2" x14ac:dyDescent="0.25">
      <c r="A1863" t="s">
        <v>988</v>
      </c>
      <c r="B1863">
        <v>0</v>
      </c>
    </row>
    <row r="1864" spans="1:2" x14ac:dyDescent="0.25">
      <c r="A1864" t="s">
        <v>989</v>
      </c>
      <c r="B1864">
        <v>0</v>
      </c>
    </row>
    <row r="1865" spans="1:2" x14ac:dyDescent="0.25">
      <c r="A1865" t="s">
        <v>990</v>
      </c>
      <c r="B1865">
        <v>0</v>
      </c>
    </row>
    <row r="1866" spans="1:2" x14ac:dyDescent="0.25">
      <c r="A1866" t="s">
        <v>991</v>
      </c>
      <c r="B1866">
        <v>0.75</v>
      </c>
    </row>
    <row r="1867" spans="1:2" x14ac:dyDescent="0.25">
      <c r="A1867" t="s">
        <v>992</v>
      </c>
      <c r="B1867" t="s">
        <v>551</v>
      </c>
    </row>
    <row r="1868" spans="1:2" x14ac:dyDescent="0.25">
      <c r="A1868" t="s">
        <v>993</v>
      </c>
      <c r="B1868">
        <v>0.625</v>
      </c>
    </row>
    <row r="1869" spans="1:2" x14ac:dyDescent="0.25">
      <c r="A1869" t="s">
        <v>994</v>
      </c>
      <c r="B1869">
        <v>0</v>
      </c>
    </row>
    <row r="1870" spans="1:2" x14ac:dyDescent="0.25">
      <c r="A1870" t="s">
        <v>995</v>
      </c>
      <c r="B1870">
        <v>0</v>
      </c>
    </row>
    <row r="1871" spans="1:2" x14ac:dyDescent="0.25">
      <c r="A1871" t="s">
        <v>996</v>
      </c>
      <c r="B1871">
        <v>0</v>
      </c>
    </row>
    <row r="1872" spans="1:2" x14ac:dyDescent="0.25">
      <c r="A1872" t="s">
        <v>997</v>
      </c>
      <c r="B1872">
        <v>0</v>
      </c>
    </row>
    <row r="1873" spans="1:2" x14ac:dyDescent="0.25">
      <c r="A1873" t="s">
        <v>998</v>
      </c>
      <c r="B1873">
        <v>0.75</v>
      </c>
    </row>
    <row r="1874" spans="1:2" x14ac:dyDescent="0.25">
      <c r="A1874" t="s">
        <v>999</v>
      </c>
      <c r="B1874" t="s">
        <v>551</v>
      </c>
    </row>
    <row r="1875" spans="1:2" x14ac:dyDescent="0.25">
      <c r="A1875" t="s">
        <v>1000</v>
      </c>
      <c r="B1875">
        <v>0.625</v>
      </c>
    </row>
    <row r="1876" spans="1:2" x14ac:dyDescent="0.25">
      <c r="A1876" t="s">
        <v>1001</v>
      </c>
      <c r="B1876">
        <v>0</v>
      </c>
    </row>
    <row r="1877" spans="1:2" x14ac:dyDescent="0.25">
      <c r="A1877" t="s">
        <v>1002</v>
      </c>
      <c r="B1877">
        <v>0</v>
      </c>
    </row>
    <row r="1878" spans="1:2" x14ac:dyDescent="0.25">
      <c r="A1878" t="s">
        <v>1003</v>
      </c>
      <c r="B1878">
        <v>0</v>
      </c>
    </row>
    <row r="1879" spans="1:2" x14ac:dyDescent="0.25">
      <c r="A1879" t="s">
        <v>1004</v>
      </c>
      <c r="B1879">
        <v>0</v>
      </c>
    </row>
    <row r="1880" spans="1:2" x14ac:dyDescent="0.25">
      <c r="A1880" t="s">
        <v>1005</v>
      </c>
      <c r="B1880">
        <v>0.75</v>
      </c>
    </row>
    <row r="1881" spans="1:2" x14ac:dyDescent="0.25">
      <c r="A1881" t="s">
        <v>1151</v>
      </c>
      <c r="B1881" t="s">
        <v>551</v>
      </c>
    </row>
    <row r="1882" spans="1:2" x14ac:dyDescent="0.25">
      <c r="A1882" t="s">
        <v>1152</v>
      </c>
      <c r="B1882">
        <v>0.625</v>
      </c>
    </row>
    <row r="1883" spans="1:2" x14ac:dyDescent="0.25">
      <c r="A1883" t="s">
        <v>1153</v>
      </c>
      <c r="B1883">
        <v>0</v>
      </c>
    </row>
    <row r="1884" spans="1:2" x14ac:dyDescent="0.25">
      <c r="A1884" t="s">
        <v>1154</v>
      </c>
      <c r="B1884">
        <v>0</v>
      </c>
    </row>
    <row r="1885" spans="1:2" x14ac:dyDescent="0.25">
      <c r="A1885" t="s">
        <v>1155</v>
      </c>
      <c r="B1885">
        <v>0</v>
      </c>
    </row>
    <row r="1886" spans="1:2" x14ac:dyDescent="0.25">
      <c r="A1886" t="s">
        <v>1156</v>
      </c>
      <c r="B1886">
        <v>0</v>
      </c>
    </row>
    <row r="1887" spans="1:2" x14ac:dyDescent="0.25">
      <c r="A1887" t="s">
        <v>1157</v>
      </c>
      <c r="B1887">
        <v>0.75</v>
      </c>
    </row>
    <row r="1888" spans="1:2" x14ac:dyDescent="0.25">
      <c r="A1888" t="s">
        <v>1158</v>
      </c>
      <c r="B1888" t="s">
        <v>551</v>
      </c>
    </row>
    <row r="1889" spans="1:2" x14ac:dyDescent="0.25">
      <c r="A1889" t="s">
        <v>1159</v>
      </c>
      <c r="B1889">
        <v>0.625</v>
      </c>
    </row>
    <row r="1890" spans="1:2" x14ac:dyDescent="0.25">
      <c r="A1890" t="s">
        <v>1160</v>
      </c>
      <c r="B1890">
        <v>0</v>
      </c>
    </row>
    <row r="1891" spans="1:2" x14ac:dyDescent="0.25">
      <c r="A1891" t="s">
        <v>1161</v>
      </c>
      <c r="B1891">
        <v>0</v>
      </c>
    </row>
    <row r="1892" spans="1:2" x14ac:dyDescent="0.25">
      <c r="A1892" t="s">
        <v>1162</v>
      </c>
      <c r="B1892">
        <v>0</v>
      </c>
    </row>
    <row r="1893" spans="1:2" x14ac:dyDescent="0.25">
      <c r="A1893" t="s">
        <v>1163</v>
      </c>
      <c r="B1893">
        <v>0</v>
      </c>
    </row>
    <row r="1894" spans="1:2" x14ac:dyDescent="0.25">
      <c r="A1894" t="s">
        <v>1164</v>
      </c>
      <c r="B1894">
        <v>0.75</v>
      </c>
    </row>
    <row r="1895" spans="1:2" x14ac:dyDescent="0.25">
      <c r="A1895" t="s">
        <v>1165</v>
      </c>
      <c r="B1895" t="s">
        <v>551</v>
      </c>
    </row>
    <row r="1896" spans="1:2" x14ac:dyDescent="0.25">
      <c r="A1896" t="s">
        <v>1166</v>
      </c>
      <c r="B1896">
        <v>0.625</v>
      </c>
    </row>
    <row r="1897" spans="1:2" x14ac:dyDescent="0.25">
      <c r="A1897" t="s">
        <v>1167</v>
      </c>
      <c r="B1897">
        <v>0</v>
      </c>
    </row>
    <row r="1898" spans="1:2" x14ac:dyDescent="0.25">
      <c r="A1898" t="s">
        <v>1168</v>
      </c>
      <c r="B1898">
        <v>0</v>
      </c>
    </row>
    <row r="1899" spans="1:2" x14ac:dyDescent="0.25">
      <c r="A1899" t="s">
        <v>1169</v>
      </c>
      <c r="B1899">
        <v>0</v>
      </c>
    </row>
    <row r="1900" spans="1:2" x14ac:dyDescent="0.25">
      <c r="A1900" t="s">
        <v>1170</v>
      </c>
      <c r="B1900">
        <v>0</v>
      </c>
    </row>
    <row r="1901" spans="1:2" x14ac:dyDescent="0.25">
      <c r="A1901" t="s">
        <v>1171</v>
      </c>
      <c r="B1901">
        <v>0.75</v>
      </c>
    </row>
    <row r="1902" spans="1:2" x14ac:dyDescent="0.25">
      <c r="A1902" t="s">
        <v>1172</v>
      </c>
      <c r="B1902" t="s">
        <v>551</v>
      </c>
    </row>
    <row r="1903" spans="1:2" x14ac:dyDescent="0.25">
      <c r="A1903" t="s">
        <v>1173</v>
      </c>
      <c r="B1903">
        <v>0.625</v>
      </c>
    </row>
    <row r="1904" spans="1:2" x14ac:dyDescent="0.25">
      <c r="A1904" t="s">
        <v>1174</v>
      </c>
      <c r="B1904">
        <v>0</v>
      </c>
    </row>
    <row r="1905" spans="1:2" x14ac:dyDescent="0.25">
      <c r="A1905" t="s">
        <v>1175</v>
      </c>
      <c r="B1905">
        <v>0</v>
      </c>
    </row>
    <row r="1906" spans="1:2" x14ac:dyDescent="0.25">
      <c r="A1906" t="s">
        <v>1176</v>
      </c>
      <c r="B1906">
        <v>0</v>
      </c>
    </row>
    <row r="1907" spans="1:2" x14ac:dyDescent="0.25">
      <c r="A1907" t="s">
        <v>1177</v>
      </c>
      <c r="B1907">
        <v>0</v>
      </c>
    </row>
    <row r="1908" spans="1:2" x14ac:dyDescent="0.25">
      <c r="A1908" t="s">
        <v>1178</v>
      </c>
      <c r="B1908">
        <v>0.75</v>
      </c>
    </row>
    <row r="1909" spans="1:2" x14ac:dyDescent="0.25">
      <c r="A1909" t="s">
        <v>1179</v>
      </c>
      <c r="B1909" t="s">
        <v>551</v>
      </c>
    </row>
    <row r="1910" spans="1:2" x14ac:dyDescent="0.25">
      <c r="A1910" t="s">
        <v>1180</v>
      </c>
      <c r="B1910">
        <v>0.625</v>
      </c>
    </row>
    <row r="1911" spans="1:2" x14ac:dyDescent="0.25">
      <c r="A1911" t="s">
        <v>1181</v>
      </c>
      <c r="B1911">
        <v>0</v>
      </c>
    </row>
    <row r="1912" spans="1:2" x14ac:dyDescent="0.25">
      <c r="A1912" t="s">
        <v>1182</v>
      </c>
      <c r="B1912">
        <v>0</v>
      </c>
    </row>
    <row r="1913" spans="1:2" x14ac:dyDescent="0.25">
      <c r="A1913" t="s">
        <v>1183</v>
      </c>
      <c r="B1913">
        <v>0</v>
      </c>
    </row>
    <row r="1914" spans="1:2" x14ac:dyDescent="0.25">
      <c r="A1914" t="s">
        <v>1184</v>
      </c>
      <c r="B1914">
        <v>0</v>
      </c>
    </row>
    <row r="1915" spans="1:2" x14ac:dyDescent="0.25">
      <c r="A1915" t="s">
        <v>1185</v>
      </c>
      <c r="B1915">
        <v>0.75</v>
      </c>
    </row>
    <row r="1916" spans="1:2" x14ac:dyDescent="0.25">
      <c r="A1916" t="s">
        <v>1186</v>
      </c>
      <c r="B1916" t="s">
        <v>551</v>
      </c>
    </row>
    <row r="1917" spans="1:2" x14ac:dyDescent="0.25">
      <c r="A1917" t="s">
        <v>1187</v>
      </c>
      <c r="B1917">
        <v>0.625</v>
      </c>
    </row>
    <row r="1918" spans="1:2" x14ac:dyDescent="0.25">
      <c r="A1918" t="s">
        <v>1188</v>
      </c>
      <c r="B1918">
        <v>0</v>
      </c>
    </row>
    <row r="1919" spans="1:2" x14ac:dyDescent="0.25">
      <c r="A1919" t="s">
        <v>1189</v>
      </c>
      <c r="B1919">
        <v>0</v>
      </c>
    </row>
    <row r="1920" spans="1:2" x14ac:dyDescent="0.25">
      <c r="A1920" t="s">
        <v>1190</v>
      </c>
      <c r="B1920">
        <v>0</v>
      </c>
    </row>
    <row r="1921" spans="1:2" x14ac:dyDescent="0.25">
      <c r="A1921" t="s">
        <v>1191</v>
      </c>
      <c r="B1921">
        <v>0</v>
      </c>
    </row>
    <row r="1922" spans="1:2" x14ac:dyDescent="0.25">
      <c r="A1922" t="s">
        <v>1192</v>
      </c>
      <c r="B1922">
        <v>0.75</v>
      </c>
    </row>
    <row r="1923" spans="1:2" x14ac:dyDescent="0.25">
      <c r="A1923" t="s">
        <v>1193</v>
      </c>
      <c r="B1923" t="s">
        <v>551</v>
      </c>
    </row>
    <row r="1924" spans="1:2" x14ac:dyDescent="0.25">
      <c r="A1924" t="s">
        <v>1194</v>
      </c>
      <c r="B1924">
        <v>0.625</v>
      </c>
    </row>
    <row r="1925" spans="1:2" x14ac:dyDescent="0.25">
      <c r="A1925" t="s">
        <v>1195</v>
      </c>
      <c r="B1925">
        <v>0</v>
      </c>
    </row>
    <row r="1926" spans="1:2" x14ac:dyDescent="0.25">
      <c r="A1926" t="s">
        <v>1196</v>
      </c>
      <c r="B1926">
        <v>0</v>
      </c>
    </row>
    <row r="1927" spans="1:2" x14ac:dyDescent="0.25">
      <c r="A1927" t="s">
        <v>1197</v>
      </c>
      <c r="B1927">
        <v>0</v>
      </c>
    </row>
    <row r="1928" spans="1:2" x14ac:dyDescent="0.25">
      <c r="A1928" t="s">
        <v>1198</v>
      </c>
      <c r="B1928">
        <v>0</v>
      </c>
    </row>
    <row r="1929" spans="1:2" x14ac:dyDescent="0.25">
      <c r="A1929" t="s">
        <v>1199</v>
      </c>
      <c r="B1929">
        <v>0.75</v>
      </c>
    </row>
    <row r="1930" spans="1:2" x14ac:dyDescent="0.25">
      <c r="A1930" t="s">
        <v>1200</v>
      </c>
      <c r="B1930" t="s">
        <v>551</v>
      </c>
    </row>
    <row r="1931" spans="1:2" x14ac:dyDescent="0.25">
      <c r="A1931" t="s">
        <v>1201</v>
      </c>
      <c r="B1931">
        <v>0.625</v>
      </c>
    </row>
    <row r="1932" spans="1:2" x14ac:dyDescent="0.25">
      <c r="A1932" t="s">
        <v>1202</v>
      </c>
      <c r="B1932">
        <v>0</v>
      </c>
    </row>
    <row r="1933" spans="1:2" x14ac:dyDescent="0.25">
      <c r="A1933" t="s">
        <v>1203</v>
      </c>
      <c r="B1933">
        <v>0</v>
      </c>
    </row>
    <row r="1934" spans="1:2" x14ac:dyDescent="0.25">
      <c r="A1934" t="s">
        <v>1204</v>
      </c>
      <c r="B1934">
        <v>0</v>
      </c>
    </row>
    <row r="1935" spans="1:2" x14ac:dyDescent="0.25">
      <c r="A1935" t="s">
        <v>1205</v>
      </c>
      <c r="B1935">
        <v>0</v>
      </c>
    </row>
    <row r="1936" spans="1:2" x14ac:dyDescent="0.25">
      <c r="A1936" t="s">
        <v>1206</v>
      </c>
      <c r="B1936">
        <v>0.75</v>
      </c>
    </row>
    <row r="1937" spans="1:2" x14ac:dyDescent="0.25">
      <c r="A1937" t="s">
        <v>1020</v>
      </c>
      <c r="B1937" t="s">
        <v>303</v>
      </c>
    </row>
    <row r="1938" spans="1:2" x14ac:dyDescent="0.25">
      <c r="A1938" t="s">
        <v>1021</v>
      </c>
      <c r="B1938" t="s">
        <v>303</v>
      </c>
    </row>
    <row r="1939" spans="1:2" x14ac:dyDescent="0.25">
      <c r="A1939" t="s">
        <v>1022</v>
      </c>
      <c r="B1939" t="s">
        <v>303</v>
      </c>
    </row>
    <row r="1940" spans="1:2" x14ac:dyDescent="0.25">
      <c r="A1940" t="s">
        <v>1023</v>
      </c>
      <c r="B1940" t="s">
        <v>303</v>
      </c>
    </row>
    <row r="1941" spans="1:2" x14ac:dyDescent="0.25">
      <c r="A1941" t="s">
        <v>1024</v>
      </c>
      <c r="B1941" t="s">
        <v>303</v>
      </c>
    </row>
    <row r="1942" spans="1:2" x14ac:dyDescent="0.25">
      <c r="A1942" t="s">
        <v>1025</v>
      </c>
      <c r="B1942" t="s">
        <v>303</v>
      </c>
    </row>
    <row r="1943" spans="1:2" x14ac:dyDescent="0.25">
      <c r="A1943" t="s">
        <v>961</v>
      </c>
      <c r="B1943">
        <v>0</v>
      </c>
    </row>
    <row r="1944" spans="1:2" x14ac:dyDescent="0.25">
      <c r="A1944" t="s">
        <v>962</v>
      </c>
      <c r="B1944">
        <v>0</v>
      </c>
    </row>
    <row r="1945" spans="1:2" x14ac:dyDescent="0.25">
      <c r="A1945" t="s">
        <v>963</v>
      </c>
      <c r="B1945">
        <v>0</v>
      </c>
    </row>
    <row r="1946" spans="1:2" x14ac:dyDescent="0.25">
      <c r="A1946" t="s">
        <v>964</v>
      </c>
      <c r="B1946">
        <v>0</v>
      </c>
    </row>
    <row r="1947" spans="1:2" x14ac:dyDescent="0.25">
      <c r="A1947" t="s">
        <v>965</v>
      </c>
      <c r="B1947">
        <v>0</v>
      </c>
    </row>
    <row r="1948" spans="1:2" x14ac:dyDescent="0.25">
      <c r="A1948" t="s">
        <v>966</v>
      </c>
      <c r="B1948">
        <v>0</v>
      </c>
    </row>
    <row r="1949" spans="1:2" x14ac:dyDescent="0.25">
      <c r="A1949" t="s">
        <v>967</v>
      </c>
      <c r="B1949">
        <v>0</v>
      </c>
    </row>
    <row r="1950" spans="1:2" x14ac:dyDescent="0.25">
      <c r="A1950" t="s">
        <v>968</v>
      </c>
      <c r="B1950">
        <v>0</v>
      </c>
    </row>
    <row r="1951" spans="1:2" x14ac:dyDescent="0.25">
      <c r="A1951" t="s">
        <v>771</v>
      </c>
      <c r="B1951">
        <v>6</v>
      </c>
    </row>
    <row r="1952" spans="1:2" x14ac:dyDescent="0.25">
      <c r="A1952" t="s">
        <v>772</v>
      </c>
      <c r="B1952" t="s">
        <v>1034</v>
      </c>
    </row>
    <row r="1953" spans="1:2" x14ac:dyDescent="0.25">
      <c r="A1953" t="s">
        <v>773</v>
      </c>
      <c r="B1953">
        <v>225</v>
      </c>
    </row>
    <row r="1954" spans="1:2" x14ac:dyDescent="0.25">
      <c r="A1954" t="s">
        <v>774</v>
      </c>
      <c r="B1954">
        <v>29</v>
      </c>
    </row>
    <row r="1955" spans="1:2" x14ac:dyDescent="0.25">
      <c r="A1955" t="s">
        <v>775</v>
      </c>
      <c r="B1955">
        <v>29</v>
      </c>
    </row>
    <row r="1956" spans="1:2" x14ac:dyDescent="0.25">
      <c r="A1956" t="s">
        <v>776</v>
      </c>
      <c r="B1956">
        <v>1</v>
      </c>
    </row>
    <row r="1957" spans="1:2" x14ac:dyDescent="0.25">
      <c r="A1957" t="s">
        <v>777</v>
      </c>
      <c r="B1957">
        <v>1</v>
      </c>
    </row>
    <row r="1958" spans="1:2" x14ac:dyDescent="0.25">
      <c r="A1958" t="s">
        <v>778</v>
      </c>
      <c r="B1958">
        <v>5</v>
      </c>
    </row>
    <row r="1959" spans="1:2" x14ac:dyDescent="0.25">
      <c r="A1959" t="s">
        <v>779</v>
      </c>
      <c r="B1959" t="s">
        <v>342</v>
      </c>
    </row>
    <row r="1960" spans="1:2" x14ac:dyDescent="0.25">
      <c r="A1960" t="s">
        <v>780</v>
      </c>
      <c r="B1960" s="7">
        <v>1.5</v>
      </c>
    </row>
    <row r="1961" spans="1:2" x14ac:dyDescent="0.25">
      <c r="A1961" t="s">
        <v>781</v>
      </c>
      <c r="B1961">
        <v>50</v>
      </c>
    </row>
    <row r="1962" spans="1:2" x14ac:dyDescent="0.25">
      <c r="A1962" t="s">
        <v>782</v>
      </c>
      <c r="B1962" t="s">
        <v>312</v>
      </c>
    </row>
    <row r="1963" spans="1:2" x14ac:dyDescent="0.25">
      <c r="A1963" t="s">
        <v>783</v>
      </c>
      <c r="B1963">
        <v>36</v>
      </c>
    </row>
    <row r="1964" spans="1:2" x14ac:dyDescent="0.25">
      <c r="A1964" t="s">
        <v>784</v>
      </c>
      <c r="B1964" t="s">
        <v>320</v>
      </c>
    </row>
    <row r="1965" spans="1:2" x14ac:dyDescent="0.25">
      <c r="A1965" t="s">
        <v>785</v>
      </c>
      <c r="B1965">
        <v>36</v>
      </c>
    </row>
    <row r="1966" spans="1:2" x14ac:dyDescent="0.25">
      <c r="A1966" t="s">
        <v>786</v>
      </c>
      <c r="B1966" t="s">
        <v>320</v>
      </c>
    </row>
    <row r="1967" spans="1:2" x14ac:dyDescent="0.25">
      <c r="A1967" t="s">
        <v>787</v>
      </c>
      <c r="B1967">
        <v>36</v>
      </c>
    </row>
    <row r="1968" spans="1:2" x14ac:dyDescent="0.25">
      <c r="A1968" t="s">
        <v>788</v>
      </c>
      <c r="B1968" t="s">
        <v>320</v>
      </c>
    </row>
    <row r="1969" spans="1:2" x14ac:dyDescent="0.25">
      <c r="A1969" t="s">
        <v>789</v>
      </c>
      <c r="B1969">
        <v>36</v>
      </c>
    </row>
    <row r="1970" spans="1:2" x14ac:dyDescent="0.25">
      <c r="A1970" t="s">
        <v>790</v>
      </c>
      <c r="B1970" t="s">
        <v>320</v>
      </c>
    </row>
    <row r="1971" spans="1:2" x14ac:dyDescent="0.25">
      <c r="A1971" t="s">
        <v>791</v>
      </c>
      <c r="B1971">
        <v>36</v>
      </c>
    </row>
    <row r="1972" spans="1:2" x14ac:dyDescent="0.25">
      <c r="A1972" t="s">
        <v>792</v>
      </c>
      <c r="B1972" t="s">
        <v>320</v>
      </c>
    </row>
    <row r="1973" spans="1:2" x14ac:dyDescent="0.25">
      <c r="A1973" t="s">
        <v>793</v>
      </c>
      <c r="B1973">
        <v>50</v>
      </c>
    </row>
    <row r="1974" spans="1:2" x14ac:dyDescent="0.25">
      <c r="A1974" t="s">
        <v>794</v>
      </c>
      <c r="B1974" t="s">
        <v>312</v>
      </c>
    </row>
    <row r="1975" spans="1:2" x14ac:dyDescent="0.25">
      <c r="A1975" t="s">
        <v>795</v>
      </c>
      <c r="B1975">
        <v>50</v>
      </c>
    </row>
    <row r="1976" spans="1:2" x14ac:dyDescent="0.25">
      <c r="A1976" t="s">
        <v>796</v>
      </c>
      <c r="B1976" t="s">
        <v>312</v>
      </c>
    </row>
    <row r="1977" spans="1:2" x14ac:dyDescent="0.25">
      <c r="A1977" t="s">
        <v>797</v>
      </c>
      <c r="B1977" t="s">
        <v>342</v>
      </c>
    </row>
    <row r="1978" spans="1:2" x14ac:dyDescent="0.25">
      <c r="A1978" t="s">
        <v>798</v>
      </c>
      <c r="B1978" s="5">
        <v>44928</v>
      </c>
    </row>
    <row r="1979" spans="1:2" x14ac:dyDescent="0.25">
      <c r="A1979" t="s">
        <v>799</v>
      </c>
      <c r="B1979" t="s">
        <v>342</v>
      </c>
    </row>
    <row r="1980" spans="1:2" x14ac:dyDescent="0.25">
      <c r="A1980" t="s">
        <v>800</v>
      </c>
    </row>
    <row r="1981" spans="1:2" x14ac:dyDescent="0.25">
      <c r="A1981" t="s">
        <v>801</v>
      </c>
      <c r="B1981" t="s">
        <v>1038</v>
      </c>
    </row>
    <row r="1982" spans="1:2" x14ac:dyDescent="0.25">
      <c r="A1982" t="s">
        <v>802</v>
      </c>
      <c r="B1982" t="s">
        <v>1039</v>
      </c>
    </row>
    <row r="1983" spans="1:2" x14ac:dyDescent="0.25">
      <c r="A1983" t="s">
        <v>803</v>
      </c>
      <c r="B1983" t="s">
        <v>1038</v>
      </c>
    </row>
    <row r="1984" spans="1:2" x14ac:dyDescent="0.25">
      <c r="A1984" t="s">
        <v>804</v>
      </c>
      <c r="B1984" t="s">
        <v>1039</v>
      </c>
    </row>
    <row r="1985" spans="1:2" x14ac:dyDescent="0.25">
      <c r="A1985" t="s">
        <v>805</v>
      </c>
      <c r="B1985">
        <v>1</v>
      </c>
    </row>
    <row r="1986" spans="1:2" x14ac:dyDescent="0.25">
      <c r="A1986" t="s">
        <v>806</v>
      </c>
      <c r="B1986">
        <v>1</v>
      </c>
    </row>
    <row r="1987" spans="1:2" x14ac:dyDescent="0.25">
      <c r="A1987" t="s">
        <v>807</v>
      </c>
      <c r="B1987" t="s">
        <v>303</v>
      </c>
    </row>
    <row r="1988" spans="1:2" x14ac:dyDescent="0.25">
      <c r="A1988" t="s">
        <v>808</v>
      </c>
      <c r="B1988" t="s">
        <v>305</v>
      </c>
    </row>
    <row r="1989" spans="1:2" x14ac:dyDescent="0.25">
      <c r="A1989" t="s">
        <v>809</v>
      </c>
      <c r="B1989" t="s">
        <v>342</v>
      </c>
    </row>
    <row r="1990" spans="1:2" x14ac:dyDescent="0.25">
      <c r="A1990" t="s">
        <v>810</v>
      </c>
      <c r="B1990" s="5">
        <v>44989</v>
      </c>
    </row>
    <row r="1991" spans="1:2" x14ac:dyDescent="0.25">
      <c r="A1991" t="s">
        <v>811</v>
      </c>
      <c r="B1991" t="s">
        <v>342</v>
      </c>
    </row>
    <row r="1992" spans="1:2" x14ac:dyDescent="0.25">
      <c r="A1992" t="s">
        <v>812</v>
      </c>
    </row>
    <row r="1993" spans="1:2" x14ac:dyDescent="0.25">
      <c r="A1993" t="s">
        <v>813</v>
      </c>
      <c r="B1993">
        <v>36</v>
      </c>
    </row>
    <row r="1994" spans="1:2" x14ac:dyDescent="0.25">
      <c r="A1994" t="s">
        <v>814</v>
      </c>
      <c r="B1994" t="s">
        <v>320</v>
      </c>
    </row>
    <row r="1995" spans="1:2" x14ac:dyDescent="0.25">
      <c r="A1995" t="s">
        <v>1040</v>
      </c>
      <c r="B1995">
        <v>36</v>
      </c>
    </row>
    <row r="1996" spans="1:2" x14ac:dyDescent="0.25">
      <c r="A1996" t="s">
        <v>1041</v>
      </c>
      <c r="B1996" t="s">
        <v>320</v>
      </c>
    </row>
    <row r="1997" spans="1:2" x14ac:dyDescent="0.25">
      <c r="A1997" t="s">
        <v>1042</v>
      </c>
      <c r="B1997">
        <v>36</v>
      </c>
    </row>
    <row r="1998" spans="1:2" x14ac:dyDescent="0.25">
      <c r="A1998" t="s">
        <v>1043</v>
      </c>
      <c r="B1998" t="s">
        <v>320</v>
      </c>
    </row>
    <row r="1999" spans="1:2" x14ac:dyDescent="0.25">
      <c r="A1999" t="s">
        <v>1044</v>
      </c>
      <c r="B1999">
        <v>36</v>
      </c>
    </row>
    <row r="2000" spans="1:2" x14ac:dyDescent="0.25">
      <c r="A2000" t="s">
        <v>1045</v>
      </c>
      <c r="B2000" t="s">
        <v>320</v>
      </c>
    </row>
    <row r="2001" spans="1:2" x14ac:dyDescent="0.25">
      <c r="A2001" t="s">
        <v>1046</v>
      </c>
      <c r="B2001">
        <v>36</v>
      </c>
    </row>
    <row r="2002" spans="1:2" x14ac:dyDescent="0.25">
      <c r="A2002" t="s">
        <v>1047</v>
      </c>
      <c r="B2002" t="s">
        <v>320</v>
      </c>
    </row>
    <row r="2003" spans="1:2" x14ac:dyDescent="0.25">
      <c r="A2003" t="s">
        <v>1048</v>
      </c>
      <c r="B2003">
        <v>36</v>
      </c>
    </row>
    <row r="2004" spans="1:2" x14ac:dyDescent="0.25">
      <c r="A2004" t="s">
        <v>1049</v>
      </c>
      <c r="B2004" t="s">
        <v>320</v>
      </c>
    </row>
    <row r="2005" spans="1:2" x14ac:dyDescent="0.25">
      <c r="A2005" t="s">
        <v>1050</v>
      </c>
      <c r="B2005">
        <v>36</v>
      </c>
    </row>
    <row r="2006" spans="1:2" x14ac:dyDescent="0.25">
      <c r="A2006" t="s">
        <v>1051</v>
      </c>
      <c r="B2006" t="s">
        <v>320</v>
      </c>
    </row>
    <row r="2007" spans="1:2" x14ac:dyDescent="0.25">
      <c r="A2007" t="s">
        <v>1052</v>
      </c>
      <c r="B2007">
        <v>36</v>
      </c>
    </row>
    <row r="2008" spans="1:2" x14ac:dyDescent="0.25">
      <c r="A2008" t="s">
        <v>1053</v>
      </c>
      <c r="B2008" t="s">
        <v>320</v>
      </c>
    </row>
    <row r="2009" spans="1:2" x14ac:dyDescent="0.25">
      <c r="A2009" t="s">
        <v>1054</v>
      </c>
      <c r="B2009">
        <v>36</v>
      </c>
    </row>
    <row r="2010" spans="1:2" x14ac:dyDescent="0.25">
      <c r="A2010" t="s">
        <v>1055</v>
      </c>
      <c r="B2010" t="s">
        <v>320</v>
      </c>
    </row>
    <row r="2011" spans="1:2" x14ac:dyDescent="0.25">
      <c r="A2011" t="s">
        <v>1056</v>
      </c>
      <c r="B2011">
        <v>36</v>
      </c>
    </row>
    <row r="2012" spans="1:2" x14ac:dyDescent="0.25">
      <c r="A2012" t="s">
        <v>1057</v>
      </c>
      <c r="B2012" t="s">
        <v>320</v>
      </c>
    </row>
    <row r="2013" spans="1:2" x14ac:dyDescent="0.25">
      <c r="A2013" t="s">
        <v>1058</v>
      </c>
      <c r="B2013">
        <v>36</v>
      </c>
    </row>
    <row r="2014" spans="1:2" x14ac:dyDescent="0.25">
      <c r="A2014" t="s">
        <v>1059</v>
      </c>
      <c r="B2014" t="s">
        <v>320</v>
      </c>
    </row>
    <row r="2015" spans="1:2" x14ac:dyDescent="0.25">
      <c r="A2015" t="s">
        <v>1060</v>
      </c>
      <c r="B2015">
        <v>36</v>
      </c>
    </row>
    <row r="2016" spans="1:2" x14ac:dyDescent="0.25">
      <c r="A2016" t="s">
        <v>1061</v>
      </c>
      <c r="B2016" t="s">
        <v>320</v>
      </c>
    </row>
    <row r="2017" spans="1:2" x14ac:dyDescent="0.25">
      <c r="A2017" t="s">
        <v>1062</v>
      </c>
      <c r="B2017">
        <v>36</v>
      </c>
    </row>
    <row r="2018" spans="1:2" x14ac:dyDescent="0.25">
      <c r="A2018" t="s">
        <v>1063</v>
      </c>
      <c r="B2018" t="s">
        <v>320</v>
      </c>
    </row>
    <row r="2019" spans="1:2" x14ac:dyDescent="0.25">
      <c r="A2019" t="s">
        <v>1064</v>
      </c>
      <c r="B2019">
        <v>36</v>
      </c>
    </row>
    <row r="2020" spans="1:2" x14ac:dyDescent="0.25">
      <c r="A2020" t="s">
        <v>1065</v>
      </c>
      <c r="B2020" t="s">
        <v>320</v>
      </c>
    </row>
    <row r="2021" spans="1:2" x14ac:dyDescent="0.25">
      <c r="A2021" t="s">
        <v>1066</v>
      </c>
      <c r="B2021">
        <v>36</v>
      </c>
    </row>
    <row r="2022" spans="1:2" x14ac:dyDescent="0.25">
      <c r="A2022" t="s">
        <v>1067</v>
      </c>
      <c r="B2022" t="s">
        <v>320</v>
      </c>
    </row>
    <row r="2023" spans="1:2" x14ac:dyDescent="0.25">
      <c r="A2023" t="s">
        <v>1068</v>
      </c>
      <c r="B2023">
        <v>36</v>
      </c>
    </row>
    <row r="2024" spans="1:2" x14ac:dyDescent="0.25">
      <c r="A2024" t="s">
        <v>1069</v>
      </c>
      <c r="B2024" t="s">
        <v>320</v>
      </c>
    </row>
    <row r="2025" spans="1:2" x14ac:dyDescent="0.25">
      <c r="A2025" t="s">
        <v>1070</v>
      </c>
      <c r="B2025">
        <v>36</v>
      </c>
    </row>
    <row r="2026" spans="1:2" x14ac:dyDescent="0.25">
      <c r="A2026" t="s">
        <v>1071</v>
      </c>
      <c r="B2026" t="s">
        <v>320</v>
      </c>
    </row>
    <row r="2027" spans="1:2" x14ac:dyDescent="0.25">
      <c r="A2027" t="s">
        <v>1072</v>
      </c>
      <c r="B2027">
        <v>36</v>
      </c>
    </row>
    <row r="2028" spans="1:2" x14ac:dyDescent="0.25">
      <c r="A2028" t="s">
        <v>1073</v>
      </c>
      <c r="B2028" t="s">
        <v>320</v>
      </c>
    </row>
    <row r="2029" spans="1:2" x14ac:dyDescent="0.25">
      <c r="A2029" t="s">
        <v>1074</v>
      </c>
      <c r="B2029">
        <v>36</v>
      </c>
    </row>
    <row r="2030" spans="1:2" x14ac:dyDescent="0.25">
      <c r="A2030" t="s">
        <v>1075</v>
      </c>
      <c r="B2030" t="s">
        <v>320</v>
      </c>
    </row>
    <row r="2031" spans="1:2" x14ac:dyDescent="0.25">
      <c r="A2031" t="s">
        <v>1076</v>
      </c>
      <c r="B2031">
        <v>36</v>
      </c>
    </row>
    <row r="2032" spans="1:2" x14ac:dyDescent="0.25">
      <c r="A2032" t="s">
        <v>1077</v>
      </c>
      <c r="B2032" t="s">
        <v>320</v>
      </c>
    </row>
    <row r="2033" spans="1:2" x14ac:dyDescent="0.25">
      <c r="A2033" t="s">
        <v>815</v>
      </c>
      <c r="B2033" t="s">
        <v>1078</v>
      </c>
    </row>
    <row r="2034" spans="1:2" x14ac:dyDescent="0.25">
      <c r="A2034" t="s">
        <v>1079</v>
      </c>
      <c r="B2034" t="s">
        <v>1078</v>
      </c>
    </row>
    <row r="2035" spans="1:2" x14ac:dyDescent="0.25">
      <c r="A2035" t="s">
        <v>1080</v>
      </c>
      <c r="B2035" t="s">
        <v>1078</v>
      </c>
    </row>
    <row r="2036" spans="1:2" x14ac:dyDescent="0.25">
      <c r="A2036" t="s">
        <v>1081</v>
      </c>
      <c r="B2036" t="s">
        <v>1078</v>
      </c>
    </row>
    <row r="2037" spans="1:2" x14ac:dyDescent="0.25">
      <c r="A2037" t="s">
        <v>1082</v>
      </c>
      <c r="B2037" t="s">
        <v>1078</v>
      </c>
    </row>
    <row r="2038" spans="1:2" x14ac:dyDescent="0.25">
      <c r="A2038" t="s">
        <v>816</v>
      </c>
      <c r="B2038" t="s">
        <v>1078</v>
      </c>
    </row>
    <row r="2039" spans="1:2" x14ac:dyDescent="0.25">
      <c r="A2039" t="s">
        <v>1083</v>
      </c>
      <c r="B2039" t="s">
        <v>1078</v>
      </c>
    </row>
    <row r="2040" spans="1:2" x14ac:dyDescent="0.25">
      <c r="A2040" t="s">
        <v>1084</v>
      </c>
      <c r="B2040" t="s">
        <v>1078</v>
      </c>
    </row>
    <row r="2041" spans="1:2" x14ac:dyDescent="0.25">
      <c r="A2041" t="s">
        <v>1085</v>
      </c>
      <c r="B2041" t="s">
        <v>1078</v>
      </c>
    </row>
    <row r="2042" spans="1:2" x14ac:dyDescent="0.25">
      <c r="A2042" t="s">
        <v>817</v>
      </c>
      <c r="B2042" t="s">
        <v>1078</v>
      </c>
    </row>
    <row r="2043" spans="1:2" x14ac:dyDescent="0.25">
      <c r="A2043" t="s">
        <v>818</v>
      </c>
      <c r="B2043" t="s">
        <v>1078</v>
      </c>
    </row>
    <row r="2044" spans="1:2" x14ac:dyDescent="0.25">
      <c r="A2044" t="s">
        <v>819</v>
      </c>
      <c r="B2044" t="s">
        <v>1078</v>
      </c>
    </row>
    <row r="2045" spans="1:2" x14ac:dyDescent="0.25">
      <c r="A2045" t="s">
        <v>820</v>
      </c>
      <c r="B2045" t="s">
        <v>1078</v>
      </c>
    </row>
    <row r="2046" spans="1:2" x14ac:dyDescent="0.25">
      <c r="A2046" t="s">
        <v>1086</v>
      </c>
      <c r="B2046" t="s">
        <v>1078</v>
      </c>
    </row>
    <row r="2047" spans="1:2" x14ac:dyDescent="0.25">
      <c r="A2047" t="s">
        <v>1087</v>
      </c>
      <c r="B2047" t="s">
        <v>1078</v>
      </c>
    </row>
    <row r="2048" spans="1:2" x14ac:dyDescent="0.25">
      <c r="A2048" t="s">
        <v>1088</v>
      </c>
      <c r="B2048" t="s">
        <v>1078</v>
      </c>
    </row>
    <row r="2049" spans="1:3" x14ac:dyDescent="0.25">
      <c r="A2049" t="s">
        <v>821</v>
      </c>
      <c r="B2049" t="s">
        <v>1078</v>
      </c>
    </row>
    <row r="2050" spans="1:3" x14ac:dyDescent="0.25">
      <c r="A2050" t="s">
        <v>1089</v>
      </c>
      <c r="B2050" t="s">
        <v>1078</v>
      </c>
    </row>
    <row r="2051" spans="1:3" x14ac:dyDescent="0.25">
      <c r="A2051" t="s">
        <v>1090</v>
      </c>
      <c r="B2051" t="s">
        <v>1078</v>
      </c>
    </row>
    <row r="2052" spans="1:3" x14ac:dyDescent="0.25">
      <c r="A2052" t="s">
        <v>1091</v>
      </c>
      <c r="B2052" t="s">
        <v>1078</v>
      </c>
    </row>
    <row r="2053" spans="1:3" x14ac:dyDescent="0.25">
      <c r="A2053" t="s">
        <v>822</v>
      </c>
      <c r="B2053" t="s">
        <v>1207</v>
      </c>
      <c r="C2053" t="s">
        <v>1208</v>
      </c>
    </row>
    <row r="2054" spans="1:3" x14ac:dyDescent="0.25">
      <c r="A2054" t="s">
        <v>1028</v>
      </c>
      <c r="B2054" t="s">
        <v>1209</v>
      </c>
    </row>
    <row r="2055" spans="1:3" x14ac:dyDescent="0.25">
      <c r="A2055" t="s">
        <v>823</v>
      </c>
      <c r="B2055" t="s">
        <v>1207</v>
      </c>
      <c r="C2055" t="s">
        <v>1208</v>
      </c>
    </row>
    <row r="2056" spans="1:3" x14ac:dyDescent="0.25">
      <c r="A2056" t="s">
        <v>1028</v>
      </c>
      <c r="B2056" t="s">
        <v>1209</v>
      </c>
    </row>
    <row r="2057" spans="1:3" x14ac:dyDescent="0.25">
      <c r="A2057" t="s">
        <v>824</v>
      </c>
      <c r="B2057" t="s">
        <v>1207</v>
      </c>
      <c r="C2057" t="s">
        <v>1208</v>
      </c>
    </row>
    <row r="2058" spans="1:3" x14ac:dyDescent="0.25">
      <c r="A2058" t="s">
        <v>1028</v>
      </c>
      <c r="B2058" t="s">
        <v>1209</v>
      </c>
    </row>
    <row r="2059" spans="1:3" x14ac:dyDescent="0.25">
      <c r="A2059" t="s">
        <v>825</v>
      </c>
      <c r="B2059" t="s">
        <v>1207</v>
      </c>
      <c r="C2059" t="s">
        <v>1208</v>
      </c>
    </row>
    <row r="2060" spans="1:3" x14ac:dyDescent="0.25">
      <c r="A2060" t="s">
        <v>1028</v>
      </c>
      <c r="B2060" t="s">
        <v>1209</v>
      </c>
    </row>
    <row r="2061" spans="1:3" x14ac:dyDescent="0.25">
      <c r="A2061" t="s">
        <v>826</v>
      </c>
      <c r="B2061" t="s">
        <v>1207</v>
      </c>
      <c r="C2061" t="s">
        <v>1208</v>
      </c>
    </row>
    <row r="2062" spans="1:3" x14ac:dyDescent="0.25">
      <c r="A2062" t="s">
        <v>1028</v>
      </c>
      <c r="B2062" t="s">
        <v>1209</v>
      </c>
    </row>
    <row r="2063" spans="1:3" x14ac:dyDescent="0.25">
      <c r="A2063" t="s">
        <v>827</v>
      </c>
      <c r="B2063" t="s">
        <v>1207</v>
      </c>
      <c r="C2063" t="s">
        <v>1208</v>
      </c>
    </row>
    <row r="2064" spans="1:3" x14ac:dyDescent="0.25">
      <c r="A2064" t="s">
        <v>1028</v>
      </c>
      <c r="B2064" t="s">
        <v>1209</v>
      </c>
    </row>
    <row r="2065" spans="1:3" x14ac:dyDescent="0.25">
      <c r="A2065" t="s">
        <v>828</v>
      </c>
      <c r="B2065" t="s">
        <v>1207</v>
      </c>
      <c r="C2065" t="s">
        <v>1208</v>
      </c>
    </row>
    <row r="2066" spans="1:3" x14ac:dyDescent="0.25">
      <c r="A2066" t="s">
        <v>1028</v>
      </c>
      <c r="B2066" t="s">
        <v>1209</v>
      </c>
    </row>
    <row r="2067" spans="1:3" x14ac:dyDescent="0.25">
      <c r="A2067" t="s">
        <v>829</v>
      </c>
      <c r="B2067" t="s">
        <v>1207</v>
      </c>
      <c r="C2067" t="s">
        <v>1208</v>
      </c>
    </row>
    <row r="2068" spans="1:3" x14ac:dyDescent="0.25">
      <c r="A2068" t="s">
        <v>1028</v>
      </c>
      <c r="B2068" t="s">
        <v>1209</v>
      </c>
    </row>
    <row r="2069" spans="1:3" x14ac:dyDescent="0.25">
      <c r="A2069" t="s">
        <v>830</v>
      </c>
      <c r="B2069" t="s">
        <v>1026</v>
      </c>
    </row>
    <row r="2070" spans="1:3" x14ac:dyDescent="0.25">
      <c r="A2070" t="s">
        <v>831</v>
      </c>
    </row>
    <row r="2071" spans="1:3" x14ac:dyDescent="0.25">
      <c r="A2071" t="s">
        <v>832</v>
      </c>
      <c r="B2071">
        <v>0.45</v>
      </c>
    </row>
    <row r="2072" spans="1:3" x14ac:dyDescent="0.25">
      <c r="A2072" t="s">
        <v>833</v>
      </c>
    </row>
    <row r="2073" spans="1:3" x14ac:dyDescent="0.25">
      <c r="A2073" t="s">
        <v>834</v>
      </c>
    </row>
    <row r="2074" spans="1:3" x14ac:dyDescent="0.25">
      <c r="A2074" t="s">
        <v>835</v>
      </c>
    </row>
    <row r="2075" spans="1:3" x14ac:dyDescent="0.25">
      <c r="A2075" t="s">
        <v>836</v>
      </c>
    </row>
    <row r="2076" spans="1:3" x14ac:dyDescent="0.25">
      <c r="A2076" t="s">
        <v>837</v>
      </c>
    </row>
    <row r="2077" spans="1:3" x14ac:dyDescent="0.25">
      <c r="A2077" t="s">
        <v>838</v>
      </c>
      <c r="B2077" t="s">
        <v>1026</v>
      </c>
    </row>
    <row r="2078" spans="1:3" x14ac:dyDescent="0.25">
      <c r="A2078" t="s">
        <v>839</v>
      </c>
      <c r="B2078" t="s">
        <v>1026</v>
      </c>
    </row>
    <row r="2079" spans="1:3" x14ac:dyDescent="0.25">
      <c r="A2079" t="s">
        <v>840</v>
      </c>
      <c r="B2079" t="s">
        <v>1026</v>
      </c>
    </row>
    <row r="2080" spans="1:3" x14ac:dyDescent="0.25">
      <c r="A2080" t="s">
        <v>841</v>
      </c>
    </row>
    <row r="2081" spans="1:2" x14ac:dyDescent="0.25">
      <c r="A2081" t="s">
        <v>842</v>
      </c>
      <c r="B2081">
        <v>2</v>
      </c>
    </row>
    <row r="2082" spans="1:2" x14ac:dyDescent="0.25">
      <c r="A2082" t="s">
        <v>843</v>
      </c>
      <c r="B2082" t="s">
        <v>1038</v>
      </c>
    </row>
    <row r="2083" spans="1:2" x14ac:dyDescent="0.25">
      <c r="A2083" t="s">
        <v>844</v>
      </c>
      <c r="B2083" t="s">
        <v>1039</v>
      </c>
    </row>
    <row r="2084" spans="1:2" x14ac:dyDescent="0.25">
      <c r="A2084" t="s">
        <v>845</v>
      </c>
      <c r="B2084" t="s">
        <v>307</v>
      </c>
    </row>
    <row r="2085" spans="1:2" x14ac:dyDescent="0.25">
      <c r="A2085" t="s">
        <v>846</v>
      </c>
      <c r="B2085" t="s">
        <v>1092</v>
      </c>
    </row>
    <row r="2086" spans="1:2" x14ac:dyDescent="0.25">
      <c r="A2086" t="s">
        <v>847</v>
      </c>
      <c r="B2086">
        <v>35</v>
      </c>
    </row>
    <row r="2087" spans="1:2" x14ac:dyDescent="0.25">
      <c r="A2087" t="s">
        <v>848</v>
      </c>
      <c r="B2087" t="s">
        <v>315</v>
      </c>
    </row>
    <row r="2088" spans="1:2" x14ac:dyDescent="0.25">
      <c r="A2088" t="s">
        <v>849</v>
      </c>
      <c r="B2088">
        <v>0</v>
      </c>
    </row>
    <row r="2089" spans="1:2" x14ac:dyDescent="0.25">
      <c r="A2089" t="s">
        <v>850</v>
      </c>
      <c r="B2089">
        <v>16</v>
      </c>
    </row>
    <row r="2090" spans="1:2" x14ac:dyDescent="0.25">
      <c r="A2090" t="s">
        <v>851</v>
      </c>
      <c r="B2090">
        <v>21</v>
      </c>
    </row>
    <row r="2091" spans="1:2" x14ac:dyDescent="0.25">
      <c r="A2091" t="s">
        <v>852</v>
      </c>
      <c r="B2091">
        <v>30</v>
      </c>
    </row>
    <row r="2092" spans="1:2" x14ac:dyDescent="0.25">
      <c r="A2092" t="s">
        <v>853</v>
      </c>
      <c r="B2092">
        <v>0.5</v>
      </c>
    </row>
    <row r="2093" spans="1:2" x14ac:dyDescent="0.25">
      <c r="A2093" t="s">
        <v>854</v>
      </c>
      <c r="B2093">
        <v>2</v>
      </c>
    </row>
    <row r="2094" spans="1:2" x14ac:dyDescent="0.25">
      <c r="A2094" t="s">
        <v>855</v>
      </c>
      <c r="B2094">
        <v>65</v>
      </c>
    </row>
    <row r="2095" spans="1:2" x14ac:dyDescent="0.25">
      <c r="A2095" t="s">
        <v>856</v>
      </c>
      <c r="B2095" t="s">
        <v>1093</v>
      </c>
    </row>
    <row r="2096" spans="1:2" x14ac:dyDescent="0.25">
      <c r="A2096" t="s">
        <v>857</v>
      </c>
      <c r="B2096">
        <v>1</v>
      </c>
    </row>
    <row r="2097" spans="1:2" x14ac:dyDescent="0.25">
      <c r="A2097" t="s">
        <v>858</v>
      </c>
      <c r="B2097">
        <v>1</v>
      </c>
    </row>
    <row r="2098" spans="1:2" x14ac:dyDescent="0.25">
      <c r="A2098" t="s">
        <v>859</v>
      </c>
      <c r="B2098" t="s">
        <v>303</v>
      </c>
    </row>
    <row r="2099" spans="1:2" x14ac:dyDescent="0.25">
      <c r="A2099" t="s">
        <v>860</v>
      </c>
      <c r="B2099" t="s">
        <v>303</v>
      </c>
    </row>
    <row r="2100" spans="1:2" x14ac:dyDescent="0.25">
      <c r="A2100" t="s">
        <v>861</v>
      </c>
      <c r="B2100">
        <v>0</v>
      </c>
    </row>
    <row r="2101" spans="1:2" x14ac:dyDescent="0.25">
      <c r="A2101" t="s">
        <v>862</v>
      </c>
      <c r="B2101">
        <v>0</v>
      </c>
    </row>
    <row r="2102" spans="1:2" x14ac:dyDescent="0.25">
      <c r="A2102" t="s">
        <v>863</v>
      </c>
      <c r="B2102">
        <v>0</v>
      </c>
    </row>
    <row r="2103" spans="1:2" x14ac:dyDescent="0.25">
      <c r="A2103" t="s">
        <v>864</v>
      </c>
      <c r="B2103">
        <v>36</v>
      </c>
    </row>
    <row r="2104" spans="1:2" x14ac:dyDescent="0.25">
      <c r="A2104" t="s">
        <v>865</v>
      </c>
      <c r="B2104" t="s">
        <v>320</v>
      </c>
    </row>
    <row r="2105" spans="1:2" x14ac:dyDescent="0.25">
      <c r="A2105" t="s">
        <v>866</v>
      </c>
      <c r="B2105">
        <v>1</v>
      </c>
    </row>
    <row r="2106" spans="1:2" x14ac:dyDescent="0.25">
      <c r="A2106" t="s">
        <v>867</v>
      </c>
      <c r="B2106">
        <v>1</v>
      </c>
    </row>
    <row r="2107" spans="1:2" x14ac:dyDescent="0.25">
      <c r="A2107" t="s">
        <v>868</v>
      </c>
      <c r="B2107">
        <v>0</v>
      </c>
    </row>
    <row r="2108" spans="1:2" x14ac:dyDescent="0.25">
      <c r="A2108" t="s">
        <v>869</v>
      </c>
      <c r="B2108">
        <v>0</v>
      </c>
    </row>
    <row r="2109" spans="1:2" x14ac:dyDescent="0.25">
      <c r="A2109" t="s">
        <v>870</v>
      </c>
      <c r="B2109">
        <v>0</v>
      </c>
    </row>
    <row r="2110" spans="1:2" x14ac:dyDescent="0.25">
      <c r="A2110" t="s">
        <v>871</v>
      </c>
      <c r="B2110">
        <v>0</v>
      </c>
    </row>
    <row r="2111" spans="1:2" x14ac:dyDescent="0.25">
      <c r="A2111" t="s">
        <v>872</v>
      </c>
      <c r="B2111">
        <v>0</v>
      </c>
    </row>
    <row r="2112" spans="1:2" x14ac:dyDescent="0.25">
      <c r="A2112" t="s">
        <v>873</v>
      </c>
      <c r="B2112">
        <v>0</v>
      </c>
    </row>
    <row r="2113" spans="1:2" x14ac:dyDescent="0.25">
      <c r="A2113" t="s">
        <v>874</v>
      </c>
      <c r="B2113">
        <v>0</v>
      </c>
    </row>
    <row r="2114" spans="1:2" x14ac:dyDescent="0.25">
      <c r="A2114" t="s">
        <v>875</v>
      </c>
      <c r="B2114">
        <v>0</v>
      </c>
    </row>
    <row r="2115" spans="1:2" x14ac:dyDescent="0.25">
      <c r="A2115" t="s">
        <v>876</v>
      </c>
      <c r="B2115">
        <v>1</v>
      </c>
    </row>
    <row r="2116" spans="1:2" x14ac:dyDescent="0.25">
      <c r="A2116" t="s">
        <v>877</v>
      </c>
      <c r="B2116">
        <v>1</v>
      </c>
    </row>
    <row r="2117" spans="1:2" x14ac:dyDescent="0.25">
      <c r="A2117" t="s">
        <v>878</v>
      </c>
      <c r="B2117">
        <v>1</v>
      </c>
    </row>
    <row r="2118" spans="1:2" x14ac:dyDescent="0.25">
      <c r="A2118" t="s">
        <v>879</v>
      </c>
      <c r="B2118">
        <v>1</v>
      </c>
    </row>
    <row r="2119" spans="1:2" x14ac:dyDescent="0.25">
      <c r="A2119" t="s">
        <v>880</v>
      </c>
      <c r="B2119">
        <v>1</v>
      </c>
    </row>
    <row r="2120" spans="1:2" x14ac:dyDescent="0.25">
      <c r="A2120" t="s">
        <v>881</v>
      </c>
      <c r="B2120">
        <v>1</v>
      </c>
    </row>
    <row r="2121" spans="1:2" x14ac:dyDescent="0.25">
      <c r="A2121" t="s">
        <v>882</v>
      </c>
      <c r="B2121">
        <v>1</v>
      </c>
    </row>
    <row r="2122" spans="1:2" x14ac:dyDescent="0.25">
      <c r="A2122" t="s">
        <v>883</v>
      </c>
      <c r="B2122">
        <v>1</v>
      </c>
    </row>
    <row r="2123" spans="1:2" x14ac:dyDescent="0.25">
      <c r="A2123" t="s">
        <v>884</v>
      </c>
      <c r="B2123">
        <v>1</v>
      </c>
    </row>
    <row r="2124" spans="1:2" x14ac:dyDescent="0.25">
      <c r="A2124" t="s">
        <v>885</v>
      </c>
      <c r="B2124">
        <v>1</v>
      </c>
    </row>
    <row r="2125" spans="1:2" x14ac:dyDescent="0.25">
      <c r="A2125" t="s">
        <v>886</v>
      </c>
      <c r="B2125">
        <v>1</v>
      </c>
    </row>
    <row r="2126" spans="1:2" x14ac:dyDescent="0.25">
      <c r="A2126" t="s">
        <v>887</v>
      </c>
      <c r="B2126">
        <v>1</v>
      </c>
    </row>
    <row r="2127" spans="1:2" x14ac:dyDescent="0.25">
      <c r="A2127" t="s">
        <v>888</v>
      </c>
      <c r="B2127">
        <v>1</v>
      </c>
    </row>
    <row r="2128" spans="1:2" x14ac:dyDescent="0.25">
      <c r="A2128" t="s">
        <v>889</v>
      </c>
      <c r="B2128">
        <v>1</v>
      </c>
    </row>
    <row r="2129" spans="1:2" x14ac:dyDescent="0.25">
      <c r="A2129" t="s">
        <v>890</v>
      </c>
      <c r="B2129">
        <v>1</v>
      </c>
    </row>
    <row r="2130" spans="1:2" x14ac:dyDescent="0.25">
      <c r="A2130" t="s">
        <v>891</v>
      </c>
      <c r="B2130">
        <v>1</v>
      </c>
    </row>
    <row r="2131" spans="1:2" x14ac:dyDescent="0.25">
      <c r="A2131" t="s">
        <v>892</v>
      </c>
      <c r="B2131">
        <v>1</v>
      </c>
    </row>
    <row r="2132" spans="1:2" x14ac:dyDescent="0.25">
      <c r="A2132" t="s">
        <v>893</v>
      </c>
      <c r="B2132">
        <v>1</v>
      </c>
    </row>
    <row r="2133" spans="1:2" x14ac:dyDescent="0.25">
      <c r="A2133" t="s">
        <v>894</v>
      </c>
      <c r="B2133">
        <v>1</v>
      </c>
    </row>
    <row r="2134" spans="1:2" x14ac:dyDescent="0.25">
      <c r="A2134" t="s">
        <v>895</v>
      </c>
      <c r="B2134">
        <v>1</v>
      </c>
    </row>
    <row r="2135" spans="1:2" x14ac:dyDescent="0.25">
      <c r="A2135" t="s">
        <v>896</v>
      </c>
      <c r="B2135">
        <v>1</v>
      </c>
    </row>
    <row r="2136" spans="1:2" x14ac:dyDescent="0.25">
      <c r="A2136" t="s">
        <v>897</v>
      </c>
      <c r="B2136">
        <v>1</v>
      </c>
    </row>
    <row r="2137" spans="1:2" x14ac:dyDescent="0.25">
      <c r="A2137" t="s">
        <v>898</v>
      </c>
      <c r="B2137">
        <v>1</v>
      </c>
    </row>
    <row r="2138" spans="1:2" x14ac:dyDescent="0.25">
      <c r="A2138" t="s">
        <v>899</v>
      </c>
      <c r="B2138">
        <v>0.5</v>
      </c>
    </row>
    <row r="2139" spans="1:2" x14ac:dyDescent="0.25">
      <c r="A2139" t="s">
        <v>900</v>
      </c>
      <c r="B2139">
        <v>0.85</v>
      </c>
    </row>
    <row r="2140" spans="1:2" x14ac:dyDescent="0.25">
      <c r="A2140" t="s">
        <v>901</v>
      </c>
      <c r="B2140">
        <v>1</v>
      </c>
    </row>
    <row r="2141" spans="1:2" x14ac:dyDescent="0.25">
      <c r="A2141" t="s">
        <v>902</v>
      </c>
      <c r="B2141">
        <v>0.5</v>
      </c>
    </row>
    <row r="2142" spans="1:2" x14ac:dyDescent="0.25">
      <c r="A2142" t="s">
        <v>903</v>
      </c>
      <c r="B2142">
        <v>0.85</v>
      </c>
    </row>
    <row r="2143" spans="1:2" x14ac:dyDescent="0.25">
      <c r="A2143" t="s">
        <v>904</v>
      </c>
      <c r="B2143">
        <v>1</v>
      </c>
    </row>
    <row r="2144" spans="1:2" x14ac:dyDescent="0.25">
      <c r="A2144" t="s">
        <v>905</v>
      </c>
      <c r="B2144" t="s">
        <v>1094</v>
      </c>
    </row>
    <row r="2145" spans="1:2" x14ac:dyDescent="0.25">
      <c r="A2145" t="s">
        <v>906</v>
      </c>
      <c r="B2145" t="s">
        <v>1094</v>
      </c>
    </row>
    <row r="2146" spans="1:2" x14ac:dyDescent="0.25">
      <c r="A2146" t="s">
        <v>907</v>
      </c>
      <c r="B2146">
        <v>36</v>
      </c>
    </row>
    <row r="2147" spans="1:2" x14ac:dyDescent="0.25">
      <c r="A2147" t="s">
        <v>908</v>
      </c>
      <c r="B2147">
        <v>36</v>
      </c>
    </row>
    <row r="2148" spans="1:2" x14ac:dyDescent="0.25">
      <c r="A2148" t="s">
        <v>909</v>
      </c>
      <c r="B2148">
        <v>36</v>
      </c>
    </row>
    <row r="2149" spans="1:2" x14ac:dyDescent="0.25">
      <c r="A2149" t="s">
        <v>910</v>
      </c>
      <c r="B2149">
        <v>36</v>
      </c>
    </row>
    <row r="2150" spans="1:2" x14ac:dyDescent="0.25">
      <c r="A2150" t="s">
        <v>911</v>
      </c>
      <c r="B2150">
        <v>0</v>
      </c>
    </row>
    <row r="2151" spans="1:2" x14ac:dyDescent="0.25">
      <c r="A2151" t="s">
        <v>912</v>
      </c>
      <c r="B2151">
        <v>1</v>
      </c>
    </row>
    <row r="2152" spans="1:2" x14ac:dyDescent="0.25">
      <c r="A2152" t="s">
        <v>913</v>
      </c>
      <c r="B2152">
        <v>0</v>
      </c>
    </row>
    <row r="2153" spans="1:2" x14ac:dyDescent="0.25">
      <c r="A2153" t="s">
        <v>914</v>
      </c>
      <c r="B2153">
        <v>0</v>
      </c>
    </row>
    <row r="2154" spans="1:2" x14ac:dyDescent="0.25">
      <c r="A2154" t="s">
        <v>915</v>
      </c>
      <c r="B2154">
        <v>0</v>
      </c>
    </row>
    <row r="2155" spans="1:2" x14ac:dyDescent="0.25">
      <c r="A2155" t="s">
        <v>916</v>
      </c>
      <c r="B2155">
        <v>0</v>
      </c>
    </row>
    <row r="2156" spans="1:2" x14ac:dyDescent="0.25">
      <c r="A2156" t="s">
        <v>970</v>
      </c>
      <c r="B2156">
        <v>0</v>
      </c>
    </row>
    <row r="2157" spans="1:2" x14ac:dyDescent="0.25">
      <c r="A2157" t="s">
        <v>919</v>
      </c>
      <c r="B2157">
        <v>0</v>
      </c>
    </row>
    <row r="2158" spans="1:2" x14ac:dyDescent="0.25">
      <c r="A2158" t="s">
        <v>920</v>
      </c>
      <c r="B2158">
        <v>0.75</v>
      </c>
    </row>
    <row r="2159" spans="1:2" x14ac:dyDescent="0.25">
      <c r="A2159" t="s">
        <v>921</v>
      </c>
      <c r="B2159">
        <v>0.75</v>
      </c>
    </row>
    <row r="2160" spans="1:2" x14ac:dyDescent="0.25">
      <c r="A2160" t="s">
        <v>922</v>
      </c>
      <c r="B2160">
        <v>0.75</v>
      </c>
    </row>
    <row r="2161" spans="1:2" x14ac:dyDescent="0.25">
      <c r="A2161" t="s">
        <v>923</v>
      </c>
      <c r="B2161">
        <v>0.75</v>
      </c>
    </row>
    <row r="2162" spans="1:2" x14ac:dyDescent="0.25">
      <c r="A2162" t="s">
        <v>924</v>
      </c>
      <c r="B2162">
        <v>0.75</v>
      </c>
    </row>
    <row r="2163" spans="1:2" x14ac:dyDescent="0.25">
      <c r="A2163" t="s">
        <v>925</v>
      </c>
      <c r="B2163">
        <v>0.75</v>
      </c>
    </row>
    <row r="2164" spans="1:2" x14ac:dyDescent="0.25">
      <c r="A2164" t="s">
        <v>926</v>
      </c>
      <c r="B2164" t="s">
        <v>537</v>
      </c>
    </row>
    <row r="2165" spans="1:2" x14ac:dyDescent="0.25">
      <c r="A2165" t="s">
        <v>927</v>
      </c>
      <c r="B2165">
        <v>0</v>
      </c>
    </row>
    <row r="2166" spans="1:2" x14ac:dyDescent="0.25">
      <c r="A2166" t="s">
        <v>928</v>
      </c>
      <c r="B2166">
        <v>0</v>
      </c>
    </row>
    <row r="2167" spans="1:2" x14ac:dyDescent="0.25">
      <c r="A2167" t="s">
        <v>929</v>
      </c>
      <c r="B2167">
        <v>0</v>
      </c>
    </row>
    <row r="2168" spans="1:2" x14ac:dyDescent="0.25">
      <c r="A2168" t="s">
        <v>930</v>
      </c>
      <c r="B2168">
        <v>0</v>
      </c>
    </row>
    <row r="2169" spans="1:2" x14ac:dyDescent="0.25">
      <c r="A2169" t="s">
        <v>931</v>
      </c>
      <c r="B2169">
        <v>0</v>
      </c>
    </row>
    <row r="2170" spans="1:2" x14ac:dyDescent="0.25">
      <c r="A2170" t="s">
        <v>932</v>
      </c>
      <c r="B2170">
        <v>0</v>
      </c>
    </row>
    <row r="2171" spans="1:2" x14ac:dyDescent="0.25">
      <c r="A2171" t="s">
        <v>933</v>
      </c>
      <c r="B2171">
        <v>0</v>
      </c>
    </row>
    <row r="2172" spans="1:2" x14ac:dyDescent="0.25">
      <c r="A2172" t="s">
        <v>934</v>
      </c>
      <c r="B2172" t="s">
        <v>551</v>
      </c>
    </row>
    <row r="2173" spans="1:2" x14ac:dyDescent="0.25">
      <c r="A2173" t="s">
        <v>935</v>
      </c>
      <c r="B2173">
        <v>0.75</v>
      </c>
    </row>
    <row r="2174" spans="1:2" x14ac:dyDescent="0.25">
      <c r="A2174" t="s">
        <v>936</v>
      </c>
      <c r="B2174" t="s">
        <v>551</v>
      </c>
    </row>
    <row r="2175" spans="1:2" x14ac:dyDescent="0.25">
      <c r="A2175" t="s">
        <v>937</v>
      </c>
      <c r="B2175">
        <v>0.625</v>
      </c>
    </row>
    <row r="2176" spans="1:2" x14ac:dyDescent="0.25">
      <c r="A2176" t="s">
        <v>938</v>
      </c>
      <c r="B2176" t="s">
        <v>551</v>
      </c>
    </row>
    <row r="2177" spans="1:2" x14ac:dyDescent="0.25">
      <c r="A2177" t="s">
        <v>939</v>
      </c>
      <c r="B2177">
        <v>0.625</v>
      </c>
    </row>
    <row r="2178" spans="1:2" x14ac:dyDescent="0.25">
      <c r="A2178" t="s">
        <v>940</v>
      </c>
      <c r="B2178" t="s">
        <v>551</v>
      </c>
    </row>
    <row r="2179" spans="1:2" x14ac:dyDescent="0.25">
      <c r="A2179" t="s">
        <v>941</v>
      </c>
      <c r="B2179">
        <v>0.625</v>
      </c>
    </row>
    <row r="2180" spans="1:2" x14ac:dyDescent="0.25">
      <c r="A2180" t="s">
        <v>942</v>
      </c>
      <c r="B2180" t="s">
        <v>551</v>
      </c>
    </row>
    <row r="2181" spans="1:2" x14ac:dyDescent="0.25">
      <c r="A2181" t="s">
        <v>943</v>
      </c>
      <c r="B2181">
        <v>0.625</v>
      </c>
    </row>
    <row r="2182" spans="1:2" x14ac:dyDescent="0.25">
      <c r="A2182" t="s">
        <v>944</v>
      </c>
      <c r="B2182" t="s">
        <v>551</v>
      </c>
    </row>
    <row r="2183" spans="1:2" x14ac:dyDescent="0.25">
      <c r="A2183" t="s">
        <v>945</v>
      </c>
      <c r="B2183">
        <v>0.625</v>
      </c>
    </row>
    <row r="2184" spans="1:2" x14ac:dyDescent="0.25">
      <c r="A2184" t="s">
        <v>946</v>
      </c>
      <c r="B2184" t="s">
        <v>551</v>
      </c>
    </row>
    <row r="2185" spans="1:2" x14ac:dyDescent="0.25">
      <c r="A2185" t="s">
        <v>947</v>
      </c>
      <c r="B2185">
        <v>0.625</v>
      </c>
    </row>
    <row r="2186" spans="1:2" x14ac:dyDescent="0.25">
      <c r="A2186" t="s">
        <v>948</v>
      </c>
      <c r="B2186">
        <v>0</v>
      </c>
    </row>
    <row r="2187" spans="1:2" x14ac:dyDescent="0.25">
      <c r="A2187" t="s">
        <v>949</v>
      </c>
      <c r="B2187">
        <v>0</v>
      </c>
    </row>
    <row r="2188" spans="1:2" x14ac:dyDescent="0.25">
      <c r="A2188" t="s">
        <v>950</v>
      </c>
      <c r="B2188">
        <v>0</v>
      </c>
    </row>
    <row r="2189" spans="1:2" x14ac:dyDescent="0.25">
      <c r="A2189" t="s">
        <v>951</v>
      </c>
      <c r="B2189">
        <v>0</v>
      </c>
    </row>
    <row r="2190" spans="1:2" x14ac:dyDescent="0.25">
      <c r="A2190" t="s">
        <v>952</v>
      </c>
      <c r="B2190">
        <v>0</v>
      </c>
    </row>
    <row r="2191" spans="1:2" x14ac:dyDescent="0.25">
      <c r="A2191" t="s">
        <v>953</v>
      </c>
      <c r="B2191">
        <v>0</v>
      </c>
    </row>
    <row r="2192" spans="1:2" x14ac:dyDescent="0.25">
      <c r="A2192" t="s">
        <v>954</v>
      </c>
      <c r="B2192">
        <v>0</v>
      </c>
    </row>
    <row r="2193" spans="1:2" x14ac:dyDescent="0.25">
      <c r="A2193" t="s">
        <v>955</v>
      </c>
      <c r="B2193">
        <v>0</v>
      </c>
    </row>
    <row r="2194" spans="1:2" x14ac:dyDescent="0.25">
      <c r="A2194" t="s">
        <v>956</v>
      </c>
      <c r="B2194">
        <v>0</v>
      </c>
    </row>
    <row r="2195" spans="1:2" x14ac:dyDescent="0.25">
      <c r="A2195" t="s">
        <v>957</v>
      </c>
      <c r="B2195">
        <v>0</v>
      </c>
    </row>
    <row r="2196" spans="1:2" x14ac:dyDescent="0.25">
      <c r="A2196" t="s">
        <v>958</v>
      </c>
      <c r="B2196">
        <v>0</v>
      </c>
    </row>
    <row r="2197" spans="1:2" x14ac:dyDescent="0.25">
      <c r="A2197" t="s">
        <v>959</v>
      </c>
      <c r="B2197">
        <v>0</v>
      </c>
    </row>
    <row r="2198" spans="1:2" x14ac:dyDescent="0.25">
      <c r="A2198" t="s">
        <v>960</v>
      </c>
      <c r="B2198">
        <v>0</v>
      </c>
    </row>
    <row r="2199" spans="1:2" x14ac:dyDescent="0.25">
      <c r="A2199" t="s">
        <v>1095</v>
      </c>
      <c r="B2199" t="s">
        <v>551</v>
      </c>
    </row>
    <row r="2200" spans="1:2" x14ac:dyDescent="0.25">
      <c r="A2200" t="s">
        <v>1096</v>
      </c>
      <c r="B2200">
        <v>0.625</v>
      </c>
    </row>
    <row r="2201" spans="1:2" x14ac:dyDescent="0.25">
      <c r="A2201" t="s">
        <v>1097</v>
      </c>
      <c r="B2201">
        <v>0</v>
      </c>
    </row>
    <row r="2202" spans="1:2" x14ac:dyDescent="0.25">
      <c r="A2202" t="s">
        <v>1098</v>
      </c>
      <c r="B2202">
        <v>0</v>
      </c>
    </row>
    <row r="2203" spans="1:2" x14ac:dyDescent="0.25">
      <c r="A2203" t="s">
        <v>1099</v>
      </c>
      <c r="B2203">
        <v>0</v>
      </c>
    </row>
    <row r="2204" spans="1:2" x14ac:dyDescent="0.25">
      <c r="A2204" t="s">
        <v>1100</v>
      </c>
      <c r="B2204">
        <v>0</v>
      </c>
    </row>
    <row r="2205" spans="1:2" x14ac:dyDescent="0.25">
      <c r="A2205" t="s">
        <v>1101</v>
      </c>
      <c r="B2205">
        <v>0.75</v>
      </c>
    </row>
    <row r="2206" spans="1:2" x14ac:dyDescent="0.25">
      <c r="A2206" t="s">
        <v>1102</v>
      </c>
      <c r="B2206" t="s">
        <v>551</v>
      </c>
    </row>
    <row r="2207" spans="1:2" x14ac:dyDescent="0.25">
      <c r="A2207" t="s">
        <v>1103</v>
      </c>
      <c r="B2207">
        <v>0.625</v>
      </c>
    </row>
    <row r="2208" spans="1:2" x14ac:dyDescent="0.25">
      <c r="A2208" t="s">
        <v>1104</v>
      </c>
      <c r="B2208">
        <v>0</v>
      </c>
    </row>
    <row r="2209" spans="1:2" x14ac:dyDescent="0.25">
      <c r="A2209" t="s">
        <v>1105</v>
      </c>
      <c r="B2209">
        <v>0</v>
      </c>
    </row>
    <row r="2210" spans="1:2" x14ac:dyDescent="0.25">
      <c r="A2210" t="s">
        <v>1106</v>
      </c>
      <c r="B2210">
        <v>0</v>
      </c>
    </row>
    <row r="2211" spans="1:2" x14ac:dyDescent="0.25">
      <c r="A2211" t="s">
        <v>1107</v>
      </c>
      <c r="B2211">
        <v>0</v>
      </c>
    </row>
    <row r="2212" spans="1:2" x14ac:dyDescent="0.25">
      <c r="A2212" t="s">
        <v>1108</v>
      </c>
      <c r="B2212">
        <v>0.75</v>
      </c>
    </row>
    <row r="2213" spans="1:2" x14ac:dyDescent="0.25">
      <c r="A2213" t="s">
        <v>1109</v>
      </c>
      <c r="B2213" t="s">
        <v>551</v>
      </c>
    </row>
    <row r="2214" spans="1:2" x14ac:dyDescent="0.25">
      <c r="A2214" t="s">
        <v>1110</v>
      </c>
      <c r="B2214">
        <v>0.625</v>
      </c>
    </row>
    <row r="2215" spans="1:2" x14ac:dyDescent="0.25">
      <c r="A2215" t="s">
        <v>1111</v>
      </c>
      <c r="B2215">
        <v>0</v>
      </c>
    </row>
    <row r="2216" spans="1:2" x14ac:dyDescent="0.25">
      <c r="A2216" t="s">
        <v>1112</v>
      </c>
      <c r="B2216">
        <v>0</v>
      </c>
    </row>
    <row r="2217" spans="1:2" x14ac:dyDescent="0.25">
      <c r="A2217" t="s">
        <v>1113</v>
      </c>
      <c r="B2217">
        <v>0</v>
      </c>
    </row>
    <row r="2218" spans="1:2" x14ac:dyDescent="0.25">
      <c r="A2218" t="s">
        <v>1114</v>
      </c>
      <c r="B2218">
        <v>0</v>
      </c>
    </row>
    <row r="2219" spans="1:2" x14ac:dyDescent="0.25">
      <c r="A2219" t="s">
        <v>1115</v>
      </c>
      <c r="B2219">
        <v>0.75</v>
      </c>
    </row>
    <row r="2220" spans="1:2" x14ac:dyDescent="0.25">
      <c r="A2220" t="s">
        <v>1116</v>
      </c>
      <c r="B2220" t="s">
        <v>551</v>
      </c>
    </row>
    <row r="2221" spans="1:2" x14ac:dyDescent="0.25">
      <c r="A2221" t="s">
        <v>1117</v>
      </c>
      <c r="B2221">
        <v>0.625</v>
      </c>
    </row>
    <row r="2222" spans="1:2" x14ac:dyDescent="0.25">
      <c r="A2222" t="s">
        <v>1118</v>
      </c>
      <c r="B2222">
        <v>0</v>
      </c>
    </row>
    <row r="2223" spans="1:2" x14ac:dyDescent="0.25">
      <c r="A2223" t="s">
        <v>1119</v>
      </c>
      <c r="B2223">
        <v>0</v>
      </c>
    </row>
    <row r="2224" spans="1:2" x14ac:dyDescent="0.25">
      <c r="A2224" t="s">
        <v>1120</v>
      </c>
      <c r="B2224">
        <v>0</v>
      </c>
    </row>
    <row r="2225" spans="1:2" x14ac:dyDescent="0.25">
      <c r="A2225" t="s">
        <v>1121</v>
      </c>
      <c r="B2225">
        <v>0</v>
      </c>
    </row>
    <row r="2226" spans="1:2" x14ac:dyDescent="0.25">
      <c r="A2226" t="s">
        <v>1122</v>
      </c>
      <c r="B2226">
        <v>0.75</v>
      </c>
    </row>
    <row r="2227" spans="1:2" x14ac:dyDescent="0.25">
      <c r="A2227" t="s">
        <v>1123</v>
      </c>
      <c r="B2227" t="s">
        <v>551</v>
      </c>
    </row>
    <row r="2228" spans="1:2" x14ac:dyDescent="0.25">
      <c r="A2228" t="s">
        <v>1124</v>
      </c>
      <c r="B2228">
        <v>0.625</v>
      </c>
    </row>
    <row r="2229" spans="1:2" x14ac:dyDescent="0.25">
      <c r="A2229" t="s">
        <v>1125</v>
      </c>
      <c r="B2229">
        <v>0</v>
      </c>
    </row>
    <row r="2230" spans="1:2" x14ac:dyDescent="0.25">
      <c r="A2230" t="s">
        <v>1126</v>
      </c>
      <c r="B2230">
        <v>0</v>
      </c>
    </row>
    <row r="2231" spans="1:2" x14ac:dyDescent="0.25">
      <c r="A2231" t="s">
        <v>1127</v>
      </c>
      <c r="B2231">
        <v>0</v>
      </c>
    </row>
    <row r="2232" spans="1:2" x14ac:dyDescent="0.25">
      <c r="A2232" t="s">
        <v>1128</v>
      </c>
      <c r="B2232">
        <v>0</v>
      </c>
    </row>
    <row r="2233" spans="1:2" x14ac:dyDescent="0.25">
      <c r="A2233" t="s">
        <v>1129</v>
      </c>
      <c r="B2233">
        <v>0.75</v>
      </c>
    </row>
    <row r="2234" spans="1:2" x14ac:dyDescent="0.25">
      <c r="A2234" t="s">
        <v>1130</v>
      </c>
      <c r="B2234" t="s">
        <v>551</v>
      </c>
    </row>
    <row r="2235" spans="1:2" x14ac:dyDescent="0.25">
      <c r="A2235" t="s">
        <v>1131</v>
      </c>
      <c r="B2235">
        <v>0.625</v>
      </c>
    </row>
    <row r="2236" spans="1:2" x14ac:dyDescent="0.25">
      <c r="A2236" t="s">
        <v>1132</v>
      </c>
      <c r="B2236">
        <v>0</v>
      </c>
    </row>
    <row r="2237" spans="1:2" x14ac:dyDescent="0.25">
      <c r="A2237" t="s">
        <v>1133</v>
      </c>
      <c r="B2237">
        <v>0</v>
      </c>
    </row>
    <row r="2238" spans="1:2" x14ac:dyDescent="0.25">
      <c r="A2238" t="s">
        <v>1134</v>
      </c>
      <c r="B2238">
        <v>0</v>
      </c>
    </row>
    <row r="2239" spans="1:2" x14ac:dyDescent="0.25">
      <c r="A2239" t="s">
        <v>1135</v>
      </c>
      <c r="B2239">
        <v>0</v>
      </c>
    </row>
    <row r="2240" spans="1:2" x14ac:dyDescent="0.25">
      <c r="A2240" t="s">
        <v>1136</v>
      </c>
      <c r="B2240">
        <v>0.75</v>
      </c>
    </row>
    <row r="2241" spans="1:2" x14ac:dyDescent="0.25">
      <c r="A2241" t="s">
        <v>1137</v>
      </c>
      <c r="B2241" t="s">
        <v>551</v>
      </c>
    </row>
    <row r="2242" spans="1:2" x14ac:dyDescent="0.25">
      <c r="A2242" t="s">
        <v>1138</v>
      </c>
      <c r="B2242">
        <v>0.625</v>
      </c>
    </row>
    <row r="2243" spans="1:2" x14ac:dyDescent="0.25">
      <c r="A2243" t="s">
        <v>1139</v>
      </c>
      <c r="B2243">
        <v>0</v>
      </c>
    </row>
    <row r="2244" spans="1:2" x14ac:dyDescent="0.25">
      <c r="A2244" t="s">
        <v>1140</v>
      </c>
      <c r="B2244">
        <v>0</v>
      </c>
    </row>
    <row r="2245" spans="1:2" x14ac:dyDescent="0.25">
      <c r="A2245" t="s">
        <v>1141</v>
      </c>
      <c r="B2245">
        <v>0</v>
      </c>
    </row>
    <row r="2246" spans="1:2" x14ac:dyDescent="0.25">
      <c r="A2246" t="s">
        <v>1142</v>
      </c>
      <c r="B2246">
        <v>0</v>
      </c>
    </row>
    <row r="2247" spans="1:2" x14ac:dyDescent="0.25">
      <c r="A2247" t="s">
        <v>1143</v>
      </c>
      <c r="B2247">
        <v>0.75</v>
      </c>
    </row>
    <row r="2248" spans="1:2" x14ac:dyDescent="0.25">
      <c r="A2248" t="s">
        <v>1144</v>
      </c>
      <c r="B2248" t="s">
        <v>551</v>
      </c>
    </row>
    <row r="2249" spans="1:2" x14ac:dyDescent="0.25">
      <c r="A2249" t="s">
        <v>1145</v>
      </c>
      <c r="B2249">
        <v>0.625</v>
      </c>
    </row>
    <row r="2250" spans="1:2" x14ac:dyDescent="0.25">
      <c r="A2250" t="s">
        <v>1146</v>
      </c>
      <c r="B2250">
        <v>0</v>
      </c>
    </row>
    <row r="2251" spans="1:2" x14ac:dyDescent="0.25">
      <c r="A2251" t="s">
        <v>1147</v>
      </c>
      <c r="B2251">
        <v>0</v>
      </c>
    </row>
    <row r="2252" spans="1:2" x14ac:dyDescent="0.25">
      <c r="A2252" t="s">
        <v>1148</v>
      </c>
      <c r="B2252">
        <v>0</v>
      </c>
    </row>
    <row r="2253" spans="1:2" x14ac:dyDescent="0.25">
      <c r="A2253" t="s">
        <v>1149</v>
      </c>
      <c r="B2253">
        <v>0</v>
      </c>
    </row>
    <row r="2254" spans="1:2" x14ac:dyDescent="0.25">
      <c r="A2254" t="s">
        <v>1150</v>
      </c>
      <c r="B2254">
        <v>0.75</v>
      </c>
    </row>
    <row r="2255" spans="1:2" x14ac:dyDescent="0.25">
      <c r="A2255" t="s">
        <v>985</v>
      </c>
      <c r="B2255" t="s">
        <v>551</v>
      </c>
    </row>
    <row r="2256" spans="1:2" x14ac:dyDescent="0.25">
      <c r="A2256" t="s">
        <v>986</v>
      </c>
      <c r="B2256">
        <v>0.625</v>
      </c>
    </row>
    <row r="2257" spans="1:2" x14ac:dyDescent="0.25">
      <c r="A2257" t="s">
        <v>987</v>
      </c>
      <c r="B2257">
        <v>0</v>
      </c>
    </row>
    <row r="2258" spans="1:2" x14ac:dyDescent="0.25">
      <c r="A2258" t="s">
        <v>988</v>
      </c>
      <c r="B2258">
        <v>0</v>
      </c>
    </row>
    <row r="2259" spans="1:2" x14ac:dyDescent="0.25">
      <c r="A2259" t="s">
        <v>989</v>
      </c>
      <c r="B2259">
        <v>0</v>
      </c>
    </row>
    <row r="2260" spans="1:2" x14ac:dyDescent="0.25">
      <c r="A2260" t="s">
        <v>990</v>
      </c>
      <c r="B2260">
        <v>0</v>
      </c>
    </row>
    <row r="2261" spans="1:2" x14ac:dyDescent="0.25">
      <c r="A2261" t="s">
        <v>991</v>
      </c>
      <c r="B2261">
        <v>0.75</v>
      </c>
    </row>
    <row r="2262" spans="1:2" x14ac:dyDescent="0.25">
      <c r="A2262" t="s">
        <v>992</v>
      </c>
      <c r="B2262" t="s">
        <v>551</v>
      </c>
    </row>
    <row r="2263" spans="1:2" x14ac:dyDescent="0.25">
      <c r="A2263" t="s">
        <v>993</v>
      </c>
      <c r="B2263">
        <v>0.625</v>
      </c>
    </row>
    <row r="2264" spans="1:2" x14ac:dyDescent="0.25">
      <c r="A2264" t="s">
        <v>994</v>
      </c>
      <c r="B2264">
        <v>0</v>
      </c>
    </row>
    <row r="2265" spans="1:2" x14ac:dyDescent="0.25">
      <c r="A2265" t="s">
        <v>995</v>
      </c>
      <c r="B2265">
        <v>0</v>
      </c>
    </row>
    <row r="2266" spans="1:2" x14ac:dyDescent="0.25">
      <c r="A2266" t="s">
        <v>996</v>
      </c>
      <c r="B2266">
        <v>0</v>
      </c>
    </row>
    <row r="2267" spans="1:2" x14ac:dyDescent="0.25">
      <c r="A2267" t="s">
        <v>997</v>
      </c>
      <c r="B2267">
        <v>0</v>
      </c>
    </row>
    <row r="2268" spans="1:2" x14ac:dyDescent="0.25">
      <c r="A2268" t="s">
        <v>998</v>
      </c>
      <c r="B2268">
        <v>0.75</v>
      </c>
    </row>
    <row r="2269" spans="1:2" x14ac:dyDescent="0.25">
      <c r="A2269" t="s">
        <v>999</v>
      </c>
      <c r="B2269" t="s">
        <v>551</v>
      </c>
    </row>
    <row r="2270" spans="1:2" x14ac:dyDescent="0.25">
      <c r="A2270" t="s">
        <v>1000</v>
      </c>
      <c r="B2270">
        <v>0.625</v>
      </c>
    </row>
    <row r="2271" spans="1:2" x14ac:dyDescent="0.25">
      <c r="A2271" t="s">
        <v>1001</v>
      </c>
      <c r="B2271">
        <v>0</v>
      </c>
    </row>
    <row r="2272" spans="1:2" x14ac:dyDescent="0.25">
      <c r="A2272" t="s">
        <v>1002</v>
      </c>
      <c r="B2272">
        <v>0</v>
      </c>
    </row>
    <row r="2273" spans="1:2" x14ac:dyDescent="0.25">
      <c r="A2273" t="s">
        <v>1003</v>
      </c>
      <c r="B2273">
        <v>0</v>
      </c>
    </row>
    <row r="2274" spans="1:2" x14ac:dyDescent="0.25">
      <c r="A2274" t="s">
        <v>1004</v>
      </c>
      <c r="B2274">
        <v>0</v>
      </c>
    </row>
    <row r="2275" spans="1:2" x14ac:dyDescent="0.25">
      <c r="A2275" t="s">
        <v>1005</v>
      </c>
      <c r="B2275">
        <v>0.75</v>
      </c>
    </row>
    <row r="2276" spans="1:2" x14ac:dyDescent="0.25">
      <c r="A2276" t="s">
        <v>1151</v>
      </c>
      <c r="B2276" t="s">
        <v>551</v>
      </c>
    </row>
    <row r="2277" spans="1:2" x14ac:dyDescent="0.25">
      <c r="A2277" t="s">
        <v>1152</v>
      </c>
      <c r="B2277">
        <v>0.625</v>
      </c>
    </row>
    <row r="2278" spans="1:2" x14ac:dyDescent="0.25">
      <c r="A2278" t="s">
        <v>1153</v>
      </c>
      <c r="B2278">
        <v>0</v>
      </c>
    </row>
    <row r="2279" spans="1:2" x14ac:dyDescent="0.25">
      <c r="A2279" t="s">
        <v>1154</v>
      </c>
      <c r="B2279">
        <v>0</v>
      </c>
    </row>
    <row r="2280" spans="1:2" x14ac:dyDescent="0.25">
      <c r="A2280" t="s">
        <v>1155</v>
      </c>
      <c r="B2280">
        <v>0</v>
      </c>
    </row>
    <row r="2281" spans="1:2" x14ac:dyDescent="0.25">
      <c r="A2281" t="s">
        <v>1156</v>
      </c>
      <c r="B2281">
        <v>0</v>
      </c>
    </row>
    <row r="2282" spans="1:2" x14ac:dyDescent="0.25">
      <c r="A2282" t="s">
        <v>1157</v>
      </c>
      <c r="B2282">
        <v>0.75</v>
      </c>
    </row>
    <row r="2283" spans="1:2" x14ac:dyDescent="0.25">
      <c r="A2283" t="s">
        <v>1158</v>
      </c>
      <c r="B2283" t="s">
        <v>551</v>
      </c>
    </row>
    <row r="2284" spans="1:2" x14ac:dyDescent="0.25">
      <c r="A2284" t="s">
        <v>1159</v>
      </c>
      <c r="B2284">
        <v>0.625</v>
      </c>
    </row>
    <row r="2285" spans="1:2" x14ac:dyDescent="0.25">
      <c r="A2285" t="s">
        <v>1160</v>
      </c>
      <c r="B2285">
        <v>0</v>
      </c>
    </row>
    <row r="2286" spans="1:2" x14ac:dyDescent="0.25">
      <c r="A2286" t="s">
        <v>1161</v>
      </c>
      <c r="B2286">
        <v>0</v>
      </c>
    </row>
    <row r="2287" spans="1:2" x14ac:dyDescent="0.25">
      <c r="A2287" t="s">
        <v>1162</v>
      </c>
      <c r="B2287">
        <v>0</v>
      </c>
    </row>
    <row r="2288" spans="1:2" x14ac:dyDescent="0.25">
      <c r="A2288" t="s">
        <v>1163</v>
      </c>
      <c r="B2288">
        <v>0</v>
      </c>
    </row>
    <row r="2289" spans="1:2" x14ac:dyDescent="0.25">
      <c r="A2289" t="s">
        <v>1164</v>
      </c>
      <c r="B2289">
        <v>0.75</v>
      </c>
    </row>
    <row r="2290" spans="1:2" x14ac:dyDescent="0.25">
      <c r="A2290" t="s">
        <v>1165</v>
      </c>
      <c r="B2290" t="s">
        <v>551</v>
      </c>
    </row>
    <row r="2291" spans="1:2" x14ac:dyDescent="0.25">
      <c r="A2291" t="s">
        <v>1166</v>
      </c>
      <c r="B2291">
        <v>0.625</v>
      </c>
    </row>
    <row r="2292" spans="1:2" x14ac:dyDescent="0.25">
      <c r="A2292" t="s">
        <v>1167</v>
      </c>
      <c r="B2292">
        <v>0</v>
      </c>
    </row>
    <row r="2293" spans="1:2" x14ac:dyDescent="0.25">
      <c r="A2293" t="s">
        <v>1168</v>
      </c>
      <c r="B2293">
        <v>0</v>
      </c>
    </row>
    <row r="2294" spans="1:2" x14ac:dyDescent="0.25">
      <c r="A2294" t="s">
        <v>1169</v>
      </c>
      <c r="B2294">
        <v>0</v>
      </c>
    </row>
    <row r="2295" spans="1:2" x14ac:dyDescent="0.25">
      <c r="A2295" t="s">
        <v>1170</v>
      </c>
      <c r="B2295">
        <v>0</v>
      </c>
    </row>
    <row r="2296" spans="1:2" x14ac:dyDescent="0.25">
      <c r="A2296" t="s">
        <v>1171</v>
      </c>
      <c r="B2296">
        <v>0.75</v>
      </c>
    </row>
    <row r="2297" spans="1:2" x14ac:dyDescent="0.25">
      <c r="A2297" t="s">
        <v>1172</v>
      </c>
      <c r="B2297" t="s">
        <v>551</v>
      </c>
    </row>
    <row r="2298" spans="1:2" x14ac:dyDescent="0.25">
      <c r="A2298" t="s">
        <v>1173</v>
      </c>
      <c r="B2298">
        <v>0.625</v>
      </c>
    </row>
    <row r="2299" spans="1:2" x14ac:dyDescent="0.25">
      <c r="A2299" t="s">
        <v>1174</v>
      </c>
      <c r="B2299">
        <v>0</v>
      </c>
    </row>
    <row r="2300" spans="1:2" x14ac:dyDescent="0.25">
      <c r="A2300" t="s">
        <v>1175</v>
      </c>
      <c r="B2300">
        <v>0</v>
      </c>
    </row>
    <row r="2301" spans="1:2" x14ac:dyDescent="0.25">
      <c r="A2301" t="s">
        <v>1176</v>
      </c>
      <c r="B2301">
        <v>0</v>
      </c>
    </row>
    <row r="2302" spans="1:2" x14ac:dyDescent="0.25">
      <c r="A2302" t="s">
        <v>1177</v>
      </c>
      <c r="B2302">
        <v>0</v>
      </c>
    </row>
    <row r="2303" spans="1:2" x14ac:dyDescent="0.25">
      <c r="A2303" t="s">
        <v>1178</v>
      </c>
      <c r="B2303">
        <v>0.75</v>
      </c>
    </row>
    <row r="2304" spans="1:2" x14ac:dyDescent="0.25">
      <c r="A2304" t="s">
        <v>1179</v>
      </c>
      <c r="B2304" t="s">
        <v>551</v>
      </c>
    </row>
    <row r="2305" spans="1:2" x14ac:dyDescent="0.25">
      <c r="A2305" t="s">
        <v>1180</v>
      </c>
      <c r="B2305">
        <v>0.625</v>
      </c>
    </row>
    <row r="2306" spans="1:2" x14ac:dyDescent="0.25">
      <c r="A2306" t="s">
        <v>1181</v>
      </c>
      <c r="B2306">
        <v>0</v>
      </c>
    </row>
    <row r="2307" spans="1:2" x14ac:dyDescent="0.25">
      <c r="A2307" t="s">
        <v>1182</v>
      </c>
      <c r="B2307">
        <v>0</v>
      </c>
    </row>
    <row r="2308" spans="1:2" x14ac:dyDescent="0.25">
      <c r="A2308" t="s">
        <v>1183</v>
      </c>
      <c r="B2308">
        <v>0</v>
      </c>
    </row>
    <row r="2309" spans="1:2" x14ac:dyDescent="0.25">
      <c r="A2309" t="s">
        <v>1184</v>
      </c>
      <c r="B2309">
        <v>0</v>
      </c>
    </row>
    <row r="2310" spans="1:2" x14ac:dyDescent="0.25">
      <c r="A2310" t="s">
        <v>1185</v>
      </c>
      <c r="B2310">
        <v>0.75</v>
      </c>
    </row>
    <row r="2311" spans="1:2" x14ac:dyDescent="0.25">
      <c r="A2311" t="s">
        <v>1186</v>
      </c>
      <c r="B2311" t="s">
        <v>551</v>
      </c>
    </row>
    <row r="2312" spans="1:2" x14ac:dyDescent="0.25">
      <c r="A2312" t="s">
        <v>1187</v>
      </c>
      <c r="B2312">
        <v>0.625</v>
      </c>
    </row>
    <row r="2313" spans="1:2" x14ac:dyDescent="0.25">
      <c r="A2313" t="s">
        <v>1188</v>
      </c>
      <c r="B2313">
        <v>0</v>
      </c>
    </row>
    <row r="2314" spans="1:2" x14ac:dyDescent="0.25">
      <c r="A2314" t="s">
        <v>1189</v>
      </c>
      <c r="B2314">
        <v>0</v>
      </c>
    </row>
    <row r="2315" spans="1:2" x14ac:dyDescent="0.25">
      <c r="A2315" t="s">
        <v>1190</v>
      </c>
      <c r="B2315">
        <v>0</v>
      </c>
    </row>
    <row r="2316" spans="1:2" x14ac:dyDescent="0.25">
      <c r="A2316" t="s">
        <v>1191</v>
      </c>
      <c r="B2316">
        <v>0</v>
      </c>
    </row>
    <row r="2317" spans="1:2" x14ac:dyDescent="0.25">
      <c r="A2317" t="s">
        <v>1192</v>
      </c>
      <c r="B2317">
        <v>0.75</v>
      </c>
    </row>
    <row r="2318" spans="1:2" x14ac:dyDescent="0.25">
      <c r="A2318" t="s">
        <v>1193</v>
      </c>
      <c r="B2318" t="s">
        <v>551</v>
      </c>
    </row>
    <row r="2319" spans="1:2" x14ac:dyDescent="0.25">
      <c r="A2319" t="s">
        <v>1194</v>
      </c>
      <c r="B2319">
        <v>0.625</v>
      </c>
    </row>
    <row r="2320" spans="1:2" x14ac:dyDescent="0.25">
      <c r="A2320" t="s">
        <v>1195</v>
      </c>
      <c r="B2320">
        <v>0</v>
      </c>
    </row>
    <row r="2321" spans="1:2" x14ac:dyDescent="0.25">
      <c r="A2321" t="s">
        <v>1196</v>
      </c>
      <c r="B2321">
        <v>0</v>
      </c>
    </row>
    <row r="2322" spans="1:2" x14ac:dyDescent="0.25">
      <c r="A2322" t="s">
        <v>1197</v>
      </c>
      <c r="B2322">
        <v>0</v>
      </c>
    </row>
    <row r="2323" spans="1:2" x14ac:dyDescent="0.25">
      <c r="A2323" t="s">
        <v>1198</v>
      </c>
      <c r="B2323">
        <v>0</v>
      </c>
    </row>
    <row r="2324" spans="1:2" x14ac:dyDescent="0.25">
      <c r="A2324" t="s">
        <v>1199</v>
      </c>
      <c r="B2324">
        <v>0.75</v>
      </c>
    </row>
    <row r="2325" spans="1:2" x14ac:dyDescent="0.25">
      <c r="A2325" t="s">
        <v>1200</v>
      </c>
      <c r="B2325" t="s">
        <v>551</v>
      </c>
    </row>
    <row r="2326" spans="1:2" x14ac:dyDescent="0.25">
      <c r="A2326" t="s">
        <v>1201</v>
      </c>
      <c r="B2326">
        <v>0.625</v>
      </c>
    </row>
    <row r="2327" spans="1:2" x14ac:dyDescent="0.25">
      <c r="A2327" t="s">
        <v>1202</v>
      </c>
      <c r="B2327">
        <v>0</v>
      </c>
    </row>
    <row r="2328" spans="1:2" x14ac:dyDescent="0.25">
      <c r="A2328" t="s">
        <v>1203</v>
      </c>
      <c r="B2328">
        <v>0</v>
      </c>
    </row>
    <row r="2329" spans="1:2" x14ac:dyDescent="0.25">
      <c r="A2329" t="s">
        <v>1204</v>
      </c>
      <c r="B2329">
        <v>0</v>
      </c>
    </row>
    <row r="2330" spans="1:2" x14ac:dyDescent="0.25">
      <c r="A2330" t="s">
        <v>1205</v>
      </c>
      <c r="B2330">
        <v>0</v>
      </c>
    </row>
    <row r="2331" spans="1:2" x14ac:dyDescent="0.25">
      <c r="A2331" t="s">
        <v>1206</v>
      </c>
      <c r="B2331">
        <v>0.75</v>
      </c>
    </row>
    <row r="2332" spans="1:2" x14ac:dyDescent="0.25">
      <c r="A2332" t="s">
        <v>1020</v>
      </c>
      <c r="B2332" t="s">
        <v>303</v>
      </c>
    </row>
    <row r="2333" spans="1:2" x14ac:dyDescent="0.25">
      <c r="A2333" t="s">
        <v>1021</v>
      </c>
      <c r="B2333" t="s">
        <v>303</v>
      </c>
    </row>
    <row r="2334" spans="1:2" x14ac:dyDescent="0.25">
      <c r="A2334" t="s">
        <v>1022</v>
      </c>
      <c r="B2334" t="s">
        <v>303</v>
      </c>
    </row>
    <row r="2335" spans="1:2" x14ac:dyDescent="0.25">
      <c r="A2335" t="s">
        <v>1023</v>
      </c>
      <c r="B2335" t="s">
        <v>303</v>
      </c>
    </row>
    <row r="2336" spans="1:2" x14ac:dyDescent="0.25">
      <c r="A2336" t="s">
        <v>1024</v>
      </c>
      <c r="B2336" t="s">
        <v>303</v>
      </c>
    </row>
    <row r="2337" spans="1:2" x14ac:dyDescent="0.25">
      <c r="A2337" t="s">
        <v>1025</v>
      </c>
      <c r="B2337" t="s">
        <v>303</v>
      </c>
    </row>
    <row r="2338" spans="1:2" x14ac:dyDescent="0.25">
      <c r="A2338" t="s">
        <v>961</v>
      </c>
      <c r="B2338">
        <v>0</v>
      </c>
    </row>
    <row r="2339" spans="1:2" x14ac:dyDescent="0.25">
      <c r="A2339" t="s">
        <v>962</v>
      </c>
      <c r="B2339">
        <v>0</v>
      </c>
    </row>
    <row r="2340" spans="1:2" x14ac:dyDescent="0.25">
      <c r="A2340" t="s">
        <v>963</v>
      </c>
      <c r="B2340">
        <v>0</v>
      </c>
    </row>
    <row r="2341" spans="1:2" x14ac:dyDescent="0.25">
      <c r="A2341" t="s">
        <v>964</v>
      </c>
      <c r="B2341">
        <v>0</v>
      </c>
    </row>
    <row r="2342" spans="1:2" x14ac:dyDescent="0.25">
      <c r="A2342" t="s">
        <v>965</v>
      </c>
      <c r="B2342">
        <v>0</v>
      </c>
    </row>
    <row r="2343" spans="1:2" x14ac:dyDescent="0.25">
      <c r="A2343" t="s">
        <v>966</v>
      </c>
      <c r="B2343">
        <v>0</v>
      </c>
    </row>
    <row r="2344" spans="1:2" x14ac:dyDescent="0.25">
      <c r="A2344" t="s">
        <v>967</v>
      </c>
      <c r="B2344">
        <v>0</v>
      </c>
    </row>
    <row r="2345" spans="1:2" x14ac:dyDescent="0.25">
      <c r="A2345" t="s">
        <v>968</v>
      </c>
      <c r="B2345">
        <v>0</v>
      </c>
    </row>
    <row r="2346" spans="1:2" x14ac:dyDescent="0.25">
      <c r="A2346" t="s">
        <v>771</v>
      </c>
      <c r="B2346">
        <v>7</v>
      </c>
    </row>
    <row r="2347" spans="1:2" x14ac:dyDescent="0.25">
      <c r="A2347" t="s">
        <v>772</v>
      </c>
      <c r="B2347" t="s">
        <v>1037</v>
      </c>
    </row>
    <row r="2348" spans="1:2" x14ac:dyDescent="0.25">
      <c r="A2348" t="s">
        <v>773</v>
      </c>
      <c r="B2348">
        <v>220</v>
      </c>
    </row>
    <row r="2349" spans="1:2" x14ac:dyDescent="0.25">
      <c r="A2349" t="s">
        <v>774</v>
      </c>
      <c r="B2349">
        <v>29</v>
      </c>
    </row>
    <row r="2350" spans="1:2" x14ac:dyDescent="0.25">
      <c r="A2350" t="s">
        <v>775</v>
      </c>
      <c r="B2350">
        <v>29</v>
      </c>
    </row>
    <row r="2351" spans="1:2" x14ac:dyDescent="0.25">
      <c r="A2351" t="s">
        <v>776</v>
      </c>
      <c r="B2351">
        <v>1</v>
      </c>
    </row>
    <row r="2352" spans="1:2" x14ac:dyDescent="0.25">
      <c r="A2352" t="s">
        <v>777</v>
      </c>
      <c r="B2352">
        <v>1</v>
      </c>
    </row>
    <row r="2353" spans="1:2" x14ac:dyDescent="0.25">
      <c r="A2353" t="s">
        <v>778</v>
      </c>
      <c r="B2353">
        <v>5</v>
      </c>
    </row>
    <row r="2354" spans="1:2" x14ac:dyDescent="0.25">
      <c r="A2354" t="s">
        <v>779</v>
      </c>
      <c r="B2354" t="s">
        <v>342</v>
      </c>
    </row>
    <row r="2355" spans="1:2" x14ac:dyDescent="0.25">
      <c r="A2355" t="s">
        <v>780</v>
      </c>
      <c r="B2355" s="7">
        <v>1.5</v>
      </c>
    </row>
    <row r="2356" spans="1:2" x14ac:dyDescent="0.25">
      <c r="A2356" t="s">
        <v>781</v>
      </c>
      <c r="B2356">
        <v>50</v>
      </c>
    </row>
    <row r="2357" spans="1:2" x14ac:dyDescent="0.25">
      <c r="A2357" t="s">
        <v>782</v>
      </c>
      <c r="B2357" t="s">
        <v>312</v>
      </c>
    </row>
    <row r="2358" spans="1:2" x14ac:dyDescent="0.25">
      <c r="A2358" t="s">
        <v>783</v>
      </c>
      <c r="B2358">
        <v>36</v>
      </c>
    </row>
    <row r="2359" spans="1:2" x14ac:dyDescent="0.25">
      <c r="A2359" t="s">
        <v>784</v>
      </c>
      <c r="B2359" t="s">
        <v>320</v>
      </c>
    </row>
    <row r="2360" spans="1:2" x14ac:dyDescent="0.25">
      <c r="A2360" t="s">
        <v>785</v>
      </c>
      <c r="B2360">
        <v>36</v>
      </c>
    </row>
    <row r="2361" spans="1:2" x14ac:dyDescent="0.25">
      <c r="A2361" t="s">
        <v>786</v>
      </c>
      <c r="B2361" t="s">
        <v>320</v>
      </c>
    </row>
    <row r="2362" spans="1:2" x14ac:dyDescent="0.25">
      <c r="A2362" t="s">
        <v>787</v>
      </c>
      <c r="B2362">
        <v>36</v>
      </c>
    </row>
    <row r="2363" spans="1:2" x14ac:dyDescent="0.25">
      <c r="A2363" t="s">
        <v>788</v>
      </c>
      <c r="B2363" t="s">
        <v>320</v>
      </c>
    </row>
    <row r="2364" spans="1:2" x14ac:dyDescent="0.25">
      <c r="A2364" t="s">
        <v>789</v>
      </c>
      <c r="B2364">
        <v>36</v>
      </c>
    </row>
    <row r="2365" spans="1:2" x14ac:dyDescent="0.25">
      <c r="A2365" t="s">
        <v>790</v>
      </c>
      <c r="B2365" t="s">
        <v>320</v>
      </c>
    </row>
    <row r="2366" spans="1:2" x14ac:dyDescent="0.25">
      <c r="A2366" t="s">
        <v>791</v>
      </c>
      <c r="B2366">
        <v>36</v>
      </c>
    </row>
    <row r="2367" spans="1:2" x14ac:dyDescent="0.25">
      <c r="A2367" t="s">
        <v>792</v>
      </c>
      <c r="B2367" t="s">
        <v>320</v>
      </c>
    </row>
    <row r="2368" spans="1:2" x14ac:dyDescent="0.25">
      <c r="A2368" t="s">
        <v>793</v>
      </c>
      <c r="B2368">
        <v>50</v>
      </c>
    </row>
    <row r="2369" spans="1:2" x14ac:dyDescent="0.25">
      <c r="A2369" t="s">
        <v>794</v>
      </c>
      <c r="B2369" t="s">
        <v>312</v>
      </c>
    </row>
    <row r="2370" spans="1:2" x14ac:dyDescent="0.25">
      <c r="A2370" t="s">
        <v>795</v>
      </c>
      <c r="B2370">
        <v>50</v>
      </c>
    </row>
    <row r="2371" spans="1:2" x14ac:dyDescent="0.25">
      <c r="A2371" t="s">
        <v>796</v>
      </c>
      <c r="B2371" t="s">
        <v>312</v>
      </c>
    </row>
    <row r="2372" spans="1:2" x14ac:dyDescent="0.25">
      <c r="A2372" t="s">
        <v>797</v>
      </c>
      <c r="B2372" t="s">
        <v>342</v>
      </c>
    </row>
    <row r="2373" spans="1:2" x14ac:dyDescent="0.25">
      <c r="A2373" t="s">
        <v>798</v>
      </c>
      <c r="B2373" s="5">
        <v>44928</v>
      </c>
    </row>
    <row r="2374" spans="1:2" x14ac:dyDescent="0.25">
      <c r="A2374" t="s">
        <v>799</v>
      </c>
      <c r="B2374" t="s">
        <v>342</v>
      </c>
    </row>
    <row r="2375" spans="1:2" x14ac:dyDescent="0.25">
      <c r="A2375" t="s">
        <v>800</v>
      </c>
    </row>
    <row r="2376" spans="1:2" x14ac:dyDescent="0.25">
      <c r="A2376" t="s">
        <v>801</v>
      </c>
      <c r="B2376" t="s">
        <v>1038</v>
      </c>
    </row>
    <row r="2377" spans="1:2" x14ac:dyDescent="0.25">
      <c r="A2377" t="s">
        <v>802</v>
      </c>
      <c r="B2377" t="s">
        <v>1039</v>
      </c>
    </row>
    <row r="2378" spans="1:2" x14ac:dyDescent="0.25">
      <c r="A2378" t="s">
        <v>803</v>
      </c>
      <c r="B2378" t="s">
        <v>1038</v>
      </c>
    </row>
    <row r="2379" spans="1:2" x14ac:dyDescent="0.25">
      <c r="A2379" t="s">
        <v>804</v>
      </c>
      <c r="B2379" t="s">
        <v>1039</v>
      </c>
    </row>
    <row r="2380" spans="1:2" x14ac:dyDescent="0.25">
      <c r="A2380" t="s">
        <v>805</v>
      </c>
      <c r="B2380">
        <v>1</v>
      </c>
    </row>
    <row r="2381" spans="1:2" x14ac:dyDescent="0.25">
      <c r="A2381" t="s">
        <v>806</v>
      </c>
      <c r="B2381">
        <v>1</v>
      </c>
    </row>
    <row r="2382" spans="1:2" x14ac:dyDescent="0.25">
      <c r="A2382" t="s">
        <v>807</v>
      </c>
      <c r="B2382" t="s">
        <v>303</v>
      </c>
    </row>
    <row r="2383" spans="1:2" x14ac:dyDescent="0.25">
      <c r="A2383" t="s">
        <v>808</v>
      </c>
      <c r="B2383" t="s">
        <v>305</v>
      </c>
    </row>
    <row r="2384" spans="1:2" x14ac:dyDescent="0.25">
      <c r="A2384" t="s">
        <v>809</v>
      </c>
      <c r="B2384" t="s">
        <v>342</v>
      </c>
    </row>
    <row r="2385" spans="1:2" x14ac:dyDescent="0.25">
      <c r="A2385" t="s">
        <v>810</v>
      </c>
      <c r="B2385" s="5">
        <v>44989</v>
      </c>
    </row>
    <row r="2386" spans="1:2" x14ac:dyDescent="0.25">
      <c r="A2386" t="s">
        <v>811</v>
      </c>
      <c r="B2386" t="s">
        <v>342</v>
      </c>
    </row>
    <row r="2387" spans="1:2" x14ac:dyDescent="0.25">
      <c r="A2387" t="s">
        <v>812</v>
      </c>
    </row>
    <row r="2388" spans="1:2" x14ac:dyDescent="0.25">
      <c r="A2388" t="s">
        <v>813</v>
      </c>
      <c r="B2388">
        <v>36</v>
      </c>
    </row>
    <row r="2389" spans="1:2" x14ac:dyDescent="0.25">
      <c r="A2389" t="s">
        <v>814</v>
      </c>
      <c r="B2389" t="s">
        <v>320</v>
      </c>
    </row>
    <row r="2390" spans="1:2" x14ac:dyDescent="0.25">
      <c r="A2390" t="s">
        <v>1040</v>
      </c>
      <c r="B2390">
        <v>36</v>
      </c>
    </row>
    <row r="2391" spans="1:2" x14ac:dyDescent="0.25">
      <c r="A2391" t="s">
        <v>1041</v>
      </c>
      <c r="B2391" t="s">
        <v>320</v>
      </c>
    </row>
    <row r="2392" spans="1:2" x14ac:dyDescent="0.25">
      <c r="A2392" t="s">
        <v>1042</v>
      </c>
      <c r="B2392">
        <v>36</v>
      </c>
    </row>
    <row r="2393" spans="1:2" x14ac:dyDescent="0.25">
      <c r="A2393" t="s">
        <v>1043</v>
      </c>
      <c r="B2393" t="s">
        <v>320</v>
      </c>
    </row>
    <row r="2394" spans="1:2" x14ac:dyDescent="0.25">
      <c r="A2394" t="s">
        <v>1044</v>
      </c>
      <c r="B2394">
        <v>36</v>
      </c>
    </row>
    <row r="2395" spans="1:2" x14ac:dyDescent="0.25">
      <c r="A2395" t="s">
        <v>1045</v>
      </c>
      <c r="B2395" t="s">
        <v>320</v>
      </c>
    </row>
    <row r="2396" spans="1:2" x14ac:dyDescent="0.25">
      <c r="A2396" t="s">
        <v>1046</v>
      </c>
      <c r="B2396">
        <v>36</v>
      </c>
    </row>
    <row r="2397" spans="1:2" x14ac:dyDescent="0.25">
      <c r="A2397" t="s">
        <v>1047</v>
      </c>
      <c r="B2397" t="s">
        <v>320</v>
      </c>
    </row>
    <row r="2398" spans="1:2" x14ac:dyDescent="0.25">
      <c r="A2398" t="s">
        <v>1048</v>
      </c>
      <c r="B2398">
        <v>36</v>
      </c>
    </row>
    <row r="2399" spans="1:2" x14ac:dyDescent="0.25">
      <c r="A2399" t="s">
        <v>1049</v>
      </c>
      <c r="B2399" t="s">
        <v>320</v>
      </c>
    </row>
    <row r="2400" spans="1:2" x14ac:dyDescent="0.25">
      <c r="A2400" t="s">
        <v>1050</v>
      </c>
      <c r="B2400">
        <v>36</v>
      </c>
    </row>
    <row r="2401" spans="1:2" x14ac:dyDescent="0.25">
      <c r="A2401" t="s">
        <v>1051</v>
      </c>
      <c r="B2401" t="s">
        <v>320</v>
      </c>
    </row>
    <row r="2402" spans="1:2" x14ac:dyDescent="0.25">
      <c r="A2402" t="s">
        <v>1052</v>
      </c>
      <c r="B2402">
        <v>36</v>
      </c>
    </row>
    <row r="2403" spans="1:2" x14ac:dyDescent="0.25">
      <c r="A2403" t="s">
        <v>1053</v>
      </c>
      <c r="B2403" t="s">
        <v>320</v>
      </c>
    </row>
    <row r="2404" spans="1:2" x14ac:dyDescent="0.25">
      <c r="A2404" t="s">
        <v>1054</v>
      </c>
      <c r="B2404">
        <v>36</v>
      </c>
    </row>
    <row r="2405" spans="1:2" x14ac:dyDescent="0.25">
      <c r="A2405" t="s">
        <v>1055</v>
      </c>
      <c r="B2405" t="s">
        <v>320</v>
      </c>
    </row>
    <row r="2406" spans="1:2" x14ac:dyDescent="0.25">
      <c r="A2406" t="s">
        <v>1056</v>
      </c>
      <c r="B2406">
        <v>36</v>
      </c>
    </row>
    <row r="2407" spans="1:2" x14ac:dyDescent="0.25">
      <c r="A2407" t="s">
        <v>1057</v>
      </c>
      <c r="B2407" t="s">
        <v>320</v>
      </c>
    </row>
    <row r="2408" spans="1:2" x14ac:dyDescent="0.25">
      <c r="A2408" t="s">
        <v>1058</v>
      </c>
      <c r="B2408">
        <v>36</v>
      </c>
    </row>
    <row r="2409" spans="1:2" x14ac:dyDescent="0.25">
      <c r="A2409" t="s">
        <v>1059</v>
      </c>
      <c r="B2409" t="s">
        <v>320</v>
      </c>
    </row>
    <row r="2410" spans="1:2" x14ac:dyDescent="0.25">
      <c r="A2410" t="s">
        <v>1060</v>
      </c>
      <c r="B2410">
        <v>36</v>
      </c>
    </row>
    <row r="2411" spans="1:2" x14ac:dyDescent="0.25">
      <c r="A2411" t="s">
        <v>1061</v>
      </c>
      <c r="B2411" t="s">
        <v>320</v>
      </c>
    </row>
    <row r="2412" spans="1:2" x14ac:dyDescent="0.25">
      <c r="A2412" t="s">
        <v>1062</v>
      </c>
      <c r="B2412">
        <v>36</v>
      </c>
    </row>
    <row r="2413" spans="1:2" x14ac:dyDescent="0.25">
      <c r="A2413" t="s">
        <v>1063</v>
      </c>
      <c r="B2413" t="s">
        <v>320</v>
      </c>
    </row>
    <row r="2414" spans="1:2" x14ac:dyDescent="0.25">
      <c r="A2414" t="s">
        <v>1064</v>
      </c>
      <c r="B2414">
        <v>36</v>
      </c>
    </row>
    <row r="2415" spans="1:2" x14ac:dyDescent="0.25">
      <c r="A2415" t="s">
        <v>1065</v>
      </c>
      <c r="B2415" t="s">
        <v>320</v>
      </c>
    </row>
    <row r="2416" spans="1:2" x14ac:dyDescent="0.25">
      <c r="A2416" t="s">
        <v>1066</v>
      </c>
      <c r="B2416">
        <v>36</v>
      </c>
    </row>
    <row r="2417" spans="1:2" x14ac:dyDescent="0.25">
      <c r="A2417" t="s">
        <v>1067</v>
      </c>
      <c r="B2417" t="s">
        <v>320</v>
      </c>
    </row>
    <row r="2418" spans="1:2" x14ac:dyDescent="0.25">
      <c r="A2418" t="s">
        <v>1068</v>
      </c>
      <c r="B2418">
        <v>36</v>
      </c>
    </row>
    <row r="2419" spans="1:2" x14ac:dyDescent="0.25">
      <c r="A2419" t="s">
        <v>1069</v>
      </c>
      <c r="B2419" t="s">
        <v>320</v>
      </c>
    </row>
    <row r="2420" spans="1:2" x14ac:dyDescent="0.25">
      <c r="A2420" t="s">
        <v>1070</v>
      </c>
      <c r="B2420">
        <v>36</v>
      </c>
    </row>
    <row r="2421" spans="1:2" x14ac:dyDescent="0.25">
      <c r="A2421" t="s">
        <v>1071</v>
      </c>
      <c r="B2421" t="s">
        <v>320</v>
      </c>
    </row>
    <row r="2422" spans="1:2" x14ac:dyDescent="0.25">
      <c r="A2422" t="s">
        <v>1072</v>
      </c>
      <c r="B2422">
        <v>36</v>
      </c>
    </row>
    <row r="2423" spans="1:2" x14ac:dyDescent="0.25">
      <c r="A2423" t="s">
        <v>1073</v>
      </c>
      <c r="B2423" t="s">
        <v>320</v>
      </c>
    </row>
    <row r="2424" spans="1:2" x14ac:dyDescent="0.25">
      <c r="A2424" t="s">
        <v>1074</v>
      </c>
      <c r="B2424">
        <v>36</v>
      </c>
    </row>
    <row r="2425" spans="1:2" x14ac:dyDescent="0.25">
      <c r="A2425" t="s">
        <v>1075</v>
      </c>
      <c r="B2425" t="s">
        <v>320</v>
      </c>
    </row>
    <row r="2426" spans="1:2" x14ac:dyDescent="0.25">
      <c r="A2426" t="s">
        <v>1076</v>
      </c>
      <c r="B2426">
        <v>36</v>
      </c>
    </row>
    <row r="2427" spans="1:2" x14ac:dyDescent="0.25">
      <c r="A2427" t="s">
        <v>1077</v>
      </c>
      <c r="B2427" t="s">
        <v>320</v>
      </c>
    </row>
    <row r="2428" spans="1:2" x14ac:dyDescent="0.25">
      <c r="A2428" t="s">
        <v>815</v>
      </c>
      <c r="B2428" t="s">
        <v>1078</v>
      </c>
    </row>
    <row r="2429" spans="1:2" x14ac:dyDescent="0.25">
      <c r="A2429" t="s">
        <v>1079</v>
      </c>
      <c r="B2429" t="s">
        <v>1078</v>
      </c>
    </row>
    <row r="2430" spans="1:2" x14ac:dyDescent="0.25">
      <c r="A2430" t="s">
        <v>1080</v>
      </c>
      <c r="B2430" t="s">
        <v>1078</v>
      </c>
    </row>
    <row r="2431" spans="1:2" x14ac:dyDescent="0.25">
      <c r="A2431" t="s">
        <v>1081</v>
      </c>
      <c r="B2431" t="s">
        <v>1078</v>
      </c>
    </row>
    <row r="2432" spans="1:2" x14ac:dyDescent="0.25">
      <c r="A2432" t="s">
        <v>1082</v>
      </c>
      <c r="B2432" t="s">
        <v>1078</v>
      </c>
    </row>
    <row r="2433" spans="1:3" x14ac:dyDescent="0.25">
      <c r="A2433" t="s">
        <v>816</v>
      </c>
      <c r="B2433" t="s">
        <v>1078</v>
      </c>
    </row>
    <row r="2434" spans="1:3" x14ac:dyDescent="0.25">
      <c r="A2434" t="s">
        <v>1083</v>
      </c>
      <c r="B2434" t="s">
        <v>1078</v>
      </c>
    </row>
    <row r="2435" spans="1:3" x14ac:dyDescent="0.25">
      <c r="A2435" t="s">
        <v>1084</v>
      </c>
      <c r="B2435" t="s">
        <v>1078</v>
      </c>
    </row>
    <row r="2436" spans="1:3" x14ac:dyDescent="0.25">
      <c r="A2436" t="s">
        <v>1085</v>
      </c>
      <c r="B2436" t="s">
        <v>1078</v>
      </c>
    </row>
    <row r="2437" spans="1:3" x14ac:dyDescent="0.25">
      <c r="A2437" t="s">
        <v>817</v>
      </c>
      <c r="B2437" t="s">
        <v>1078</v>
      </c>
    </row>
    <row r="2438" spans="1:3" x14ac:dyDescent="0.25">
      <c r="A2438" t="s">
        <v>818</v>
      </c>
      <c r="B2438" t="s">
        <v>1078</v>
      </c>
    </row>
    <row r="2439" spans="1:3" x14ac:dyDescent="0.25">
      <c r="A2439" t="s">
        <v>819</v>
      </c>
      <c r="B2439" t="s">
        <v>1078</v>
      </c>
    </row>
    <row r="2440" spans="1:3" x14ac:dyDescent="0.25">
      <c r="A2440" t="s">
        <v>820</v>
      </c>
      <c r="B2440" t="s">
        <v>1078</v>
      </c>
    </row>
    <row r="2441" spans="1:3" x14ac:dyDescent="0.25">
      <c r="A2441" t="s">
        <v>1086</v>
      </c>
      <c r="B2441" t="s">
        <v>1078</v>
      </c>
    </row>
    <row r="2442" spans="1:3" x14ac:dyDescent="0.25">
      <c r="A2442" t="s">
        <v>1087</v>
      </c>
      <c r="B2442" t="s">
        <v>1078</v>
      </c>
    </row>
    <row r="2443" spans="1:3" x14ac:dyDescent="0.25">
      <c r="A2443" t="s">
        <v>1088</v>
      </c>
      <c r="B2443" t="s">
        <v>1078</v>
      </c>
    </row>
    <row r="2444" spans="1:3" x14ac:dyDescent="0.25">
      <c r="A2444" t="s">
        <v>821</v>
      </c>
      <c r="B2444" t="s">
        <v>1078</v>
      </c>
    </row>
    <row r="2445" spans="1:3" x14ac:dyDescent="0.25">
      <c r="A2445" t="s">
        <v>1089</v>
      </c>
      <c r="B2445" t="s">
        <v>1078</v>
      </c>
    </row>
    <row r="2446" spans="1:3" x14ac:dyDescent="0.25">
      <c r="A2446" t="s">
        <v>1090</v>
      </c>
      <c r="B2446" t="s">
        <v>1078</v>
      </c>
    </row>
    <row r="2447" spans="1:3" x14ac:dyDescent="0.25">
      <c r="A2447" t="s">
        <v>1091</v>
      </c>
      <c r="B2447" t="s">
        <v>1078</v>
      </c>
    </row>
    <row r="2448" spans="1:3" x14ac:dyDescent="0.25">
      <c r="A2448" t="s">
        <v>822</v>
      </c>
      <c r="B2448" t="s">
        <v>1207</v>
      </c>
      <c r="C2448" t="s">
        <v>1208</v>
      </c>
    </row>
    <row r="2449" spans="1:3" x14ac:dyDescent="0.25">
      <c r="A2449" t="s">
        <v>1028</v>
      </c>
      <c r="B2449" t="s">
        <v>1209</v>
      </c>
    </row>
    <row r="2450" spans="1:3" x14ac:dyDescent="0.25">
      <c r="A2450" t="s">
        <v>823</v>
      </c>
      <c r="B2450" t="s">
        <v>1207</v>
      </c>
      <c r="C2450" t="s">
        <v>1208</v>
      </c>
    </row>
    <row r="2451" spans="1:3" x14ac:dyDescent="0.25">
      <c r="A2451" t="s">
        <v>1028</v>
      </c>
      <c r="B2451" t="s">
        <v>1209</v>
      </c>
    </row>
    <row r="2452" spans="1:3" x14ac:dyDescent="0.25">
      <c r="A2452" t="s">
        <v>824</v>
      </c>
      <c r="B2452" t="s">
        <v>1207</v>
      </c>
      <c r="C2452" t="s">
        <v>1208</v>
      </c>
    </row>
    <row r="2453" spans="1:3" x14ac:dyDescent="0.25">
      <c r="A2453" t="s">
        <v>1028</v>
      </c>
      <c r="B2453" t="s">
        <v>1209</v>
      </c>
    </row>
    <row r="2454" spans="1:3" x14ac:dyDescent="0.25">
      <c r="A2454" t="s">
        <v>825</v>
      </c>
    </row>
    <row r="2455" spans="1:3" x14ac:dyDescent="0.25">
      <c r="A2455" t="s">
        <v>826</v>
      </c>
      <c r="B2455" t="s">
        <v>1207</v>
      </c>
      <c r="C2455" t="s">
        <v>1208</v>
      </c>
    </row>
    <row r="2456" spans="1:3" x14ac:dyDescent="0.25">
      <c r="A2456" t="s">
        <v>1028</v>
      </c>
      <c r="B2456" t="s">
        <v>1209</v>
      </c>
    </row>
    <row r="2457" spans="1:3" x14ac:dyDescent="0.25">
      <c r="A2457" t="s">
        <v>827</v>
      </c>
      <c r="B2457" t="s">
        <v>1207</v>
      </c>
      <c r="C2457" t="s">
        <v>1208</v>
      </c>
    </row>
    <row r="2458" spans="1:3" x14ac:dyDescent="0.25">
      <c r="A2458" t="s">
        <v>1028</v>
      </c>
      <c r="B2458" t="s">
        <v>1209</v>
      </c>
    </row>
    <row r="2459" spans="1:3" x14ac:dyDescent="0.25">
      <c r="A2459" t="s">
        <v>828</v>
      </c>
      <c r="B2459" t="s">
        <v>1207</v>
      </c>
      <c r="C2459" t="s">
        <v>1208</v>
      </c>
    </row>
    <row r="2460" spans="1:3" x14ac:dyDescent="0.25">
      <c r="A2460" t="s">
        <v>1028</v>
      </c>
      <c r="B2460" t="s">
        <v>1209</v>
      </c>
    </row>
    <row r="2461" spans="1:3" x14ac:dyDescent="0.25">
      <c r="A2461" t="s">
        <v>829</v>
      </c>
    </row>
    <row r="2462" spans="1:3" x14ac:dyDescent="0.25">
      <c r="A2462" t="s">
        <v>830</v>
      </c>
      <c r="B2462" t="s">
        <v>1026</v>
      </c>
    </row>
    <row r="2463" spans="1:3" x14ac:dyDescent="0.25">
      <c r="A2463" t="s">
        <v>831</v>
      </c>
      <c r="B2463" t="s">
        <v>1026</v>
      </c>
    </row>
    <row r="2464" spans="1:3" x14ac:dyDescent="0.25">
      <c r="A2464" t="s">
        <v>832</v>
      </c>
      <c r="B2464">
        <v>0.45</v>
      </c>
    </row>
    <row r="2465" spans="1:2" x14ac:dyDescent="0.25">
      <c r="A2465" t="s">
        <v>833</v>
      </c>
    </row>
    <row r="2466" spans="1:2" x14ac:dyDescent="0.25">
      <c r="A2466" t="s">
        <v>834</v>
      </c>
    </row>
    <row r="2467" spans="1:2" x14ac:dyDescent="0.25">
      <c r="A2467" t="s">
        <v>835</v>
      </c>
    </row>
    <row r="2468" spans="1:2" x14ac:dyDescent="0.25">
      <c r="A2468" t="s">
        <v>836</v>
      </c>
    </row>
    <row r="2469" spans="1:2" x14ac:dyDescent="0.25">
      <c r="A2469" t="s">
        <v>837</v>
      </c>
    </row>
    <row r="2470" spans="1:2" x14ac:dyDescent="0.25">
      <c r="A2470" t="s">
        <v>838</v>
      </c>
      <c r="B2470" t="s">
        <v>1026</v>
      </c>
    </row>
    <row r="2471" spans="1:2" x14ac:dyDescent="0.25">
      <c r="A2471" t="s">
        <v>839</v>
      </c>
      <c r="B2471" t="s">
        <v>1026</v>
      </c>
    </row>
    <row r="2472" spans="1:2" x14ac:dyDescent="0.25">
      <c r="A2472" t="s">
        <v>840</v>
      </c>
      <c r="B2472" t="s">
        <v>1026</v>
      </c>
    </row>
    <row r="2473" spans="1:2" x14ac:dyDescent="0.25">
      <c r="A2473" t="s">
        <v>841</v>
      </c>
    </row>
    <row r="2474" spans="1:2" x14ac:dyDescent="0.25">
      <c r="A2474" t="s">
        <v>842</v>
      </c>
      <c r="B2474">
        <v>2</v>
      </c>
    </row>
    <row r="2475" spans="1:2" x14ac:dyDescent="0.25">
      <c r="A2475" t="s">
        <v>843</v>
      </c>
      <c r="B2475" t="s">
        <v>1038</v>
      </c>
    </row>
    <row r="2476" spans="1:2" x14ac:dyDescent="0.25">
      <c r="A2476" t="s">
        <v>844</v>
      </c>
      <c r="B2476" t="s">
        <v>1039</v>
      </c>
    </row>
    <row r="2477" spans="1:2" x14ac:dyDescent="0.25">
      <c r="A2477" t="s">
        <v>845</v>
      </c>
      <c r="B2477" t="s">
        <v>307</v>
      </c>
    </row>
    <row r="2478" spans="1:2" x14ac:dyDescent="0.25">
      <c r="A2478" t="s">
        <v>846</v>
      </c>
      <c r="B2478" t="s">
        <v>1092</v>
      </c>
    </row>
    <row r="2479" spans="1:2" x14ac:dyDescent="0.25">
      <c r="A2479" t="s">
        <v>847</v>
      </c>
      <c r="B2479">
        <v>35</v>
      </c>
    </row>
    <row r="2480" spans="1:2" x14ac:dyDescent="0.25">
      <c r="A2480" t="s">
        <v>848</v>
      </c>
      <c r="B2480" t="s">
        <v>315</v>
      </c>
    </row>
    <row r="2481" spans="1:2" x14ac:dyDescent="0.25">
      <c r="A2481" t="s">
        <v>849</v>
      </c>
      <c r="B2481">
        <v>0</v>
      </c>
    </row>
    <row r="2482" spans="1:2" x14ac:dyDescent="0.25">
      <c r="A2482" t="s">
        <v>850</v>
      </c>
      <c r="B2482">
        <v>16</v>
      </c>
    </row>
    <row r="2483" spans="1:2" x14ac:dyDescent="0.25">
      <c r="A2483" t="s">
        <v>851</v>
      </c>
      <c r="B2483">
        <v>21</v>
      </c>
    </row>
    <row r="2484" spans="1:2" x14ac:dyDescent="0.25">
      <c r="A2484" t="s">
        <v>852</v>
      </c>
      <c r="B2484">
        <v>30</v>
      </c>
    </row>
    <row r="2485" spans="1:2" x14ac:dyDescent="0.25">
      <c r="A2485" t="s">
        <v>853</v>
      </c>
      <c r="B2485">
        <v>0.5</v>
      </c>
    </row>
    <row r="2486" spans="1:2" x14ac:dyDescent="0.25">
      <c r="A2486" t="s">
        <v>854</v>
      </c>
      <c r="B2486">
        <v>2</v>
      </c>
    </row>
    <row r="2487" spans="1:2" x14ac:dyDescent="0.25">
      <c r="A2487" t="s">
        <v>855</v>
      </c>
      <c r="B2487">
        <v>65</v>
      </c>
    </row>
    <row r="2488" spans="1:2" x14ac:dyDescent="0.25">
      <c r="A2488" t="s">
        <v>856</v>
      </c>
      <c r="B2488" t="s">
        <v>1093</v>
      </c>
    </row>
    <row r="2489" spans="1:2" x14ac:dyDescent="0.25">
      <c r="A2489" t="s">
        <v>857</v>
      </c>
      <c r="B2489">
        <v>1</v>
      </c>
    </row>
    <row r="2490" spans="1:2" x14ac:dyDescent="0.25">
      <c r="A2490" t="s">
        <v>858</v>
      </c>
      <c r="B2490">
        <v>1</v>
      </c>
    </row>
    <row r="2491" spans="1:2" x14ac:dyDescent="0.25">
      <c r="A2491" t="s">
        <v>859</v>
      </c>
      <c r="B2491" t="s">
        <v>303</v>
      </c>
    </row>
    <row r="2492" spans="1:2" x14ac:dyDescent="0.25">
      <c r="A2492" t="s">
        <v>860</v>
      </c>
      <c r="B2492" t="s">
        <v>303</v>
      </c>
    </row>
    <row r="2493" spans="1:2" x14ac:dyDescent="0.25">
      <c r="A2493" t="s">
        <v>861</v>
      </c>
      <c r="B2493">
        <v>0</v>
      </c>
    </row>
    <row r="2494" spans="1:2" x14ac:dyDescent="0.25">
      <c r="A2494" t="s">
        <v>862</v>
      </c>
      <c r="B2494">
        <v>0</v>
      </c>
    </row>
    <row r="2495" spans="1:2" x14ac:dyDescent="0.25">
      <c r="A2495" t="s">
        <v>863</v>
      </c>
      <c r="B2495">
        <v>0</v>
      </c>
    </row>
    <row r="2496" spans="1:2" x14ac:dyDescent="0.25">
      <c r="A2496" t="s">
        <v>864</v>
      </c>
      <c r="B2496">
        <v>36</v>
      </c>
    </row>
    <row r="2497" spans="1:2" x14ac:dyDescent="0.25">
      <c r="A2497" t="s">
        <v>865</v>
      </c>
      <c r="B2497" t="s">
        <v>320</v>
      </c>
    </row>
    <row r="2498" spans="1:2" x14ac:dyDescent="0.25">
      <c r="A2498" t="s">
        <v>866</v>
      </c>
      <c r="B2498">
        <v>1</v>
      </c>
    </row>
    <row r="2499" spans="1:2" x14ac:dyDescent="0.25">
      <c r="A2499" t="s">
        <v>867</v>
      </c>
      <c r="B2499">
        <v>1</v>
      </c>
    </row>
    <row r="2500" spans="1:2" x14ac:dyDescent="0.25">
      <c r="A2500" t="s">
        <v>868</v>
      </c>
      <c r="B2500">
        <v>0</v>
      </c>
    </row>
    <row r="2501" spans="1:2" x14ac:dyDescent="0.25">
      <c r="A2501" t="s">
        <v>869</v>
      </c>
      <c r="B2501">
        <v>0</v>
      </c>
    </row>
    <row r="2502" spans="1:2" x14ac:dyDescent="0.25">
      <c r="A2502" t="s">
        <v>870</v>
      </c>
      <c r="B2502">
        <v>0</v>
      </c>
    </row>
    <row r="2503" spans="1:2" x14ac:dyDescent="0.25">
      <c r="A2503" t="s">
        <v>871</v>
      </c>
      <c r="B2503">
        <v>0</v>
      </c>
    </row>
    <row r="2504" spans="1:2" x14ac:dyDescent="0.25">
      <c r="A2504" t="s">
        <v>872</v>
      </c>
      <c r="B2504">
        <v>0</v>
      </c>
    </row>
    <row r="2505" spans="1:2" x14ac:dyDescent="0.25">
      <c r="A2505" t="s">
        <v>873</v>
      </c>
      <c r="B2505">
        <v>0</v>
      </c>
    </row>
    <row r="2506" spans="1:2" x14ac:dyDescent="0.25">
      <c r="A2506" t="s">
        <v>874</v>
      </c>
      <c r="B2506">
        <v>0</v>
      </c>
    </row>
    <row r="2507" spans="1:2" x14ac:dyDescent="0.25">
      <c r="A2507" t="s">
        <v>875</v>
      </c>
      <c r="B2507">
        <v>0</v>
      </c>
    </row>
    <row r="2508" spans="1:2" x14ac:dyDescent="0.25">
      <c r="A2508" t="s">
        <v>876</v>
      </c>
      <c r="B2508">
        <v>1</v>
      </c>
    </row>
    <row r="2509" spans="1:2" x14ac:dyDescent="0.25">
      <c r="A2509" t="s">
        <v>877</v>
      </c>
      <c r="B2509">
        <v>1</v>
      </c>
    </row>
    <row r="2510" spans="1:2" x14ac:dyDescent="0.25">
      <c r="A2510" t="s">
        <v>878</v>
      </c>
      <c r="B2510">
        <v>1</v>
      </c>
    </row>
    <row r="2511" spans="1:2" x14ac:dyDescent="0.25">
      <c r="A2511" t="s">
        <v>879</v>
      </c>
      <c r="B2511">
        <v>1</v>
      </c>
    </row>
    <row r="2512" spans="1:2" x14ac:dyDescent="0.25">
      <c r="A2512" t="s">
        <v>880</v>
      </c>
      <c r="B2512">
        <v>1</v>
      </c>
    </row>
    <row r="2513" spans="1:2" x14ac:dyDescent="0.25">
      <c r="A2513" t="s">
        <v>881</v>
      </c>
      <c r="B2513">
        <v>1</v>
      </c>
    </row>
    <row r="2514" spans="1:2" x14ac:dyDescent="0.25">
      <c r="A2514" t="s">
        <v>882</v>
      </c>
      <c r="B2514">
        <v>1</v>
      </c>
    </row>
    <row r="2515" spans="1:2" x14ac:dyDescent="0.25">
      <c r="A2515" t="s">
        <v>883</v>
      </c>
      <c r="B2515">
        <v>1</v>
      </c>
    </row>
    <row r="2516" spans="1:2" x14ac:dyDescent="0.25">
      <c r="A2516" t="s">
        <v>884</v>
      </c>
      <c r="B2516">
        <v>1</v>
      </c>
    </row>
    <row r="2517" spans="1:2" x14ac:dyDescent="0.25">
      <c r="A2517" t="s">
        <v>885</v>
      </c>
      <c r="B2517">
        <v>1</v>
      </c>
    </row>
    <row r="2518" spans="1:2" x14ac:dyDescent="0.25">
      <c r="A2518" t="s">
        <v>886</v>
      </c>
      <c r="B2518">
        <v>1</v>
      </c>
    </row>
    <row r="2519" spans="1:2" x14ac:dyDescent="0.25">
      <c r="A2519" t="s">
        <v>887</v>
      </c>
      <c r="B2519">
        <v>1</v>
      </c>
    </row>
    <row r="2520" spans="1:2" x14ac:dyDescent="0.25">
      <c r="A2520" t="s">
        <v>888</v>
      </c>
      <c r="B2520">
        <v>1</v>
      </c>
    </row>
    <row r="2521" spans="1:2" x14ac:dyDescent="0.25">
      <c r="A2521" t="s">
        <v>889</v>
      </c>
      <c r="B2521">
        <v>1</v>
      </c>
    </row>
    <row r="2522" spans="1:2" x14ac:dyDescent="0.25">
      <c r="A2522" t="s">
        <v>890</v>
      </c>
      <c r="B2522">
        <v>1</v>
      </c>
    </row>
    <row r="2523" spans="1:2" x14ac:dyDescent="0.25">
      <c r="A2523" t="s">
        <v>891</v>
      </c>
      <c r="B2523">
        <v>1</v>
      </c>
    </row>
    <row r="2524" spans="1:2" x14ac:dyDescent="0.25">
      <c r="A2524" t="s">
        <v>892</v>
      </c>
      <c r="B2524">
        <v>1</v>
      </c>
    </row>
    <row r="2525" spans="1:2" x14ac:dyDescent="0.25">
      <c r="A2525" t="s">
        <v>893</v>
      </c>
      <c r="B2525">
        <v>1</v>
      </c>
    </row>
    <row r="2526" spans="1:2" x14ac:dyDescent="0.25">
      <c r="A2526" t="s">
        <v>894</v>
      </c>
      <c r="B2526">
        <v>1</v>
      </c>
    </row>
    <row r="2527" spans="1:2" x14ac:dyDescent="0.25">
      <c r="A2527" t="s">
        <v>895</v>
      </c>
      <c r="B2527">
        <v>1</v>
      </c>
    </row>
    <row r="2528" spans="1:2" x14ac:dyDescent="0.25">
      <c r="A2528" t="s">
        <v>896</v>
      </c>
      <c r="B2528">
        <v>1</v>
      </c>
    </row>
    <row r="2529" spans="1:2" x14ac:dyDescent="0.25">
      <c r="A2529" t="s">
        <v>897</v>
      </c>
      <c r="B2529">
        <v>1</v>
      </c>
    </row>
    <row r="2530" spans="1:2" x14ac:dyDescent="0.25">
      <c r="A2530" t="s">
        <v>898</v>
      </c>
      <c r="B2530">
        <v>1</v>
      </c>
    </row>
    <row r="2531" spans="1:2" x14ac:dyDescent="0.25">
      <c r="A2531" t="s">
        <v>899</v>
      </c>
      <c r="B2531">
        <v>0.5</v>
      </c>
    </row>
    <row r="2532" spans="1:2" x14ac:dyDescent="0.25">
      <c r="A2532" t="s">
        <v>900</v>
      </c>
      <c r="B2532">
        <v>0.85</v>
      </c>
    </row>
    <row r="2533" spans="1:2" x14ac:dyDescent="0.25">
      <c r="A2533" t="s">
        <v>901</v>
      </c>
      <c r="B2533">
        <v>1</v>
      </c>
    </row>
    <row r="2534" spans="1:2" x14ac:dyDescent="0.25">
      <c r="A2534" t="s">
        <v>902</v>
      </c>
      <c r="B2534">
        <v>0.5</v>
      </c>
    </row>
    <row r="2535" spans="1:2" x14ac:dyDescent="0.25">
      <c r="A2535" t="s">
        <v>903</v>
      </c>
      <c r="B2535">
        <v>0.85</v>
      </c>
    </row>
    <row r="2536" spans="1:2" x14ac:dyDescent="0.25">
      <c r="A2536" t="s">
        <v>904</v>
      </c>
      <c r="B2536">
        <v>1</v>
      </c>
    </row>
    <row r="2537" spans="1:2" x14ac:dyDescent="0.25">
      <c r="A2537" t="s">
        <v>905</v>
      </c>
      <c r="B2537" t="s">
        <v>1094</v>
      </c>
    </row>
    <row r="2538" spans="1:2" x14ac:dyDescent="0.25">
      <c r="A2538" t="s">
        <v>906</v>
      </c>
      <c r="B2538" t="s">
        <v>1094</v>
      </c>
    </row>
    <row r="2539" spans="1:2" x14ac:dyDescent="0.25">
      <c r="A2539" t="s">
        <v>907</v>
      </c>
      <c r="B2539">
        <v>36</v>
      </c>
    </row>
    <row r="2540" spans="1:2" x14ac:dyDescent="0.25">
      <c r="A2540" t="s">
        <v>908</v>
      </c>
      <c r="B2540">
        <v>36</v>
      </c>
    </row>
    <row r="2541" spans="1:2" x14ac:dyDescent="0.25">
      <c r="A2541" t="s">
        <v>909</v>
      </c>
      <c r="B2541">
        <v>36</v>
      </c>
    </row>
    <row r="2542" spans="1:2" x14ac:dyDescent="0.25">
      <c r="A2542" t="s">
        <v>910</v>
      </c>
      <c r="B2542">
        <v>36</v>
      </c>
    </row>
    <row r="2543" spans="1:2" x14ac:dyDescent="0.25">
      <c r="A2543" t="s">
        <v>911</v>
      </c>
      <c r="B2543">
        <v>0</v>
      </c>
    </row>
    <row r="2544" spans="1:2" x14ac:dyDescent="0.25">
      <c r="A2544" t="s">
        <v>912</v>
      </c>
      <c r="B2544">
        <v>1</v>
      </c>
    </row>
    <row r="2545" spans="1:2" x14ac:dyDescent="0.25">
      <c r="A2545" t="s">
        <v>913</v>
      </c>
      <c r="B2545">
        <v>0</v>
      </c>
    </row>
    <row r="2546" spans="1:2" x14ac:dyDescent="0.25">
      <c r="A2546" t="s">
        <v>914</v>
      </c>
      <c r="B2546">
        <v>0</v>
      </c>
    </row>
    <row r="2547" spans="1:2" x14ac:dyDescent="0.25">
      <c r="A2547" t="s">
        <v>915</v>
      </c>
      <c r="B2547">
        <v>0</v>
      </c>
    </row>
    <row r="2548" spans="1:2" x14ac:dyDescent="0.25">
      <c r="A2548" t="s">
        <v>916</v>
      </c>
      <c r="B2548">
        <v>0</v>
      </c>
    </row>
    <row r="2549" spans="1:2" x14ac:dyDescent="0.25">
      <c r="A2549" t="s">
        <v>970</v>
      </c>
      <c r="B2549">
        <v>0</v>
      </c>
    </row>
    <row r="2550" spans="1:2" x14ac:dyDescent="0.25">
      <c r="A2550" t="s">
        <v>919</v>
      </c>
      <c r="B2550">
        <v>0</v>
      </c>
    </row>
    <row r="2551" spans="1:2" x14ac:dyDescent="0.25">
      <c r="A2551" t="s">
        <v>920</v>
      </c>
      <c r="B2551">
        <v>0.75</v>
      </c>
    </row>
    <row r="2552" spans="1:2" x14ac:dyDescent="0.25">
      <c r="A2552" t="s">
        <v>921</v>
      </c>
      <c r="B2552">
        <v>0.75</v>
      </c>
    </row>
    <row r="2553" spans="1:2" x14ac:dyDescent="0.25">
      <c r="A2553" t="s">
        <v>922</v>
      </c>
      <c r="B2553">
        <v>0.75</v>
      </c>
    </row>
    <row r="2554" spans="1:2" x14ac:dyDescent="0.25">
      <c r="A2554" t="s">
        <v>923</v>
      </c>
      <c r="B2554">
        <v>0.75</v>
      </c>
    </row>
    <row r="2555" spans="1:2" x14ac:dyDescent="0.25">
      <c r="A2555" t="s">
        <v>924</v>
      </c>
      <c r="B2555">
        <v>0.75</v>
      </c>
    </row>
    <row r="2556" spans="1:2" x14ac:dyDescent="0.25">
      <c r="A2556" t="s">
        <v>925</v>
      </c>
      <c r="B2556">
        <v>0.75</v>
      </c>
    </row>
    <row r="2557" spans="1:2" x14ac:dyDescent="0.25">
      <c r="A2557" t="s">
        <v>926</v>
      </c>
      <c r="B2557" t="s">
        <v>537</v>
      </c>
    </row>
    <row r="2558" spans="1:2" x14ac:dyDescent="0.25">
      <c r="A2558" t="s">
        <v>927</v>
      </c>
      <c r="B2558">
        <v>0</v>
      </c>
    </row>
    <row r="2559" spans="1:2" x14ac:dyDescent="0.25">
      <c r="A2559" t="s">
        <v>928</v>
      </c>
      <c r="B2559">
        <v>0</v>
      </c>
    </row>
    <row r="2560" spans="1:2" x14ac:dyDescent="0.25">
      <c r="A2560" t="s">
        <v>929</v>
      </c>
      <c r="B2560">
        <v>0</v>
      </c>
    </row>
    <row r="2561" spans="1:2" x14ac:dyDescent="0.25">
      <c r="A2561" t="s">
        <v>930</v>
      </c>
      <c r="B2561">
        <v>0</v>
      </c>
    </row>
    <row r="2562" spans="1:2" x14ac:dyDescent="0.25">
      <c r="A2562" t="s">
        <v>931</v>
      </c>
      <c r="B2562">
        <v>0</v>
      </c>
    </row>
    <row r="2563" spans="1:2" x14ac:dyDescent="0.25">
      <c r="A2563" t="s">
        <v>932</v>
      </c>
      <c r="B2563">
        <v>0</v>
      </c>
    </row>
    <row r="2564" spans="1:2" x14ac:dyDescent="0.25">
      <c r="A2564" t="s">
        <v>933</v>
      </c>
      <c r="B2564">
        <v>0</v>
      </c>
    </row>
    <row r="2565" spans="1:2" x14ac:dyDescent="0.25">
      <c r="A2565" t="s">
        <v>934</v>
      </c>
      <c r="B2565" t="s">
        <v>551</v>
      </c>
    </row>
    <row r="2566" spans="1:2" x14ac:dyDescent="0.25">
      <c r="A2566" t="s">
        <v>935</v>
      </c>
      <c r="B2566">
        <v>0.75</v>
      </c>
    </row>
    <row r="2567" spans="1:2" x14ac:dyDescent="0.25">
      <c r="A2567" t="s">
        <v>936</v>
      </c>
      <c r="B2567" t="s">
        <v>551</v>
      </c>
    </row>
    <row r="2568" spans="1:2" x14ac:dyDescent="0.25">
      <c r="A2568" t="s">
        <v>937</v>
      </c>
      <c r="B2568">
        <v>0.625</v>
      </c>
    </row>
    <row r="2569" spans="1:2" x14ac:dyDescent="0.25">
      <c r="A2569" t="s">
        <v>938</v>
      </c>
      <c r="B2569" t="s">
        <v>551</v>
      </c>
    </row>
    <row r="2570" spans="1:2" x14ac:dyDescent="0.25">
      <c r="A2570" t="s">
        <v>939</v>
      </c>
      <c r="B2570">
        <v>0.625</v>
      </c>
    </row>
    <row r="2571" spans="1:2" x14ac:dyDescent="0.25">
      <c r="A2571" t="s">
        <v>940</v>
      </c>
      <c r="B2571" t="s">
        <v>551</v>
      </c>
    </row>
    <row r="2572" spans="1:2" x14ac:dyDescent="0.25">
      <c r="A2572" t="s">
        <v>941</v>
      </c>
      <c r="B2572">
        <v>0.625</v>
      </c>
    </row>
    <row r="2573" spans="1:2" x14ac:dyDescent="0.25">
      <c r="A2573" t="s">
        <v>942</v>
      </c>
      <c r="B2573" t="s">
        <v>551</v>
      </c>
    </row>
    <row r="2574" spans="1:2" x14ac:dyDescent="0.25">
      <c r="A2574" t="s">
        <v>943</v>
      </c>
      <c r="B2574">
        <v>0.625</v>
      </c>
    </row>
    <row r="2575" spans="1:2" x14ac:dyDescent="0.25">
      <c r="A2575" t="s">
        <v>944</v>
      </c>
      <c r="B2575" t="s">
        <v>551</v>
      </c>
    </row>
    <row r="2576" spans="1:2" x14ac:dyDescent="0.25">
      <c r="A2576" t="s">
        <v>945</v>
      </c>
      <c r="B2576">
        <v>0.625</v>
      </c>
    </row>
    <row r="2577" spans="1:2" x14ac:dyDescent="0.25">
      <c r="A2577" t="s">
        <v>946</v>
      </c>
      <c r="B2577" t="s">
        <v>551</v>
      </c>
    </row>
    <row r="2578" spans="1:2" x14ac:dyDescent="0.25">
      <c r="A2578" t="s">
        <v>947</v>
      </c>
      <c r="B2578">
        <v>0.625</v>
      </c>
    </row>
    <row r="2579" spans="1:2" x14ac:dyDescent="0.25">
      <c r="A2579" t="s">
        <v>948</v>
      </c>
      <c r="B2579">
        <v>0</v>
      </c>
    </row>
    <row r="2580" spans="1:2" x14ac:dyDescent="0.25">
      <c r="A2580" t="s">
        <v>949</v>
      </c>
      <c r="B2580">
        <v>0</v>
      </c>
    </row>
    <row r="2581" spans="1:2" x14ac:dyDescent="0.25">
      <c r="A2581" t="s">
        <v>950</v>
      </c>
      <c r="B2581">
        <v>0</v>
      </c>
    </row>
    <row r="2582" spans="1:2" x14ac:dyDescent="0.25">
      <c r="A2582" t="s">
        <v>951</v>
      </c>
      <c r="B2582">
        <v>0</v>
      </c>
    </row>
    <row r="2583" spans="1:2" x14ac:dyDescent="0.25">
      <c r="A2583" t="s">
        <v>952</v>
      </c>
      <c r="B2583">
        <v>0</v>
      </c>
    </row>
    <row r="2584" spans="1:2" x14ac:dyDescent="0.25">
      <c r="A2584" t="s">
        <v>953</v>
      </c>
      <c r="B2584">
        <v>0</v>
      </c>
    </row>
    <row r="2585" spans="1:2" x14ac:dyDescent="0.25">
      <c r="A2585" t="s">
        <v>954</v>
      </c>
      <c r="B2585">
        <v>0</v>
      </c>
    </row>
    <row r="2586" spans="1:2" x14ac:dyDescent="0.25">
      <c r="A2586" t="s">
        <v>955</v>
      </c>
      <c r="B2586">
        <v>0</v>
      </c>
    </row>
    <row r="2587" spans="1:2" x14ac:dyDescent="0.25">
      <c r="A2587" t="s">
        <v>956</v>
      </c>
      <c r="B2587">
        <v>0</v>
      </c>
    </row>
    <row r="2588" spans="1:2" x14ac:dyDescent="0.25">
      <c r="A2588" t="s">
        <v>957</v>
      </c>
      <c r="B2588">
        <v>0</v>
      </c>
    </row>
    <row r="2589" spans="1:2" x14ac:dyDescent="0.25">
      <c r="A2589" t="s">
        <v>958</v>
      </c>
      <c r="B2589">
        <v>0</v>
      </c>
    </row>
    <row r="2590" spans="1:2" x14ac:dyDescent="0.25">
      <c r="A2590" t="s">
        <v>959</v>
      </c>
      <c r="B2590">
        <v>0</v>
      </c>
    </row>
    <row r="2591" spans="1:2" x14ac:dyDescent="0.25">
      <c r="A2591" t="s">
        <v>960</v>
      </c>
      <c r="B2591">
        <v>0</v>
      </c>
    </row>
    <row r="2592" spans="1:2" x14ac:dyDescent="0.25">
      <c r="A2592" t="s">
        <v>1095</v>
      </c>
      <c r="B2592" t="s">
        <v>551</v>
      </c>
    </row>
    <row r="2593" spans="1:2" x14ac:dyDescent="0.25">
      <c r="A2593" t="s">
        <v>1096</v>
      </c>
      <c r="B2593">
        <v>0.625</v>
      </c>
    </row>
    <row r="2594" spans="1:2" x14ac:dyDescent="0.25">
      <c r="A2594" t="s">
        <v>1097</v>
      </c>
      <c r="B2594">
        <v>0</v>
      </c>
    </row>
    <row r="2595" spans="1:2" x14ac:dyDescent="0.25">
      <c r="A2595" t="s">
        <v>1098</v>
      </c>
      <c r="B2595">
        <v>0</v>
      </c>
    </row>
    <row r="2596" spans="1:2" x14ac:dyDescent="0.25">
      <c r="A2596" t="s">
        <v>1099</v>
      </c>
      <c r="B2596">
        <v>0</v>
      </c>
    </row>
    <row r="2597" spans="1:2" x14ac:dyDescent="0.25">
      <c r="A2597" t="s">
        <v>1100</v>
      </c>
      <c r="B2597">
        <v>0</v>
      </c>
    </row>
    <row r="2598" spans="1:2" x14ac:dyDescent="0.25">
      <c r="A2598" t="s">
        <v>1101</v>
      </c>
      <c r="B2598">
        <v>0.75</v>
      </c>
    </row>
    <row r="2599" spans="1:2" x14ac:dyDescent="0.25">
      <c r="A2599" t="s">
        <v>1102</v>
      </c>
      <c r="B2599" t="s">
        <v>551</v>
      </c>
    </row>
    <row r="2600" spans="1:2" x14ac:dyDescent="0.25">
      <c r="A2600" t="s">
        <v>1103</v>
      </c>
      <c r="B2600">
        <v>0.625</v>
      </c>
    </row>
    <row r="2601" spans="1:2" x14ac:dyDescent="0.25">
      <c r="A2601" t="s">
        <v>1104</v>
      </c>
      <c r="B2601">
        <v>0</v>
      </c>
    </row>
    <row r="2602" spans="1:2" x14ac:dyDescent="0.25">
      <c r="A2602" t="s">
        <v>1105</v>
      </c>
      <c r="B2602">
        <v>0</v>
      </c>
    </row>
    <row r="2603" spans="1:2" x14ac:dyDescent="0.25">
      <c r="A2603" t="s">
        <v>1106</v>
      </c>
      <c r="B2603">
        <v>0</v>
      </c>
    </row>
    <row r="2604" spans="1:2" x14ac:dyDescent="0.25">
      <c r="A2604" t="s">
        <v>1107</v>
      </c>
      <c r="B2604">
        <v>0</v>
      </c>
    </row>
    <row r="2605" spans="1:2" x14ac:dyDescent="0.25">
      <c r="A2605" t="s">
        <v>1108</v>
      </c>
      <c r="B2605">
        <v>0.75</v>
      </c>
    </row>
    <row r="2606" spans="1:2" x14ac:dyDescent="0.25">
      <c r="A2606" t="s">
        <v>1109</v>
      </c>
      <c r="B2606" t="s">
        <v>551</v>
      </c>
    </row>
    <row r="2607" spans="1:2" x14ac:dyDescent="0.25">
      <c r="A2607" t="s">
        <v>1110</v>
      </c>
      <c r="B2607">
        <v>0.625</v>
      </c>
    </row>
    <row r="2608" spans="1:2" x14ac:dyDescent="0.25">
      <c r="A2608" t="s">
        <v>1111</v>
      </c>
      <c r="B2608">
        <v>0</v>
      </c>
    </row>
    <row r="2609" spans="1:2" x14ac:dyDescent="0.25">
      <c r="A2609" t="s">
        <v>1112</v>
      </c>
      <c r="B2609">
        <v>0</v>
      </c>
    </row>
    <row r="2610" spans="1:2" x14ac:dyDescent="0.25">
      <c r="A2610" t="s">
        <v>1113</v>
      </c>
      <c r="B2610">
        <v>0</v>
      </c>
    </row>
    <row r="2611" spans="1:2" x14ac:dyDescent="0.25">
      <c r="A2611" t="s">
        <v>1114</v>
      </c>
      <c r="B2611">
        <v>0</v>
      </c>
    </row>
    <row r="2612" spans="1:2" x14ac:dyDescent="0.25">
      <c r="A2612" t="s">
        <v>1115</v>
      </c>
      <c r="B2612">
        <v>0.75</v>
      </c>
    </row>
    <row r="2613" spans="1:2" x14ac:dyDescent="0.25">
      <c r="A2613" t="s">
        <v>1116</v>
      </c>
      <c r="B2613" t="s">
        <v>551</v>
      </c>
    </row>
    <row r="2614" spans="1:2" x14ac:dyDescent="0.25">
      <c r="A2614" t="s">
        <v>1117</v>
      </c>
      <c r="B2614">
        <v>0.625</v>
      </c>
    </row>
    <row r="2615" spans="1:2" x14ac:dyDescent="0.25">
      <c r="A2615" t="s">
        <v>1118</v>
      </c>
      <c r="B2615">
        <v>0</v>
      </c>
    </row>
    <row r="2616" spans="1:2" x14ac:dyDescent="0.25">
      <c r="A2616" t="s">
        <v>1119</v>
      </c>
      <c r="B2616">
        <v>0</v>
      </c>
    </row>
    <row r="2617" spans="1:2" x14ac:dyDescent="0.25">
      <c r="A2617" t="s">
        <v>1120</v>
      </c>
      <c r="B2617">
        <v>0</v>
      </c>
    </row>
    <row r="2618" spans="1:2" x14ac:dyDescent="0.25">
      <c r="A2618" t="s">
        <v>1121</v>
      </c>
      <c r="B2618">
        <v>0</v>
      </c>
    </row>
    <row r="2619" spans="1:2" x14ac:dyDescent="0.25">
      <c r="A2619" t="s">
        <v>1122</v>
      </c>
      <c r="B2619">
        <v>0.75</v>
      </c>
    </row>
    <row r="2620" spans="1:2" x14ac:dyDescent="0.25">
      <c r="A2620" t="s">
        <v>1123</v>
      </c>
      <c r="B2620" t="s">
        <v>551</v>
      </c>
    </row>
    <row r="2621" spans="1:2" x14ac:dyDescent="0.25">
      <c r="A2621" t="s">
        <v>1124</v>
      </c>
      <c r="B2621">
        <v>0.625</v>
      </c>
    </row>
    <row r="2622" spans="1:2" x14ac:dyDescent="0.25">
      <c r="A2622" t="s">
        <v>1125</v>
      </c>
      <c r="B2622">
        <v>0</v>
      </c>
    </row>
    <row r="2623" spans="1:2" x14ac:dyDescent="0.25">
      <c r="A2623" t="s">
        <v>1126</v>
      </c>
      <c r="B2623">
        <v>0</v>
      </c>
    </row>
    <row r="2624" spans="1:2" x14ac:dyDescent="0.25">
      <c r="A2624" t="s">
        <v>1127</v>
      </c>
      <c r="B2624">
        <v>0</v>
      </c>
    </row>
    <row r="2625" spans="1:2" x14ac:dyDescent="0.25">
      <c r="A2625" t="s">
        <v>1128</v>
      </c>
      <c r="B2625">
        <v>0</v>
      </c>
    </row>
    <row r="2626" spans="1:2" x14ac:dyDescent="0.25">
      <c r="A2626" t="s">
        <v>1129</v>
      </c>
      <c r="B2626">
        <v>0.75</v>
      </c>
    </row>
    <row r="2627" spans="1:2" x14ac:dyDescent="0.25">
      <c r="A2627" t="s">
        <v>1130</v>
      </c>
      <c r="B2627" t="s">
        <v>551</v>
      </c>
    </row>
    <row r="2628" spans="1:2" x14ac:dyDescent="0.25">
      <c r="A2628" t="s">
        <v>1131</v>
      </c>
      <c r="B2628">
        <v>0.625</v>
      </c>
    </row>
    <row r="2629" spans="1:2" x14ac:dyDescent="0.25">
      <c r="A2629" t="s">
        <v>1132</v>
      </c>
      <c r="B2629">
        <v>0</v>
      </c>
    </row>
    <row r="2630" spans="1:2" x14ac:dyDescent="0.25">
      <c r="A2630" t="s">
        <v>1133</v>
      </c>
      <c r="B2630">
        <v>0</v>
      </c>
    </row>
    <row r="2631" spans="1:2" x14ac:dyDescent="0.25">
      <c r="A2631" t="s">
        <v>1134</v>
      </c>
      <c r="B2631">
        <v>0</v>
      </c>
    </row>
    <row r="2632" spans="1:2" x14ac:dyDescent="0.25">
      <c r="A2632" t="s">
        <v>1135</v>
      </c>
      <c r="B2632">
        <v>0</v>
      </c>
    </row>
    <row r="2633" spans="1:2" x14ac:dyDescent="0.25">
      <c r="A2633" t="s">
        <v>1136</v>
      </c>
      <c r="B2633">
        <v>0.75</v>
      </c>
    </row>
    <row r="2634" spans="1:2" x14ac:dyDescent="0.25">
      <c r="A2634" t="s">
        <v>1137</v>
      </c>
      <c r="B2634" t="s">
        <v>551</v>
      </c>
    </row>
    <row r="2635" spans="1:2" x14ac:dyDescent="0.25">
      <c r="A2635" t="s">
        <v>1138</v>
      </c>
      <c r="B2635">
        <v>0.625</v>
      </c>
    </row>
    <row r="2636" spans="1:2" x14ac:dyDescent="0.25">
      <c r="A2636" t="s">
        <v>1139</v>
      </c>
      <c r="B2636">
        <v>0</v>
      </c>
    </row>
    <row r="2637" spans="1:2" x14ac:dyDescent="0.25">
      <c r="A2637" t="s">
        <v>1140</v>
      </c>
      <c r="B2637">
        <v>0</v>
      </c>
    </row>
    <row r="2638" spans="1:2" x14ac:dyDescent="0.25">
      <c r="A2638" t="s">
        <v>1141</v>
      </c>
      <c r="B2638">
        <v>0</v>
      </c>
    </row>
    <row r="2639" spans="1:2" x14ac:dyDescent="0.25">
      <c r="A2639" t="s">
        <v>1142</v>
      </c>
      <c r="B2639">
        <v>0</v>
      </c>
    </row>
    <row r="2640" spans="1:2" x14ac:dyDescent="0.25">
      <c r="A2640" t="s">
        <v>1143</v>
      </c>
      <c r="B2640">
        <v>0.75</v>
      </c>
    </row>
    <row r="2641" spans="1:2" x14ac:dyDescent="0.25">
      <c r="A2641" t="s">
        <v>1144</v>
      </c>
      <c r="B2641" t="s">
        <v>551</v>
      </c>
    </row>
    <row r="2642" spans="1:2" x14ac:dyDescent="0.25">
      <c r="A2642" t="s">
        <v>1145</v>
      </c>
      <c r="B2642">
        <v>0.625</v>
      </c>
    </row>
    <row r="2643" spans="1:2" x14ac:dyDescent="0.25">
      <c r="A2643" t="s">
        <v>1146</v>
      </c>
      <c r="B2643">
        <v>0</v>
      </c>
    </row>
    <row r="2644" spans="1:2" x14ac:dyDescent="0.25">
      <c r="A2644" t="s">
        <v>1147</v>
      </c>
      <c r="B2644">
        <v>0</v>
      </c>
    </row>
    <row r="2645" spans="1:2" x14ac:dyDescent="0.25">
      <c r="A2645" t="s">
        <v>1148</v>
      </c>
      <c r="B2645">
        <v>0</v>
      </c>
    </row>
    <row r="2646" spans="1:2" x14ac:dyDescent="0.25">
      <c r="A2646" t="s">
        <v>1149</v>
      </c>
      <c r="B2646">
        <v>0</v>
      </c>
    </row>
    <row r="2647" spans="1:2" x14ac:dyDescent="0.25">
      <c r="A2647" t="s">
        <v>1150</v>
      </c>
      <c r="B2647">
        <v>0.75</v>
      </c>
    </row>
    <row r="2648" spans="1:2" x14ac:dyDescent="0.25">
      <c r="A2648" t="s">
        <v>985</v>
      </c>
      <c r="B2648" t="s">
        <v>551</v>
      </c>
    </row>
    <row r="2649" spans="1:2" x14ac:dyDescent="0.25">
      <c r="A2649" t="s">
        <v>986</v>
      </c>
      <c r="B2649">
        <v>0.625</v>
      </c>
    </row>
    <row r="2650" spans="1:2" x14ac:dyDescent="0.25">
      <c r="A2650" t="s">
        <v>987</v>
      </c>
      <c r="B2650">
        <v>0</v>
      </c>
    </row>
    <row r="2651" spans="1:2" x14ac:dyDescent="0.25">
      <c r="A2651" t="s">
        <v>988</v>
      </c>
      <c r="B2651">
        <v>0</v>
      </c>
    </row>
    <row r="2652" spans="1:2" x14ac:dyDescent="0.25">
      <c r="A2652" t="s">
        <v>989</v>
      </c>
      <c r="B2652">
        <v>0</v>
      </c>
    </row>
    <row r="2653" spans="1:2" x14ac:dyDescent="0.25">
      <c r="A2653" t="s">
        <v>990</v>
      </c>
      <c r="B2653">
        <v>0</v>
      </c>
    </row>
    <row r="2654" spans="1:2" x14ac:dyDescent="0.25">
      <c r="A2654" t="s">
        <v>991</v>
      </c>
      <c r="B2654">
        <v>0.75</v>
      </c>
    </row>
    <row r="2655" spans="1:2" x14ac:dyDescent="0.25">
      <c r="A2655" t="s">
        <v>992</v>
      </c>
      <c r="B2655" t="s">
        <v>551</v>
      </c>
    </row>
    <row r="2656" spans="1:2" x14ac:dyDescent="0.25">
      <c r="A2656" t="s">
        <v>993</v>
      </c>
      <c r="B2656">
        <v>0.625</v>
      </c>
    </row>
    <row r="2657" spans="1:2" x14ac:dyDescent="0.25">
      <c r="A2657" t="s">
        <v>994</v>
      </c>
      <c r="B2657">
        <v>0</v>
      </c>
    </row>
    <row r="2658" spans="1:2" x14ac:dyDescent="0.25">
      <c r="A2658" t="s">
        <v>995</v>
      </c>
      <c r="B2658">
        <v>0</v>
      </c>
    </row>
    <row r="2659" spans="1:2" x14ac:dyDescent="0.25">
      <c r="A2659" t="s">
        <v>996</v>
      </c>
      <c r="B2659">
        <v>0</v>
      </c>
    </row>
    <row r="2660" spans="1:2" x14ac:dyDescent="0.25">
      <c r="A2660" t="s">
        <v>997</v>
      </c>
      <c r="B2660">
        <v>0</v>
      </c>
    </row>
    <row r="2661" spans="1:2" x14ac:dyDescent="0.25">
      <c r="A2661" t="s">
        <v>998</v>
      </c>
      <c r="B2661">
        <v>0.75</v>
      </c>
    </row>
    <row r="2662" spans="1:2" x14ac:dyDescent="0.25">
      <c r="A2662" t="s">
        <v>999</v>
      </c>
      <c r="B2662" t="s">
        <v>551</v>
      </c>
    </row>
    <row r="2663" spans="1:2" x14ac:dyDescent="0.25">
      <c r="A2663" t="s">
        <v>1000</v>
      </c>
      <c r="B2663">
        <v>0.625</v>
      </c>
    </row>
    <row r="2664" spans="1:2" x14ac:dyDescent="0.25">
      <c r="A2664" t="s">
        <v>1001</v>
      </c>
      <c r="B2664">
        <v>0</v>
      </c>
    </row>
    <row r="2665" spans="1:2" x14ac:dyDescent="0.25">
      <c r="A2665" t="s">
        <v>1002</v>
      </c>
      <c r="B2665">
        <v>0</v>
      </c>
    </row>
    <row r="2666" spans="1:2" x14ac:dyDescent="0.25">
      <c r="A2666" t="s">
        <v>1003</v>
      </c>
      <c r="B2666">
        <v>0</v>
      </c>
    </row>
    <row r="2667" spans="1:2" x14ac:dyDescent="0.25">
      <c r="A2667" t="s">
        <v>1004</v>
      </c>
      <c r="B2667">
        <v>0</v>
      </c>
    </row>
    <row r="2668" spans="1:2" x14ac:dyDescent="0.25">
      <c r="A2668" t="s">
        <v>1005</v>
      </c>
      <c r="B2668">
        <v>0.75</v>
      </c>
    </row>
    <row r="2669" spans="1:2" x14ac:dyDescent="0.25">
      <c r="A2669" t="s">
        <v>1151</v>
      </c>
      <c r="B2669" t="s">
        <v>551</v>
      </c>
    </row>
    <row r="2670" spans="1:2" x14ac:dyDescent="0.25">
      <c r="A2670" t="s">
        <v>1152</v>
      </c>
      <c r="B2670">
        <v>0.625</v>
      </c>
    </row>
    <row r="2671" spans="1:2" x14ac:dyDescent="0.25">
      <c r="A2671" t="s">
        <v>1153</v>
      </c>
      <c r="B2671">
        <v>0</v>
      </c>
    </row>
    <row r="2672" spans="1:2" x14ac:dyDescent="0.25">
      <c r="A2672" t="s">
        <v>1154</v>
      </c>
      <c r="B2672">
        <v>0</v>
      </c>
    </row>
    <row r="2673" spans="1:2" x14ac:dyDescent="0.25">
      <c r="A2673" t="s">
        <v>1155</v>
      </c>
      <c r="B2673">
        <v>0</v>
      </c>
    </row>
    <row r="2674" spans="1:2" x14ac:dyDescent="0.25">
      <c r="A2674" t="s">
        <v>1156</v>
      </c>
      <c r="B2674">
        <v>0</v>
      </c>
    </row>
    <row r="2675" spans="1:2" x14ac:dyDescent="0.25">
      <c r="A2675" t="s">
        <v>1157</v>
      </c>
      <c r="B2675">
        <v>0.75</v>
      </c>
    </row>
    <row r="2676" spans="1:2" x14ac:dyDescent="0.25">
      <c r="A2676" t="s">
        <v>1158</v>
      </c>
      <c r="B2676" t="s">
        <v>551</v>
      </c>
    </row>
    <row r="2677" spans="1:2" x14ac:dyDescent="0.25">
      <c r="A2677" t="s">
        <v>1159</v>
      </c>
      <c r="B2677">
        <v>0.625</v>
      </c>
    </row>
    <row r="2678" spans="1:2" x14ac:dyDescent="0.25">
      <c r="A2678" t="s">
        <v>1160</v>
      </c>
      <c r="B2678">
        <v>0</v>
      </c>
    </row>
    <row r="2679" spans="1:2" x14ac:dyDescent="0.25">
      <c r="A2679" t="s">
        <v>1161</v>
      </c>
      <c r="B2679">
        <v>0</v>
      </c>
    </row>
    <row r="2680" spans="1:2" x14ac:dyDescent="0.25">
      <c r="A2680" t="s">
        <v>1162</v>
      </c>
      <c r="B2680">
        <v>0</v>
      </c>
    </row>
    <row r="2681" spans="1:2" x14ac:dyDescent="0.25">
      <c r="A2681" t="s">
        <v>1163</v>
      </c>
      <c r="B2681">
        <v>0</v>
      </c>
    </row>
    <row r="2682" spans="1:2" x14ac:dyDescent="0.25">
      <c r="A2682" t="s">
        <v>1164</v>
      </c>
      <c r="B2682">
        <v>0.75</v>
      </c>
    </row>
    <row r="2683" spans="1:2" x14ac:dyDescent="0.25">
      <c r="A2683" t="s">
        <v>1165</v>
      </c>
      <c r="B2683" t="s">
        <v>551</v>
      </c>
    </row>
    <row r="2684" spans="1:2" x14ac:dyDescent="0.25">
      <c r="A2684" t="s">
        <v>1166</v>
      </c>
      <c r="B2684">
        <v>0.625</v>
      </c>
    </row>
    <row r="2685" spans="1:2" x14ac:dyDescent="0.25">
      <c r="A2685" t="s">
        <v>1167</v>
      </c>
      <c r="B2685">
        <v>0</v>
      </c>
    </row>
    <row r="2686" spans="1:2" x14ac:dyDescent="0.25">
      <c r="A2686" t="s">
        <v>1168</v>
      </c>
      <c r="B2686">
        <v>0</v>
      </c>
    </row>
    <row r="2687" spans="1:2" x14ac:dyDescent="0.25">
      <c r="A2687" t="s">
        <v>1169</v>
      </c>
      <c r="B2687">
        <v>0</v>
      </c>
    </row>
    <row r="2688" spans="1:2" x14ac:dyDescent="0.25">
      <c r="A2688" t="s">
        <v>1170</v>
      </c>
      <c r="B2688">
        <v>0</v>
      </c>
    </row>
    <row r="2689" spans="1:2" x14ac:dyDescent="0.25">
      <c r="A2689" t="s">
        <v>1171</v>
      </c>
      <c r="B2689">
        <v>0.75</v>
      </c>
    </row>
    <row r="2690" spans="1:2" x14ac:dyDescent="0.25">
      <c r="A2690" t="s">
        <v>1172</v>
      </c>
      <c r="B2690" t="s">
        <v>551</v>
      </c>
    </row>
    <row r="2691" spans="1:2" x14ac:dyDescent="0.25">
      <c r="A2691" t="s">
        <v>1173</v>
      </c>
      <c r="B2691">
        <v>0.625</v>
      </c>
    </row>
    <row r="2692" spans="1:2" x14ac:dyDescent="0.25">
      <c r="A2692" t="s">
        <v>1174</v>
      </c>
      <c r="B2692">
        <v>0</v>
      </c>
    </row>
    <row r="2693" spans="1:2" x14ac:dyDescent="0.25">
      <c r="A2693" t="s">
        <v>1175</v>
      </c>
      <c r="B2693">
        <v>0</v>
      </c>
    </row>
    <row r="2694" spans="1:2" x14ac:dyDescent="0.25">
      <c r="A2694" t="s">
        <v>1176</v>
      </c>
      <c r="B2694">
        <v>0</v>
      </c>
    </row>
    <row r="2695" spans="1:2" x14ac:dyDescent="0.25">
      <c r="A2695" t="s">
        <v>1177</v>
      </c>
      <c r="B2695">
        <v>0</v>
      </c>
    </row>
    <row r="2696" spans="1:2" x14ac:dyDescent="0.25">
      <c r="A2696" t="s">
        <v>1178</v>
      </c>
      <c r="B2696">
        <v>0.75</v>
      </c>
    </row>
    <row r="2697" spans="1:2" x14ac:dyDescent="0.25">
      <c r="A2697" t="s">
        <v>1179</v>
      </c>
      <c r="B2697" t="s">
        <v>551</v>
      </c>
    </row>
    <row r="2698" spans="1:2" x14ac:dyDescent="0.25">
      <c r="A2698" t="s">
        <v>1180</v>
      </c>
      <c r="B2698">
        <v>0.625</v>
      </c>
    </row>
    <row r="2699" spans="1:2" x14ac:dyDescent="0.25">
      <c r="A2699" t="s">
        <v>1181</v>
      </c>
      <c r="B2699">
        <v>0</v>
      </c>
    </row>
    <row r="2700" spans="1:2" x14ac:dyDescent="0.25">
      <c r="A2700" t="s">
        <v>1182</v>
      </c>
      <c r="B2700">
        <v>0</v>
      </c>
    </row>
    <row r="2701" spans="1:2" x14ac:dyDescent="0.25">
      <c r="A2701" t="s">
        <v>1183</v>
      </c>
      <c r="B2701">
        <v>0</v>
      </c>
    </row>
    <row r="2702" spans="1:2" x14ac:dyDescent="0.25">
      <c r="A2702" t="s">
        <v>1184</v>
      </c>
      <c r="B2702">
        <v>0</v>
      </c>
    </row>
    <row r="2703" spans="1:2" x14ac:dyDescent="0.25">
      <c r="A2703" t="s">
        <v>1185</v>
      </c>
      <c r="B2703">
        <v>0.75</v>
      </c>
    </row>
    <row r="2704" spans="1:2" x14ac:dyDescent="0.25">
      <c r="A2704" t="s">
        <v>1186</v>
      </c>
      <c r="B2704" t="s">
        <v>551</v>
      </c>
    </row>
    <row r="2705" spans="1:2" x14ac:dyDescent="0.25">
      <c r="A2705" t="s">
        <v>1187</v>
      </c>
      <c r="B2705">
        <v>0.625</v>
      </c>
    </row>
    <row r="2706" spans="1:2" x14ac:dyDescent="0.25">
      <c r="A2706" t="s">
        <v>1188</v>
      </c>
      <c r="B2706">
        <v>0</v>
      </c>
    </row>
    <row r="2707" spans="1:2" x14ac:dyDescent="0.25">
      <c r="A2707" t="s">
        <v>1189</v>
      </c>
      <c r="B2707">
        <v>0</v>
      </c>
    </row>
    <row r="2708" spans="1:2" x14ac:dyDescent="0.25">
      <c r="A2708" t="s">
        <v>1190</v>
      </c>
      <c r="B2708">
        <v>0</v>
      </c>
    </row>
    <row r="2709" spans="1:2" x14ac:dyDescent="0.25">
      <c r="A2709" t="s">
        <v>1191</v>
      </c>
      <c r="B2709">
        <v>0</v>
      </c>
    </row>
    <row r="2710" spans="1:2" x14ac:dyDescent="0.25">
      <c r="A2710" t="s">
        <v>1192</v>
      </c>
      <c r="B2710">
        <v>0.75</v>
      </c>
    </row>
    <row r="2711" spans="1:2" x14ac:dyDescent="0.25">
      <c r="A2711" t="s">
        <v>1193</v>
      </c>
      <c r="B2711" t="s">
        <v>551</v>
      </c>
    </row>
    <row r="2712" spans="1:2" x14ac:dyDescent="0.25">
      <c r="A2712" t="s">
        <v>1194</v>
      </c>
      <c r="B2712">
        <v>0.625</v>
      </c>
    </row>
    <row r="2713" spans="1:2" x14ac:dyDescent="0.25">
      <c r="A2713" t="s">
        <v>1195</v>
      </c>
      <c r="B2713">
        <v>0</v>
      </c>
    </row>
    <row r="2714" spans="1:2" x14ac:dyDescent="0.25">
      <c r="A2714" t="s">
        <v>1196</v>
      </c>
      <c r="B2714">
        <v>0</v>
      </c>
    </row>
    <row r="2715" spans="1:2" x14ac:dyDescent="0.25">
      <c r="A2715" t="s">
        <v>1197</v>
      </c>
      <c r="B2715">
        <v>0</v>
      </c>
    </row>
    <row r="2716" spans="1:2" x14ac:dyDescent="0.25">
      <c r="A2716" t="s">
        <v>1198</v>
      </c>
      <c r="B2716">
        <v>0</v>
      </c>
    </row>
    <row r="2717" spans="1:2" x14ac:dyDescent="0.25">
      <c r="A2717" t="s">
        <v>1199</v>
      </c>
      <c r="B2717">
        <v>0.75</v>
      </c>
    </row>
    <row r="2718" spans="1:2" x14ac:dyDescent="0.25">
      <c r="A2718" t="s">
        <v>1200</v>
      </c>
      <c r="B2718" t="s">
        <v>551</v>
      </c>
    </row>
    <row r="2719" spans="1:2" x14ac:dyDescent="0.25">
      <c r="A2719" t="s">
        <v>1201</v>
      </c>
      <c r="B2719">
        <v>0.625</v>
      </c>
    </row>
    <row r="2720" spans="1:2" x14ac:dyDescent="0.25">
      <c r="A2720" t="s">
        <v>1202</v>
      </c>
      <c r="B2720">
        <v>0</v>
      </c>
    </row>
    <row r="2721" spans="1:2" x14ac:dyDescent="0.25">
      <c r="A2721" t="s">
        <v>1203</v>
      </c>
      <c r="B2721">
        <v>0</v>
      </c>
    </row>
    <row r="2722" spans="1:2" x14ac:dyDescent="0.25">
      <c r="A2722" t="s">
        <v>1204</v>
      </c>
      <c r="B2722">
        <v>0</v>
      </c>
    </row>
    <row r="2723" spans="1:2" x14ac:dyDescent="0.25">
      <c r="A2723" t="s">
        <v>1205</v>
      </c>
      <c r="B2723">
        <v>0</v>
      </c>
    </row>
    <row r="2724" spans="1:2" x14ac:dyDescent="0.25">
      <c r="A2724" t="s">
        <v>1206</v>
      </c>
      <c r="B2724">
        <v>0.75</v>
      </c>
    </row>
    <row r="2725" spans="1:2" x14ac:dyDescent="0.25">
      <c r="A2725" t="s">
        <v>1020</v>
      </c>
      <c r="B2725" t="s">
        <v>303</v>
      </c>
    </row>
    <row r="2726" spans="1:2" x14ac:dyDescent="0.25">
      <c r="A2726" t="s">
        <v>1021</v>
      </c>
      <c r="B2726" t="s">
        <v>303</v>
      </c>
    </row>
    <row r="2727" spans="1:2" x14ac:dyDescent="0.25">
      <c r="A2727" t="s">
        <v>1022</v>
      </c>
      <c r="B2727" t="s">
        <v>303</v>
      </c>
    </row>
    <row r="2728" spans="1:2" x14ac:dyDescent="0.25">
      <c r="A2728" t="s">
        <v>1023</v>
      </c>
      <c r="B2728" t="s">
        <v>303</v>
      </c>
    </row>
    <row r="2729" spans="1:2" x14ac:dyDescent="0.25">
      <c r="A2729" t="s">
        <v>1024</v>
      </c>
      <c r="B2729" t="s">
        <v>303</v>
      </c>
    </row>
    <row r="2730" spans="1:2" x14ac:dyDescent="0.25">
      <c r="A2730" t="s">
        <v>1025</v>
      </c>
      <c r="B2730" t="s">
        <v>303</v>
      </c>
    </row>
    <row r="2731" spans="1:2" x14ac:dyDescent="0.25">
      <c r="A2731" t="s">
        <v>961</v>
      </c>
      <c r="B2731">
        <v>0</v>
      </c>
    </row>
    <row r="2732" spans="1:2" x14ac:dyDescent="0.25">
      <c r="A2732" t="s">
        <v>962</v>
      </c>
      <c r="B2732">
        <v>0</v>
      </c>
    </row>
    <row r="2733" spans="1:2" x14ac:dyDescent="0.25">
      <c r="A2733" t="s">
        <v>963</v>
      </c>
      <c r="B2733">
        <v>0</v>
      </c>
    </row>
    <row r="2734" spans="1:2" x14ac:dyDescent="0.25">
      <c r="A2734" t="s">
        <v>964</v>
      </c>
      <c r="B2734">
        <v>0</v>
      </c>
    </row>
    <row r="2735" spans="1:2" x14ac:dyDescent="0.25">
      <c r="A2735" t="s">
        <v>965</v>
      </c>
      <c r="B2735">
        <v>0</v>
      </c>
    </row>
    <row r="2736" spans="1:2" x14ac:dyDescent="0.25">
      <c r="A2736" t="s">
        <v>966</v>
      </c>
      <c r="B2736">
        <v>0</v>
      </c>
    </row>
    <row r="2737" spans="1:2" x14ac:dyDescent="0.25">
      <c r="A2737" t="s">
        <v>967</v>
      </c>
      <c r="B2737">
        <v>0</v>
      </c>
    </row>
    <row r="2738" spans="1:2" x14ac:dyDescent="0.25">
      <c r="A2738" t="s">
        <v>968</v>
      </c>
      <c r="B2738">
        <v>0</v>
      </c>
    </row>
    <row r="2739" spans="1:2" x14ac:dyDescent="0.25">
      <c r="A2739" t="s">
        <v>771</v>
      </c>
      <c r="B2739">
        <v>8</v>
      </c>
    </row>
    <row r="2740" spans="1:2" x14ac:dyDescent="0.25">
      <c r="A2740" t="s">
        <v>772</v>
      </c>
      <c r="B2740" t="s">
        <v>1210</v>
      </c>
    </row>
    <row r="2741" spans="1:2" x14ac:dyDescent="0.25">
      <c r="A2741" t="s">
        <v>773</v>
      </c>
      <c r="B2741">
        <v>215</v>
      </c>
    </row>
    <row r="2742" spans="1:2" x14ac:dyDescent="0.25">
      <c r="A2742" t="s">
        <v>774</v>
      </c>
      <c r="B2742">
        <v>29.5</v>
      </c>
    </row>
    <row r="2743" spans="1:2" x14ac:dyDescent="0.25">
      <c r="A2743" t="s">
        <v>775</v>
      </c>
      <c r="B2743">
        <v>29.5</v>
      </c>
    </row>
    <row r="2744" spans="1:2" x14ac:dyDescent="0.25">
      <c r="A2744" t="s">
        <v>776</v>
      </c>
      <c r="B2744">
        <v>1</v>
      </c>
    </row>
    <row r="2745" spans="1:2" x14ac:dyDescent="0.25">
      <c r="A2745" t="s">
        <v>777</v>
      </c>
      <c r="B2745">
        <v>1</v>
      </c>
    </row>
    <row r="2746" spans="1:2" x14ac:dyDescent="0.25">
      <c r="A2746" t="s">
        <v>778</v>
      </c>
      <c r="B2746">
        <v>5</v>
      </c>
    </row>
    <row r="2747" spans="1:2" x14ac:dyDescent="0.25">
      <c r="A2747" t="s">
        <v>779</v>
      </c>
      <c r="B2747" t="s">
        <v>342</v>
      </c>
    </row>
    <row r="2748" spans="1:2" x14ac:dyDescent="0.25">
      <c r="A2748" t="s">
        <v>780</v>
      </c>
      <c r="B2748" s="7">
        <v>1.5</v>
      </c>
    </row>
    <row r="2749" spans="1:2" x14ac:dyDescent="0.25">
      <c r="A2749" t="s">
        <v>781</v>
      </c>
      <c r="B2749">
        <v>50</v>
      </c>
    </row>
    <row r="2750" spans="1:2" x14ac:dyDescent="0.25">
      <c r="A2750" t="s">
        <v>782</v>
      </c>
      <c r="B2750" t="s">
        <v>312</v>
      </c>
    </row>
    <row r="2751" spans="1:2" x14ac:dyDescent="0.25">
      <c r="A2751" t="s">
        <v>783</v>
      </c>
      <c r="B2751">
        <v>36</v>
      </c>
    </row>
    <row r="2752" spans="1:2" x14ac:dyDescent="0.25">
      <c r="A2752" t="s">
        <v>784</v>
      </c>
      <c r="B2752" t="s">
        <v>320</v>
      </c>
    </row>
    <row r="2753" spans="1:2" x14ac:dyDescent="0.25">
      <c r="A2753" t="s">
        <v>785</v>
      </c>
      <c r="B2753">
        <v>36</v>
      </c>
    </row>
    <row r="2754" spans="1:2" x14ac:dyDescent="0.25">
      <c r="A2754" t="s">
        <v>786</v>
      </c>
      <c r="B2754" t="s">
        <v>320</v>
      </c>
    </row>
    <row r="2755" spans="1:2" x14ac:dyDescent="0.25">
      <c r="A2755" t="s">
        <v>787</v>
      </c>
      <c r="B2755">
        <v>36</v>
      </c>
    </row>
    <row r="2756" spans="1:2" x14ac:dyDescent="0.25">
      <c r="A2756" t="s">
        <v>788</v>
      </c>
      <c r="B2756" t="s">
        <v>320</v>
      </c>
    </row>
    <row r="2757" spans="1:2" x14ac:dyDescent="0.25">
      <c r="A2757" t="s">
        <v>789</v>
      </c>
      <c r="B2757">
        <v>36</v>
      </c>
    </row>
    <row r="2758" spans="1:2" x14ac:dyDescent="0.25">
      <c r="A2758" t="s">
        <v>790</v>
      </c>
      <c r="B2758" t="s">
        <v>320</v>
      </c>
    </row>
    <row r="2759" spans="1:2" x14ac:dyDescent="0.25">
      <c r="A2759" t="s">
        <v>791</v>
      </c>
      <c r="B2759">
        <v>36</v>
      </c>
    </row>
    <row r="2760" spans="1:2" x14ac:dyDescent="0.25">
      <c r="A2760" t="s">
        <v>792</v>
      </c>
      <c r="B2760" t="s">
        <v>320</v>
      </c>
    </row>
    <row r="2761" spans="1:2" x14ac:dyDescent="0.25">
      <c r="A2761" t="s">
        <v>793</v>
      </c>
      <c r="B2761">
        <v>50</v>
      </c>
    </row>
    <row r="2762" spans="1:2" x14ac:dyDescent="0.25">
      <c r="A2762" t="s">
        <v>794</v>
      </c>
      <c r="B2762" t="s">
        <v>312</v>
      </c>
    </row>
    <row r="2763" spans="1:2" x14ac:dyDescent="0.25">
      <c r="A2763" t="s">
        <v>795</v>
      </c>
      <c r="B2763">
        <v>50</v>
      </c>
    </row>
    <row r="2764" spans="1:2" x14ac:dyDescent="0.25">
      <c r="A2764" t="s">
        <v>796</v>
      </c>
      <c r="B2764" t="s">
        <v>312</v>
      </c>
    </row>
    <row r="2765" spans="1:2" x14ac:dyDescent="0.25">
      <c r="A2765" t="s">
        <v>797</v>
      </c>
      <c r="B2765" t="s">
        <v>342</v>
      </c>
    </row>
    <row r="2766" spans="1:2" x14ac:dyDescent="0.25">
      <c r="A2766" t="s">
        <v>798</v>
      </c>
      <c r="B2766" s="5">
        <v>44928</v>
      </c>
    </row>
    <row r="2767" spans="1:2" x14ac:dyDescent="0.25">
      <c r="A2767" t="s">
        <v>799</v>
      </c>
      <c r="B2767" t="s">
        <v>342</v>
      </c>
    </row>
    <row r="2768" spans="1:2" x14ac:dyDescent="0.25">
      <c r="A2768" t="s">
        <v>800</v>
      </c>
    </row>
    <row r="2769" spans="1:2" x14ac:dyDescent="0.25">
      <c r="A2769" t="s">
        <v>801</v>
      </c>
      <c r="B2769" t="s">
        <v>1038</v>
      </c>
    </row>
    <row r="2770" spans="1:2" x14ac:dyDescent="0.25">
      <c r="A2770" t="s">
        <v>802</v>
      </c>
      <c r="B2770" t="s">
        <v>1039</v>
      </c>
    </row>
    <row r="2771" spans="1:2" x14ac:dyDescent="0.25">
      <c r="A2771" t="s">
        <v>803</v>
      </c>
      <c r="B2771" t="s">
        <v>1038</v>
      </c>
    </row>
    <row r="2772" spans="1:2" x14ac:dyDescent="0.25">
      <c r="A2772" t="s">
        <v>804</v>
      </c>
      <c r="B2772" t="s">
        <v>1039</v>
      </c>
    </row>
    <row r="2773" spans="1:2" x14ac:dyDescent="0.25">
      <c r="A2773" t="s">
        <v>805</v>
      </c>
      <c r="B2773">
        <v>1</v>
      </c>
    </row>
    <row r="2774" spans="1:2" x14ac:dyDescent="0.25">
      <c r="A2774" t="s">
        <v>806</v>
      </c>
      <c r="B2774">
        <v>0</v>
      </c>
    </row>
    <row r="2775" spans="1:2" x14ac:dyDescent="0.25">
      <c r="A2775" t="s">
        <v>807</v>
      </c>
      <c r="B2775" t="s">
        <v>303</v>
      </c>
    </row>
    <row r="2776" spans="1:2" x14ac:dyDescent="0.25">
      <c r="A2776" t="s">
        <v>808</v>
      </c>
      <c r="B2776" t="s">
        <v>305</v>
      </c>
    </row>
    <row r="2777" spans="1:2" x14ac:dyDescent="0.25">
      <c r="A2777" t="s">
        <v>809</v>
      </c>
      <c r="B2777" t="s">
        <v>342</v>
      </c>
    </row>
    <row r="2778" spans="1:2" x14ac:dyDescent="0.25">
      <c r="A2778" t="s">
        <v>810</v>
      </c>
      <c r="B2778" s="5">
        <v>44989</v>
      </c>
    </row>
    <row r="2779" spans="1:2" x14ac:dyDescent="0.25">
      <c r="A2779" t="s">
        <v>811</v>
      </c>
      <c r="B2779" t="s">
        <v>342</v>
      </c>
    </row>
    <row r="2780" spans="1:2" x14ac:dyDescent="0.25">
      <c r="A2780" t="s">
        <v>812</v>
      </c>
    </row>
    <row r="2781" spans="1:2" x14ac:dyDescent="0.25">
      <c r="A2781" t="s">
        <v>813</v>
      </c>
      <c r="B2781">
        <v>36</v>
      </c>
    </row>
    <row r="2782" spans="1:2" x14ac:dyDescent="0.25">
      <c r="A2782" t="s">
        <v>814</v>
      </c>
      <c r="B2782" t="s">
        <v>320</v>
      </c>
    </row>
    <row r="2783" spans="1:2" x14ac:dyDescent="0.25">
      <c r="A2783" t="s">
        <v>1040</v>
      </c>
      <c r="B2783">
        <v>36</v>
      </c>
    </row>
    <row r="2784" spans="1:2" x14ac:dyDescent="0.25">
      <c r="A2784" t="s">
        <v>1041</v>
      </c>
      <c r="B2784" t="s">
        <v>320</v>
      </c>
    </row>
    <row r="2785" spans="1:2" x14ac:dyDescent="0.25">
      <c r="A2785" t="s">
        <v>1042</v>
      </c>
      <c r="B2785">
        <v>36</v>
      </c>
    </row>
    <row r="2786" spans="1:2" x14ac:dyDescent="0.25">
      <c r="A2786" t="s">
        <v>1043</v>
      </c>
      <c r="B2786" t="s">
        <v>320</v>
      </c>
    </row>
    <row r="2787" spans="1:2" x14ac:dyDescent="0.25">
      <c r="A2787" t="s">
        <v>1044</v>
      </c>
      <c r="B2787">
        <v>36</v>
      </c>
    </row>
    <row r="2788" spans="1:2" x14ac:dyDescent="0.25">
      <c r="A2788" t="s">
        <v>1045</v>
      </c>
      <c r="B2788" t="s">
        <v>320</v>
      </c>
    </row>
    <row r="2789" spans="1:2" x14ac:dyDescent="0.25">
      <c r="A2789" t="s">
        <v>1046</v>
      </c>
      <c r="B2789">
        <v>36</v>
      </c>
    </row>
    <row r="2790" spans="1:2" x14ac:dyDescent="0.25">
      <c r="A2790" t="s">
        <v>1047</v>
      </c>
      <c r="B2790" t="s">
        <v>320</v>
      </c>
    </row>
    <row r="2791" spans="1:2" x14ac:dyDescent="0.25">
      <c r="A2791" t="s">
        <v>1048</v>
      </c>
      <c r="B2791">
        <v>36</v>
      </c>
    </row>
    <row r="2792" spans="1:2" x14ac:dyDescent="0.25">
      <c r="A2792" t="s">
        <v>1049</v>
      </c>
      <c r="B2792" t="s">
        <v>320</v>
      </c>
    </row>
    <row r="2793" spans="1:2" x14ac:dyDescent="0.25">
      <c r="A2793" t="s">
        <v>1050</v>
      </c>
      <c r="B2793">
        <v>36</v>
      </c>
    </row>
    <row r="2794" spans="1:2" x14ac:dyDescent="0.25">
      <c r="A2794" t="s">
        <v>1051</v>
      </c>
      <c r="B2794" t="s">
        <v>320</v>
      </c>
    </row>
    <row r="2795" spans="1:2" x14ac:dyDescent="0.25">
      <c r="A2795" t="s">
        <v>1052</v>
      </c>
      <c r="B2795">
        <v>36</v>
      </c>
    </row>
    <row r="2796" spans="1:2" x14ac:dyDescent="0.25">
      <c r="A2796" t="s">
        <v>1053</v>
      </c>
      <c r="B2796" t="s">
        <v>320</v>
      </c>
    </row>
    <row r="2797" spans="1:2" x14ac:dyDescent="0.25">
      <c r="A2797" t="s">
        <v>1054</v>
      </c>
      <c r="B2797">
        <v>36</v>
      </c>
    </row>
    <row r="2798" spans="1:2" x14ac:dyDescent="0.25">
      <c r="A2798" t="s">
        <v>1055</v>
      </c>
      <c r="B2798" t="s">
        <v>320</v>
      </c>
    </row>
    <row r="2799" spans="1:2" x14ac:dyDescent="0.25">
      <c r="A2799" t="s">
        <v>1056</v>
      </c>
      <c r="B2799">
        <v>36</v>
      </c>
    </row>
    <row r="2800" spans="1:2" x14ac:dyDescent="0.25">
      <c r="A2800" t="s">
        <v>1057</v>
      </c>
      <c r="B2800" t="s">
        <v>320</v>
      </c>
    </row>
    <row r="2801" spans="1:2" x14ac:dyDescent="0.25">
      <c r="A2801" t="s">
        <v>1058</v>
      </c>
      <c r="B2801">
        <v>36</v>
      </c>
    </row>
    <row r="2802" spans="1:2" x14ac:dyDescent="0.25">
      <c r="A2802" t="s">
        <v>1059</v>
      </c>
      <c r="B2802" t="s">
        <v>320</v>
      </c>
    </row>
    <row r="2803" spans="1:2" x14ac:dyDescent="0.25">
      <c r="A2803" t="s">
        <v>1060</v>
      </c>
      <c r="B2803">
        <v>36</v>
      </c>
    </row>
    <row r="2804" spans="1:2" x14ac:dyDescent="0.25">
      <c r="A2804" t="s">
        <v>1061</v>
      </c>
      <c r="B2804" t="s">
        <v>320</v>
      </c>
    </row>
    <row r="2805" spans="1:2" x14ac:dyDescent="0.25">
      <c r="A2805" t="s">
        <v>1062</v>
      </c>
      <c r="B2805">
        <v>36</v>
      </c>
    </row>
    <row r="2806" spans="1:2" x14ac:dyDescent="0.25">
      <c r="A2806" t="s">
        <v>1063</v>
      </c>
      <c r="B2806" t="s">
        <v>320</v>
      </c>
    </row>
    <row r="2807" spans="1:2" x14ac:dyDescent="0.25">
      <c r="A2807" t="s">
        <v>1064</v>
      </c>
      <c r="B2807">
        <v>36</v>
      </c>
    </row>
    <row r="2808" spans="1:2" x14ac:dyDescent="0.25">
      <c r="A2808" t="s">
        <v>1065</v>
      </c>
      <c r="B2808" t="s">
        <v>320</v>
      </c>
    </row>
    <row r="2809" spans="1:2" x14ac:dyDescent="0.25">
      <c r="A2809" t="s">
        <v>1066</v>
      </c>
      <c r="B2809">
        <v>36</v>
      </c>
    </row>
    <row r="2810" spans="1:2" x14ac:dyDescent="0.25">
      <c r="A2810" t="s">
        <v>1067</v>
      </c>
      <c r="B2810" t="s">
        <v>320</v>
      </c>
    </row>
    <row r="2811" spans="1:2" x14ac:dyDescent="0.25">
      <c r="A2811" t="s">
        <v>1068</v>
      </c>
      <c r="B2811">
        <v>36</v>
      </c>
    </row>
    <row r="2812" spans="1:2" x14ac:dyDescent="0.25">
      <c r="A2812" t="s">
        <v>1069</v>
      </c>
      <c r="B2812" t="s">
        <v>320</v>
      </c>
    </row>
    <row r="2813" spans="1:2" x14ac:dyDescent="0.25">
      <c r="A2813" t="s">
        <v>1070</v>
      </c>
      <c r="B2813">
        <v>36</v>
      </c>
    </row>
    <row r="2814" spans="1:2" x14ac:dyDescent="0.25">
      <c r="A2814" t="s">
        <v>1071</v>
      </c>
      <c r="B2814" t="s">
        <v>320</v>
      </c>
    </row>
    <row r="2815" spans="1:2" x14ac:dyDescent="0.25">
      <c r="A2815" t="s">
        <v>1072</v>
      </c>
      <c r="B2815">
        <v>36</v>
      </c>
    </row>
    <row r="2816" spans="1:2" x14ac:dyDescent="0.25">
      <c r="A2816" t="s">
        <v>1073</v>
      </c>
      <c r="B2816" t="s">
        <v>320</v>
      </c>
    </row>
    <row r="2817" spans="1:2" x14ac:dyDescent="0.25">
      <c r="A2817" t="s">
        <v>1074</v>
      </c>
      <c r="B2817">
        <v>36</v>
      </c>
    </row>
    <row r="2818" spans="1:2" x14ac:dyDescent="0.25">
      <c r="A2818" t="s">
        <v>1075</v>
      </c>
      <c r="B2818" t="s">
        <v>320</v>
      </c>
    </row>
    <row r="2819" spans="1:2" x14ac:dyDescent="0.25">
      <c r="A2819" t="s">
        <v>1076</v>
      </c>
      <c r="B2819">
        <v>36</v>
      </c>
    </row>
    <row r="2820" spans="1:2" x14ac:dyDescent="0.25">
      <c r="A2820" t="s">
        <v>1077</v>
      </c>
      <c r="B2820" t="s">
        <v>320</v>
      </c>
    </row>
    <row r="2821" spans="1:2" x14ac:dyDescent="0.25">
      <c r="A2821" t="s">
        <v>815</v>
      </c>
      <c r="B2821" t="s">
        <v>1078</v>
      </c>
    </row>
    <row r="2822" spans="1:2" x14ac:dyDescent="0.25">
      <c r="A2822" t="s">
        <v>1079</v>
      </c>
      <c r="B2822" t="s">
        <v>1078</v>
      </c>
    </row>
    <row r="2823" spans="1:2" x14ac:dyDescent="0.25">
      <c r="A2823" t="s">
        <v>1080</v>
      </c>
      <c r="B2823" t="s">
        <v>1078</v>
      </c>
    </row>
    <row r="2824" spans="1:2" x14ac:dyDescent="0.25">
      <c r="A2824" t="s">
        <v>1081</v>
      </c>
      <c r="B2824" t="s">
        <v>1078</v>
      </c>
    </row>
    <row r="2825" spans="1:2" x14ac:dyDescent="0.25">
      <c r="A2825" t="s">
        <v>1082</v>
      </c>
      <c r="B2825" t="s">
        <v>1078</v>
      </c>
    </row>
    <row r="2826" spans="1:2" x14ac:dyDescent="0.25">
      <c r="A2826" t="s">
        <v>816</v>
      </c>
      <c r="B2826" t="s">
        <v>1078</v>
      </c>
    </row>
    <row r="2827" spans="1:2" x14ac:dyDescent="0.25">
      <c r="A2827" t="s">
        <v>1083</v>
      </c>
      <c r="B2827" t="s">
        <v>1078</v>
      </c>
    </row>
    <row r="2828" spans="1:2" x14ac:dyDescent="0.25">
      <c r="A2828" t="s">
        <v>1084</v>
      </c>
      <c r="B2828" t="s">
        <v>1078</v>
      </c>
    </row>
    <row r="2829" spans="1:2" x14ac:dyDescent="0.25">
      <c r="A2829" t="s">
        <v>1085</v>
      </c>
      <c r="B2829" t="s">
        <v>1078</v>
      </c>
    </row>
    <row r="2830" spans="1:2" x14ac:dyDescent="0.25">
      <c r="A2830" t="s">
        <v>817</v>
      </c>
      <c r="B2830" t="s">
        <v>1078</v>
      </c>
    </row>
    <row r="2831" spans="1:2" x14ac:dyDescent="0.25">
      <c r="A2831" t="s">
        <v>818</v>
      </c>
      <c r="B2831" t="s">
        <v>1078</v>
      </c>
    </row>
    <row r="2832" spans="1:2" x14ac:dyDescent="0.25">
      <c r="A2832" t="s">
        <v>819</v>
      </c>
      <c r="B2832" t="s">
        <v>1078</v>
      </c>
    </row>
    <row r="2833" spans="1:2" x14ac:dyDescent="0.25">
      <c r="A2833" t="s">
        <v>820</v>
      </c>
      <c r="B2833" t="s">
        <v>1078</v>
      </c>
    </row>
    <row r="2834" spans="1:2" x14ac:dyDescent="0.25">
      <c r="A2834" t="s">
        <v>1086</v>
      </c>
      <c r="B2834" t="s">
        <v>1078</v>
      </c>
    </row>
    <row r="2835" spans="1:2" x14ac:dyDescent="0.25">
      <c r="A2835" t="s">
        <v>1087</v>
      </c>
      <c r="B2835" t="s">
        <v>1078</v>
      </c>
    </row>
    <row r="2836" spans="1:2" x14ac:dyDescent="0.25">
      <c r="A2836" t="s">
        <v>1088</v>
      </c>
      <c r="B2836" t="s">
        <v>1078</v>
      </c>
    </row>
    <row r="2837" spans="1:2" x14ac:dyDescent="0.25">
      <c r="A2837" t="s">
        <v>821</v>
      </c>
      <c r="B2837" t="s">
        <v>1078</v>
      </c>
    </row>
    <row r="2838" spans="1:2" x14ac:dyDescent="0.25">
      <c r="A2838" t="s">
        <v>1089</v>
      </c>
      <c r="B2838" t="s">
        <v>1078</v>
      </c>
    </row>
    <row r="2839" spans="1:2" x14ac:dyDescent="0.25">
      <c r="A2839" t="s">
        <v>1090</v>
      </c>
      <c r="B2839" t="s">
        <v>1078</v>
      </c>
    </row>
    <row r="2840" spans="1:2" x14ac:dyDescent="0.25">
      <c r="A2840" t="s">
        <v>1091</v>
      </c>
      <c r="B2840" t="s">
        <v>1078</v>
      </c>
    </row>
    <row r="2841" spans="1:2" x14ac:dyDescent="0.25">
      <c r="A2841" t="s">
        <v>822</v>
      </c>
    </row>
    <row r="2842" spans="1:2" x14ac:dyDescent="0.25">
      <c r="A2842" t="s">
        <v>823</v>
      </c>
    </row>
    <row r="2843" spans="1:2" x14ac:dyDescent="0.25">
      <c r="A2843" t="s">
        <v>824</v>
      </c>
    </row>
    <row r="2844" spans="1:2" x14ac:dyDescent="0.25">
      <c r="A2844" t="s">
        <v>825</v>
      </c>
    </row>
    <row r="2845" spans="1:2" x14ac:dyDescent="0.25">
      <c r="A2845" t="s">
        <v>826</v>
      </c>
    </row>
    <row r="2846" spans="1:2" x14ac:dyDescent="0.25">
      <c r="A2846" t="s">
        <v>827</v>
      </c>
    </row>
    <row r="2847" spans="1:2" x14ac:dyDescent="0.25">
      <c r="A2847" t="s">
        <v>828</v>
      </c>
    </row>
    <row r="2848" spans="1:2" x14ac:dyDescent="0.25">
      <c r="A2848" t="s">
        <v>829</v>
      </c>
    </row>
    <row r="2849" spans="1:2" x14ac:dyDescent="0.25">
      <c r="A2849" t="s">
        <v>830</v>
      </c>
    </row>
    <row r="2850" spans="1:2" x14ac:dyDescent="0.25">
      <c r="A2850" t="s">
        <v>831</v>
      </c>
    </row>
    <row r="2851" spans="1:2" x14ac:dyDescent="0.25">
      <c r="A2851" t="s">
        <v>832</v>
      </c>
      <c r="B2851">
        <v>0.45</v>
      </c>
    </row>
    <row r="2852" spans="1:2" x14ac:dyDescent="0.25">
      <c r="A2852" t="s">
        <v>833</v>
      </c>
    </row>
    <row r="2853" spans="1:2" x14ac:dyDescent="0.25">
      <c r="A2853" t="s">
        <v>834</v>
      </c>
    </row>
    <row r="2854" spans="1:2" x14ac:dyDescent="0.25">
      <c r="A2854" t="s">
        <v>835</v>
      </c>
    </row>
    <row r="2855" spans="1:2" x14ac:dyDescent="0.25">
      <c r="A2855" t="s">
        <v>836</v>
      </c>
    </row>
    <row r="2856" spans="1:2" x14ac:dyDescent="0.25">
      <c r="A2856" t="s">
        <v>837</v>
      </c>
    </row>
    <row r="2857" spans="1:2" x14ac:dyDescent="0.25">
      <c r="A2857" t="s">
        <v>838</v>
      </c>
    </row>
    <row r="2858" spans="1:2" x14ac:dyDescent="0.25">
      <c r="A2858" t="s">
        <v>839</v>
      </c>
    </row>
    <row r="2859" spans="1:2" x14ac:dyDescent="0.25">
      <c r="A2859" t="s">
        <v>840</v>
      </c>
    </row>
    <row r="2860" spans="1:2" x14ac:dyDescent="0.25">
      <c r="A2860" t="s">
        <v>841</v>
      </c>
    </row>
    <row r="2861" spans="1:2" x14ac:dyDescent="0.25">
      <c r="A2861" t="s">
        <v>842</v>
      </c>
      <c r="B2861">
        <v>2</v>
      </c>
    </row>
    <row r="2862" spans="1:2" x14ac:dyDescent="0.25">
      <c r="A2862" t="s">
        <v>843</v>
      </c>
      <c r="B2862" t="s">
        <v>1038</v>
      </c>
    </row>
    <row r="2863" spans="1:2" x14ac:dyDescent="0.25">
      <c r="A2863" t="s">
        <v>844</v>
      </c>
      <c r="B2863" t="s">
        <v>1039</v>
      </c>
    </row>
    <row r="2864" spans="1:2" x14ac:dyDescent="0.25">
      <c r="A2864" t="s">
        <v>845</v>
      </c>
      <c r="B2864" t="s">
        <v>307</v>
      </c>
    </row>
    <row r="2865" spans="1:2" x14ac:dyDescent="0.25">
      <c r="A2865" t="s">
        <v>846</v>
      </c>
      <c r="B2865" t="s">
        <v>1092</v>
      </c>
    </row>
    <row r="2866" spans="1:2" x14ac:dyDescent="0.25">
      <c r="A2866" t="s">
        <v>847</v>
      </c>
      <c r="B2866">
        <v>35</v>
      </c>
    </row>
    <row r="2867" spans="1:2" x14ac:dyDescent="0.25">
      <c r="A2867" t="s">
        <v>848</v>
      </c>
      <c r="B2867" t="s">
        <v>315</v>
      </c>
    </row>
    <row r="2868" spans="1:2" x14ac:dyDescent="0.25">
      <c r="A2868" t="s">
        <v>849</v>
      </c>
      <c r="B2868">
        <v>0</v>
      </c>
    </row>
    <row r="2869" spans="1:2" x14ac:dyDescent="0.25">
      <c r="A2869" t="s">
        <v>850</v>
      </c>
      <c r="B2869">
        <v>16</v>
      </c>
    </row>
    <row r="2870" spans="1:2" x14ac:dyDescent="0.25">
      <c r="A2870" t="s">
        <v>851</v>
      </c>
      <c r="B2870">
        <v>21</v>
      </c>
    </row>
    <row r="2871" spans="1:2" x14ac:dyDescent="0.25">
      <c r="A2871" t="s">
        <v>852</v>
      </c>
      <c r="B2871">
        <v>30</v>
      </c>
    </row>
    <row r="2872" spans="1:2" x14ac:dyDescent="0.25">
      <c r="A2872" t="s">
        <v>853</v>
      </c>
      <c r="B2872">
        <v>0.5</v>
      </c>
    </row>
    <row r="2873" spans="1:2" x14ac:dyDescent="0.25">
      <c r="A2873" t="s">
        <v>854</v>
      </c>
      <c r="B2873">
        <v>2</v>
      </c>
    </row>
    <row r="2874" spans="1:2" x14ac:dyDescent="0.25">
      <c r="A2874" t="s">
        <v>855</v>
      </c>
      <c r="B2874">
        <v>65</v>
      </c>
    </row>
    <row r="2875" spans="1:2" x14ac:dyDescent="0.25">
      <c r="A2875" t="s">
        <v>856</v>
      </c>
      <c r="B2875" t="s">
        <v>1093</v>
      </c>
    </row>
    <row r="2876" spans="1:2" x14ac:dyDescent="0.25">
      <c r="A2876" t="s">
        <v>857</v>
      </c>
      <c r="B2876">
        <v>1</v>
      </c>
    </row>
    <row r="2877" spans="1:2" x14ac:dyDescent="0.25">
      <c r="A2877" t="s">
        <v>858</v>
      </c>
      <c r="B2877">
        <v>1</v>
      </c>
    </row>
    <row r="2878" spans="1:2" x14ac:dyDescent="0.25">
      <c r="A2878" t="s">
        <v>859</v>
      </c>
      <c r="B2878" t="s">
        <v>303</v>
      </c>
    </row>
    <row r="2879" spans="1:2" x14ac:dyDescent="0.25">
      <c r="A2879" t="s">
        <v>860</v>
      </c>
      <c r="B2879" t="s">
        <v>303</v>
      </c>
    </row>
    <row r="2880" spans="1:2" x14ac:dyDescent="0.25">
      <c r="A2880" t="s">
        <v>861</v>
      </c>
      <c r="B2880">
        <v>0</v>
      </c>
    </row>
    <row r="2881" spans="1:2" x14ac:dyDescent="0.25">
      <c r="A2881" t="s">
        <v>862</v>
      </c>
      <c r="B2881">
        <v>0</v>
      </c>
    </row>
    <row r="2882" spans="1:2" x14ac:dyDescent="0.25">
      <c r="A2882" t="s">
        <v>863</v>
      </c>
      <c r="B2882">
        <v>0</v>
      </c>
    </row>
    <row r="2883" spans="1:2" x14ac:dyDescent="0.25">
      <c r="A2883" t="s">
        <v>864</v>
      </c>
      <c r="B2883">
        <v>36</v>
      </c>
    </row>
    <row r="2884" spans="1:2" x14ac:dyDescent="0.25">
      <c r="A2884" t="s">
        <v>865</v>
      </c>
      <c r="B2884" t="s">
        <v>320</v>
      </c>
    </row>
    <row r="2885" spans="1:2" x14ac:dyDescent="0.25">
      <c r="A2885" t="s">
        <v>866</v>
      </c>
      <c r="B2885">
        <v>1</v>
      </c>
    </row>
    <row r="2886" spans="1:2" x14ac:dyDescent="0.25">
      <c r="A2886" t="s">
        <v>867</v>
      </c>
      <c r="B2886">
        <v>1</v>
      </c>
    </row>
    <row r="2887" spans="1:2" x14ac:dyDescent="0.25">
      <c r="A2887" t="s">
        <v>868</v>
      </c>
      <c r="B2887">
        <v>0</v>
      </c>
    </row>
    <row r="2888" spans="1:2" x14ac:dyDescent="0.25">
      <c r="A2888" t="s">
        <v>869</v>
      </c>
      <c r="B2888">
        <v>0</v>
      </c>
    </row>
    <row r="2889" spans="1:2" x14ac:dyDescent="0.25">
      <c r="A2889" t="s">
        <v>870</v>
      </c>
      <c r="B2889">
        <v>0</v>
      </c>
    </row>
    <row r="2890" spans="1:2" x14ac:dyDescent="0.25">
      <c r="A2890" t="s">
        <v>871</v>
      </c>
      <c r="B2890">
        <v>0</v>
      </c>
    </row>
    <row r="2891" spans="1:2" x14ac:dyDescent="0.25">
      <c r="A2891" t="s">
        <v>872</v>
      </c>
      <c r="B2891">
        <v>0</v>
      </c>
    </row>
    <row r="2892" spans="1:2" x14ac:dyDescent="0.25">
      <c r="A2892" t="s">
        <v>873</v>
      </c>
      <c r="B2892">
        <v>0</v>
      </c>
    </row>
    <row r="2893" spans="1:2" x14ac:dyDescent="0.25">
      <c r="A2893" t="s">
        <v>874</v>
      </c>
      <c r="B2893">
        <v>0</v>
      </c>
    </row>
    <row r="2894" spans="1:2" x14ac:dyDescent="0.25">
      <c r="A2894" t="s">
        <v>875</v>
      </c>
      <c r="B2894">
        <v>0</v>
      </c>
    </row>
    <row r="2895" spans="1:2" x14ac:dyDescent="0.25">
      <c r="A2895" t="s">
        <v>876</v>
      </c>
      <c r="B2895">
        <v>1</v>
      </c>
    </row>
    <row r="2896" spans="1:2" x14ac:dyDescent="0.25">
      <c r="A2896" t="s">
        <v>877</v>
      </c>
      <c r="B2896">
        <v>1</v>
      </c>
    </row>
    <row r="2897" spans="1:2" x14ac:dyDescent="0.25">
      <c r="A2897" t="s">
        <v>878</v>
      </c>
      <c r="B2897">
        <v>1</v>
      </c>
    </row>
    <row r="2898" spans="1:2" x14ac:dyDescent="0.25">
      <c r="A2898" t="s">
        <v>879</v>
      </c>
      <c r="B2898">
        <v>1</v>
      </c>
    </row>
    <row r="2899" spans="1:2" x14ac:dyDescent="0.25">
      <c r="A2899" t="s">
        <v>880</v>
      </c>
      <c r="B2899">
        <v>1</v>
      </c>
    </row>
    <row r="2900" spans="1:2" x14ac:dyDescent="0.25">
      <c r="A2900" t="s">
        <v>881</v>
      </c>
      <c r="B2900">
        <v>1</v>
      </c>
    </row>
    <row r="2901" spans="1:2" x14ac:dyDescent="0.25">
      <c r="A2901" t="s">
        <v>882</v>
      </c>
      <c r="B2901">
        <v>1</v>
      </c>
    </row>
    <row r="2902" spans="1:2" x14ac:dyDescent="0.25">
      <c r="A2902" t="s">
        <v>883</v>
      </c>
      <c r="B2902">
        <v>1</v>
      </c>
    </row>
    <row r="2903" spans="1:2" x14ac:dyDescent="0.25">
      <c r="A2903" t="s">
        <v>884</v>
      </c>
      <c r="B2903">
        <v>1</v>
      </c>
    </row>
    <row r="2904" spans="1:2" x14ac:dyDescent="0.25">
      <c r="A2904" t="s">
        <v>885</v>
      </c>
      <c r="B2904">
        <v>1</v>
      </c>
    </row>
    <row r="2905" spans="1:2" x14ac:dyDescent="0.25">
      <c r="A2905" t="s">
        <v>886</v>
      </c>
      <c r="B2905">
        <v>1</v>
      </c>
    </row>
    <row r="2906" spans="1:2" x14ac:dyDescent="0.25">
      <c r="A2906" t="s">
        <v>887</v>
      </c>
      <c r="B2906">
        <v>1</v>
      </c>
    </row>
    <row r="2907" spans="1:2" x14ac:dyDescent="0.25">
      <c r="A2907" t="s">
        <v>888</v>
      </c>
      <c r="B2907">
        <v>1</v>
      </c>
    </row>
    <row r="2908" spans="1:2" x14ac:dyDescent="0.25">
      <c r="A2908" t="s">
        <v>889</v>
      </c>
      <c r="B2908">
        <v>1</v>
      </c>
    </row>
    <row r="2909" spans="1:2" x14ac:dyDescent="0.25">
      <c r="A2909" t="s">
        <v>890</v>
      </c>
      <c r="B2909">
        <v>1</v>
      </c>
    </row>
    <row r="2910" spans="1:2" x14ac:dyDescent="0.25">
      <c r="A2910" t="s">
        <v>891</v>
      </c>
      <c r="B2910">
        <v>1</v>
      </c>
    </row>
    <row r="2911" spans="1:2" x14ac:dyDescent="0.25">
      <c r="A2911" t="s">
        <v>892</v>
      </c>
      <c r="B2911">
        <v>1</v>
      </c>
    </row>
    <row r="2912" spans="1:2" x14ac:dyDescent="0.25">
      <c r="A2912" t="s">
        <v>893</v>
      </c>
      <c r="B2912">
        <v>1</v>
      </c>
    </row>
    <row r="2913" spans="1:2" x14ac:dyDescent="0.25">
      <c r="A2913" t="s">
        <v>894</v>
      </c>
      <c r="B2913">
        <v>1</v>
      </c>
    </row>
    <row r="2914" spans="1:2" x14ac:dyDescent="0.25">
      <c r="A2914" t="s">
        <v>895</v>
      </c>
      <c r="B2914">
        <v>1</v>
      </c>
    </row>
    <row r="2915" spans="1:2" x14ac:dyDescent="0.25">
      <c r="A2915" t="s">
        <v>896</v>
      </c>
      <c r="B2915">
        <v>1</v>
      </c>
    </row>
    <row r="2916" spans="1:2" x14ac:dyDescent="0.25">
      <c r="A2916" t="s">
        <v>897</v>
      </c>
      <c r="B2916">
        <v>1</v>
      </c>
    </row>
    <row r="2917" spans="1:2" x14ac:dyDescent="0.25">
      <c r="A2917" t="s">
        <v>898</v>
      </c>
      <c r="B2917">
        <v>1</v>
      </c>
    </row>
    <row r="2918" spans="1:2" x14ac:dyDescent="0.25">
      <c r="A2918" t="s">
        <v>899</v>
      </c>
      <c r="B2918">
        <v>0.5</v>
      </c>
    </row>
    <row r="2919" spans="1:2" x14ac:dyDescent="0.25">
      <c r="A2919" t="s">
        <v>900</v>
      </c>
      <c r="B2919">
        <v>0.85</v>
      </c>
    </row>
    <row r="2920" spans="1:2" x14ac:dyDescent="0.25">
      <c r="A2920" t="s">
        <v>901</v>
      </c>
      <c r="B2920">
        <v>1</v>
      </c>
    </row>
    <row r="2921" spans="1:2" x14ac:dyDescent="0.25">
      <c r="A2921" t="s">
        <v>902</v>
      </c>
      <c r="B2921">
        <v>0.5</v>
      </c>
    </row>
    <row r="2922" spans="1:2" x14ac:dyDescent="0.25">
      <c r="A2922" t="s">
        <v>903</v>
      </c>
      <c r="B2922">
        <v>0.85</v>
      </c>
    </row>
    <row r="2923" spans="1:2" x14ac:dyDescent="0.25">
      <c r="A2923" t="s">
        <v>904</v>
      </c>
      <c r="B2923">
        <v>1</v>
      </c>
    </row>
    <row r="2924" spans="1:2" x14ac:dyDescent="0.25">
      <c r="A2924" t="s">
        <v>905</v>
      </c>
      <c r="B2924" t="s">
        <v>1094</v>
      </c>
    </row>
    <row r="2925" spans="1:2" x14ac:dyDescent="0.25">
      <c r="A2925" t="s">
        <v>906</v>
      </c>
      <c r="B2925" t="s">
        <v>1094</v>
      </c>
    </row>
    <row r="2926" spans="1:2" x14ac:dyDescent="0.25">
      <c r="A2926" t="s">
        <v>907</v>
      </c>
      <c r="B2926">
        <v>36</v>
      </c>
    </row>
    <row r="2927" spans="1:2" x14ac:dyDescent="0.25">
      <c r="A2927" t="s">
        <v>908</v>
      </c>
      <c r="B2927">
        <v>36</v>
      </c>
    </row>
    <row r="2928" spans="1:2" x14ac:dyDescent="0.25">
      <c r="A2928" t="s">
        <v>909</v>
      </c>
      <c r="B2928">
        <v>36</v>
      </c>
    </row>
    <row r="2929" spans="1:2" x14ac:dyDescent="0.25">
      <c r="A2929" t="s">
        <v>910</v>
      </c>
      <c r="B2929">
        <v>36</v>
      </c>
    </row>
    <row r="2930" spans="1:2" x14ac:dyDescent="0.25">
      <c r="A2930" t="s">
        <v>911</v>
      </c>
      <c r="B2930">
        <v>0</v>
      </c>
    </row>
    <row r="2931" spans="1:2" x14ac:dyDescent="0.25">
      <c r="A2931" t="s">
        <v>912</v>
      </c>
      <c r="B2931">
        <v>1</v>
      </c>
    </row>
    <row r="2932" spans="1:2" x14ac:dyDescent="0.25">
      <c r="A2932" t="s">
        <v>913</v>
      </c>
      <c r="B2932">
        <v>0</v>
      </c>
    </row>
    <row r="2933" spans="1:2" x14ac:dyDescent="0.25">
      <c r="A2933" t="s">
        <v>914</v>
      </c>
      <c r="B2933">
        <v>0</v>
      </c>
    </row>
    <row r="2934" spans="1:2" x14ac:dyDescent="0.25">
      <c r="A2934" t="s">
        <v>915</v>
      </c>
      <c r="B2934">
        <v>0</v>
      </c>
    </row>
    <row r="2935" spans="1:2" x14ac:dyDescent="0.25">
      <c r="A2935" t="s">
        <v>916</v>
      </c>
      <c r="B2935">
        <v>0</v>
      </c>
    </row>
    <row r="2936" spans="1:2" x14ac:dyDescent="0.25">
      <c r="A2936" t="s">
        <v>970</v>
      </c>
      <c r="B2936">
        <v>0</v>
      </c>
    </row>
    <row r="2937" spans="1:2" x14ac:dyDescent="0.25">
      <c r="A2937" t="s">
        <v>919</v>
      </c>
      <c r="B2937">
        <v>0</v>
      </c>
    </row>
    <row r="2938" spans="1:2" x14ac:dyDescent="0.25">
      <c r="A2938" t="s">
        <v>920</v>
      </c>
      <c r="B2938">
        <v>0.75</v>
      </c>
    </row>
    <row r="2939" spans="1:2" x14ac:dyDescent="0.25">
      <c r="A2939" t="s">
        <v>921</v>
      </c>
      <c r="B2939">
        <v>0.75</v>
      </c>
    </row>
    <row r="2940" spans="1:2" x14ac:dyDescent="0.25">
      <c r="A2940" t="s">
        <v>922</v>
      </c>
      <c r="B2940">
        <v>0.75</v>
      </c>
    </row>
    <row r="2941" spans="1:2" x14ac:dyDescent="0.25">
      <c r="A2941" t="s">
        <v>923</v>
      </c>
      <c r="B2941">
        <v>0.75</v>
      </c>
    </row>
    <row r="2942" spans="1:2" x14ac:dyDescent="0.25">
      <c r="A2942" t="s">
        <v>924</v>
      </c>
      <c r="B2942">
        <v>0.75</v>
      </c>
    </row>
    <row r="2943" spans="1:2" x14ac:dyDescent="0.25">
      <c r="A2943" t="s">
        <v>925</v>
      </c>
      <c r="B2943">
        <v>0.75</v>
      </c>
    </row>
    <row r="2944" spans="1:2" x14ac:dyDescent="0.25">
      <c r="A2944" t="s">
        <v>926</v>
      </c>
      <c r="B2944" t="s">
        <v>537</v>
      </c>
    </row>
    <row r="2945" spans="1:2" x14ac:dyDescent="0.25">
      <c r="A2945" t="s">
        <v>927</v>
      </c>
      <c r="B2945">
        <v>0</v>
      </c>
    </row>
    <row r="2946" spans="1:2" x14ac:dyDescent="0.25">
      <c r="A2946" t="s">
        <v>928</v>
      </c>
      <c r="B2946">
        <v>0</v>
      </c>
    </row>
    <row r="2947" spans="1:2" x14ac:dyDescent="0.25">
      <c r="A2947" t="s">
        <v>929</v>
      </c>
      <c r="B2947">
        <v>0</v>
      </c>
    </row>
    <row r="2948" spans="1:2" x14ac:dyDescent="0.25">
      <c r="A2948" t="s">
        <v>930</v>
      </c>
      <c r="B2948">
        <v>0</v>
      </c>
    </row>
    <row r="2949" spans="1:2" x14ac:dyDescent="0.25">
      <c r="A2949" t="s">
        <v>931</v>
      </c>
      <c r="B2949">
        <v>0</v>
      </c>
    </row>
    <row r="2950" spans="1:2" x14ac:dyDescent="0.25">
      <c r="A2950" t="s">
        <v>932</v>
      </c>
      <c r="B2950">
        <v>0</v>
      </c>
    </row>
    <row r="2951" spans="1:2" x14ac:dyDescent="0.25">
      <c r="A2951" t="s">
        <v>933</v>
      </c>
      <c r="B2951">
        <v>0</v>
      </c>
    </row>
    <row r="2952" spans="1:2" x14ac:dyDescent="0.25">
      <c r="A2952" t="s">
        <v>934</v>
      </c>
      <c r="B2952" t="s">
        <v>551</v>
      </c>
    </row>
    <row r="2953" spans="1:2" x14ac:dyDescent="0.25">
      <c r="A2953" t="s">
        <v>935</v>
      </c>
      <c r="B2953">
        <v>0.75</v>
      </c>
    </row>
    <row r="2954" spans="1:2" x14ac:dyDescent="0.25">
      <c r="A2954" t="s">
        <v>936</v>
      </c>
      <c r="B2954" t="s">
        <v>551</v>
      </c>
    </row>
    <row r="2955" spans="1:2" x14ac:dyDescent="0.25">
      <c r="A2955" t="s">
        <v>937</v>
      </c>
      <c r="B2955">
        <v>0.625</v>
      </c>
    </row>
    <row r="2956" spans="1:2" x14ac:dyDescent="0.25">
      <c r="A2956" t="s">
        <v>938</v>
      </c>
      <c r="B2956" t="s">
        <v>551</v>
      </c>
    </row>
    <row r="2957" spans="1:2" x14ac:dyDescent="0.25">
      <c r="A2957" t="s">
        <v>939</v>
      </c>
      <c r="B2957">
        <v>0.625</v>
      </c>
    </row>
    <row r="2958" spans="1:2" x14ac:dyDescent="0.25">
      <c r="A2958" t="s">
        <v>940</v>
      </c>
      <c r="B2958" t="s">
        <v>551</v>
      </c>
    </row>
    <row r="2959" spans="1:2" x14ac:dyDescent="0.25">
      <c r="A2959" t="s">
        <v>941</v>
      </c>
      <c r="B2959">
        <v>0.625</v>
      </c>
    </row>
    <row r="2960" spans="1:2" x14ac:dyDescent="0.25">
      <c r="A2960" t="s">
        <v>942</v>
      </c>
      <c r="B2960" t="s">
        <v>551</v>
      </c>
    </row>
    <row r="2961" spans="1:2" x14ac:dyDescent="0.25">
      <c r="A2961" t="s">
        <v>943</v>
      </c>
      <c r="B2961">
        <v>0.625</v>
      </c>
    </row>
    <row r="2962" spans="1:2" x14ac:dyDescent="0.25">
      <c r="A2962" t="s">
        <v>944</v>
      </c>
      <c r="B2962" t="s">
        <v>551</v>
      </c>
    </row>
    <row r="2963" spans="1:2" x14ac:dyDescent="0.25">
      <c r="A2963" t="s">
        <v>945</v>
      </c>
      <c r="B2963">
        <v>0.625</v>
      </c>
    </row>
    <row r="2964" spans="1:2" x14ac:dyDescent="0.25">
      <c r="A2964" t="s">
        <v>946</v>
      </c>
      <c r="B2964" t="s">
        <v>551</v>
      </c>
    </row>
    <row r="2965" spans="1:2" x14ac:dyDescent="0.25">
      <c r="A2965" t="s">
        <v>947</v>
      </c>
      <c r="B2965">
        <v>0.625</v>
      </c>
    </row>
    <row r="2966" spans="1:2" x14ac:dyDescent="0.25">
      <c r="A2966" t="s">
        <v>948</v>
      </c>
      <c r="B2966">
        <v>0</v>
      </c>
    </row>
    <row r="2967" spans="1:2" x14ac:dyDescent="0.25">
      <c r="A2967" t="s">
        <v>949</v>
      </c>
      <c r="B2967">
        <v>0</v>
      </c>
    </row>
    <row r="2968" spans="1:2" x14ac:dyDescent="0.25">
      <c r="A2968" t="s">
        <v>950</v>
      </c>
      <c r="B2968">
        <v>0</v>
      </c>
    </row>
    <row r="2969" spans="1:2" x14ac:dyDescent="0.25">
      <c r="A2969" t="s">
        <v>951</v>
      </c>
      <c r="B2969">
        <v>0</v>
      </c>
    </row>
    <row r="2970" spans="1:2" x14ac:dyDescent="0.25">
      <c r="A2970" t="s">
        <v>952</v>
      </c>
      <c r="B2970">
        <v>0</v>
      </c>
    </row>
    <row r="2971" spans="1:2" x14ac:dyDescent="0.25">
      <c r="A2971" t="s">
        <v>953</v>
      </c>
      <c r="B2971">
        <v>0</v>
      </c>
    </row>
    <row r="2972" spans="1:2" x14ac:dyDescent="0.25">
      <c r="A2972" t="s">
        <v>954</v>
      </c>
      <c r="B2972">
        <v>0</v>
      </c>
    </row>
    <row r="2973" spans="1:2" x14ac:dyDescent="0.25">
      <c r="A2973" t="s">
        <v>955</v>
      </c>
      <c r="B2973">
        <v>0</v>
      </c>
    </row>
    <row r="2974" spans="1:2" x14ac:dyDescent="0.25">
      <c r="A2974" t="s">
        <v>956</v>
      </c>
      <c r="B2974">
        <v>0</v>
      </c>
    </row>
    <row r="2975" spans="1:2" x14ac:dyDescent="0.25">
      <c r="A2975" t="s">
        <v>957</v>
      </c>
      <c r="B2975">
        <v>0</v>
      </c>
    </row>
    <row r="2976" spans="1:2" x14ac:dyDescent="0.25">
      <c r="A2976" t="s">
        <v>958</v>
      </c>
      <c r="B2976">
        <v>0</v>
      </c>
    </row>
    <row r="2977" spans="1:2" x14ac:dyDescent="0.25">
      <c r="A2977" t="s">
        <v>959</v>
      </c>
      <c r="B2977">
        <v>0</v>
      </c>
    </row>
    <row r="2978" spans="1:2" x14ac:dyDescent="0.25">
      <c r="A2978" t="s">
        <v>960</v>
      </c>
      <c r="B2978">
        <v>0</v>
      </c>
    </row>
    <row r="2979" spans="1:2" x14ac:dyDescent="0.25">
      <c r="A2979" t="s">
        <v>1095</v>
      </c>
      <c r="B2979" t="s">
        <v>551</v>
      </c>
    </row>
    <row r="2980" spans="1:2" x14ac:dyDescent="0.25">
      <c r="A2980" t="s">
        <v>1096</v>
      </c>
      <c r="B2980">
        <v>0.625</v>
      </c>
    </row>
    <row r="2981" spans="1:2" x14ac:dyDescent="0.25">
      <c r="A2981" t="s">
        <v>1097</v>
      </c>
      <c r="B2981">
        <v>0</v>
      </c>
    </row>
    <row r="2982" spans="1:2" x14ac:dyDescent="0.25">
      <c r="A2982" t="s">
        <v>1098</v>
      </c>
      <c r="B2982">
        <v>0</v>
      </c>
    </row>
    <row r="2983" spans="1:2" x14ac:dyDescent="0.25">
      <c r="A2983" t="s">
        <v>1099</v>
      </c>
      <c r="B2983">
        <v>0</v>
      </c>
    </row>
    <row r="2984" spans="1:2" x14ac:dyDescent="0.25">
      <c r="A2984" t="s">
        <v>1100</v>
      </c>
      <c r="B2984">
        <v>0</v>
      </c>
    </row>
    <row r="2985" spans="1:2" x14ac:dyDescent="0.25">
      <c r="A2985" t="s">
        <v>1101</v>
      </c>
      <c r="B2985">
        <v>0.75</v>
      </c>
    </row>
    <row r="2986" spans="1:2" x14ac:dyDescent="0.25">
      <c r="A2986" t="s">
        <v>1102</v>
      </c>
      <c r="B2986" t="s">
        <v>551</v>
      </c>
    </row>
    <row r="2987" spans="1:2" x14ac:dyDescent="0.25">
      <c r="A2987" t="s">
        <v>1103</v>
      </c>
      <c r="B2987">
        <v>0.625</v>
      </c>
    </row>
    <row r="2988" spans="1:2" x14ac:dyDescent="0.25">
      <c r="A2988" t="s">
        <v>1104</v>
      </c>
      <c r="B2988">
        <v>0</v>
      </c>
    </row>
    <row r="2989" spans="1:2" x14ac:dyDescent="0.25">
      <c r="A2989" t="s">
        <v>1105</v>
      </c>
      <c r="B2989">
        <v>0</v>
      </c>
    </row>
    <row r="2990" spans="1:2" x14ac:dyDescent="0.25">
      <c r="A2990" t="s">
        <v>1106</v>
      </c>
      <c r="B2990">
        <v>0</v>
      </c>
    </row>
    <row r="2991" spans="1:2" x14ac:dyDescent="0.25">
      <c r="A2991" t="s">
        <v>1107</v>
      </c>
      <c r="B2991">
        <v>0</v>
      </c>
    </row>
    <row r="2992" spans="1:2" x14ac:dyDescent="0.25">
      <c r="A2992" t="s">
        <v>1108</v>
      </c>
      <c r="B2992">
        <v>0.75</v>
      </c>
    </row>
    <row r="2993" spans="1:2" x14ac:dyDescent="0.25">
      <c r="A2993" t="s">
        <v>1109</v>
      </c>
      <c r="B2993" t="s">
        <v>551</v>
      </c>
    </row>
    <row r="2994" spans="1:2" x14ac:dyDescent="0.25">
      <c r="A2994" t="s">
        <v>1110</v>
      </c>
      <c r="B2994">
        <v>0.625</v>
      </c>
    </row>
    <row r="2995" spans="1:2" x14ac:dyDescent="0.25">
      <c r="A2995" t="s">
        <v>1111</v>
      </c>
      <c r="B2995">
        <v>0</v>
      </c>
    </row>
    <row r="2996" spans="1:2" x14ac:dyDescent="0.25">
      <c r="A2996" t="s">
        <v>1112</v>
      </c>
      <c r="B2996">
        <v>0</v>
      </c>
    </row>
    <row r="2997" spans="1:2" x14ac:dyDescent="0.25">
      <c r="A2997" t="s">
        <v>1113</v>
      </c>
      <c r="B2997">
        <v>0</v>
      </c>
    </row>
    <row r="2998" spans="1:2" x14ac:dyDescent="0.25">
      <c r="A2998" t="s">
        <v>1114</v>
      </c>
      <c r="B2998">
        <v>0</v>
      </c>
    </row>
    <row r="2999" spans="1:2" x14ac:dyDescent="0.25">
      <c r="A2999" t="s">
        <v>1115</v>
      </c>
      <c r="B2999">
        <v>0.75</v>
      </c>
    </row>
    <row r="3000" spans="1:2" x14ac:dyDescent="0.25">
      <c r="A3000" t="s">
        <v>1116</v>
      </c>
      <c r="B3000" t="s">
        <v>551</v>
      </c>
    </row>
    <row r="3001" spans="1:2" x14ac:dyDescent="0.25">
      <c r="A3001" t="s">
        <v>1117</v>
      </c>
      <c r="B3001">
        <v>0.625</v>
      </c>
    </row>
    <row r="3002" spans="1:2" x14ac:dyDescent="0.25">
      <c r="A3002" t="s">
        <v>1118</v>
      </c>
      <c r="B3002">
        <v>0</v>
      </c>
    </row>
    <row r="3003" spans="1:2" x14ac:dyDescent="0.25">
      <c r="A3003" t="s">
        <v>1119</v>
      </c>
      <c r="B3003">
        <v>0</v>
      </c>
    </row>
    <row r="3004" spans="1:2" x14ac:dyDescent="0.25">
      <c r="A3004" t="s">
        <v>1120</v>
      </c>
      <c r="B3004">
        <v>0</v>
      </c>
    </row>
    <row r="3005" spans="1:2" x14ac:dyDescent="0.25">
      <c r="A3005" t="s">
        <v>1121</v>
      </c>
      <c r="B3005">
        <v>0</v>
      </c>
    </row>
    <row r="3006" spans="1:2" x14ac:dyDescent="0.25">
      <c r="A3006" t="s">
        <v>1122</v>
      </c>
      <c r="B3006">
        <v>0.75</v>
      </c>
    </row>
    <row r="3007" spans="1:2" x14ac:dyDescent="0.25">
      <c r="A3007" t="s">
        <v>1123</v>
      </c>
      <c r="B3007" t="s">
        <v>551</v>
      </c>
    </row>
    <row r="3008" spans="1:2" x14ac:dyDescent="0.25">
      <c r="A3008" t="s">
        <v>1124</v>
      </c>
      <c r="B3008">
        <v>0.625</v>
      </c>
    </row>
    <row r="3009" spans="1:2" x14ac:dyDescent="0.25">
      <c r="A3009" t="s">
        <v>1125</v>
      </c>
      <c r="B3009">
        <v>0</v>
      </c>
    </row>
    <row r="3010" spans="1:2" x14ac:dyDescent="0.25">
      <c r="A3010" t="s">
        <v>1126</v>
      </c>
      <c r="B3010">
        <v>0</v>
      </c>
    </row>
    <row r="3011" spans="1:2" x14ac:dyDescent="0.25">
      <c r="A3011" t="s">
        <v>1127</v>
      </c>
      <c r="B3011">
        <v>0</v>
      </c>
    </row>
    <row r="3012" spans="1:2" x14ac:dyDescent="0.25">
      <c r="A3012" t="s">
        <v>1128</v>
      </c>
      <c r="B3012">
        <v>0</v>
      </c>
    </row>
    <row r="3013" spans="1:2" x14ac:dyDescent="0.25">
      <c r="A3013" t="s">
        <v>1129</v>
      </c>
      <c r="B3013">
        <v>0.75</v>
      </c>
    </row>
    <row r="3014" spans="1:2" x14ac:dyDescent="0.25">
      <c r="A3014" t="s">
        <v>1130</v>
      </c>
      <c r="B3014" t="s">
        <v>551</v>
      </c>
    </row>
    <row r="3015" spans="1:2" x14ac:dyDescent="0.25">
      <c r="A3015" t="s">
        <v>1131</v>
      </c>
      <c r="B3015">
        <v>0.625</v>
      </c>
    </row>
    <row r="3016" spans="1:2" x14ac:dyDescent="0.25">
      <c r="A3016" t="s">
        <v>1132</v>
      </c>
      <c r="B3016">
        <v>0</v>
      </c>
    </row>
    <row r="3017" spans="1:2" x14ac:dyDescent="0.25">
      <c r="A3017" t="s">
        <v>1133</v>
      </c>
      <c r="B3017">
        <v>0</v>
      </c>
    </row>
    <row r="3018" spans="1:2" x14ac:dyDescent="0.25">
      <c r="A3018" t="s">
        <v>1134</v>
      </c>
      <c r="B3018">
        <v>0</v>
      </c>
    </row>
    <row r="3019" spans="1:2" x14ac:dyDescent="0.25">
      <c r="A3019" t="s">
        <v>1135</v>
      </c>
      <c r="B3019">
        <v>0</v>
      </c>
    </row>
    <row r="3020" spans="1:2" x14ac:dyDescent="0.25">
      <c r="A3020" t="s">
        <v>1136</v>
      </c>
      <c r="B3020">
        <v>0.75</v>
      </c>
    </row>
    <row r="3021" spans="1:2" x14ac:dyDescent="0.25">
      <c r="A3021" t="s">
        <v>1137</v>
      </c>
      <c r="B3021" t="s">
        <v>551</v>
      </c>
    </row>
    <row r="3022" spans="1:2" x14ac:dyDescent="0.25">
      <c r="A3022" t="s">
        <v>1138</v>
      </c>
      <c r="B3022">
        <v>0.625</v>
      </c>
    </row>
    <row r="3023" spans="1:2" x14ac:dyDescent="0.25">
      <c r="A3023" t="s">
        <v>1139</v>
      </c>
      <c r="B3023">
        <v>0</v>
      </c>
    </row>
    <row r="3024" spans="1:2" x14ac:dyDescent="0.25">
      <c r="A3024" t="s">
        <v>1140</v>
      </c>
      <c r="B3024">
        <v>0</v>
      </c>
    </row>
    <row r="3025" spans="1:2" x14ac:dyDescent="0.25">
      <c r="A3025" t="s">
        <v>1141</v>
      </c>
      <c r="B3025">
        <v>0</v>
      </c>
    </row>
    <row r="3026" spans="1:2" x14ac:dyDescent="0.25">
      <c r="A3026" t="s">
        <v>1142</v>
      </c>
      <c r="B3026">
        <v>0</v>
      </c>
    </row>
    <row r="3027" spans="1:2" x14ac:dyDescent="0.25">
      <c r="A3027" t="s">
        <v>1143</v>
      </c>
      <c r="B3027">
        <v>0.75</v>
      </c>
    </row>
    <row r="3028" spans="1:2" x14ac:dyDescent="0.25">
      <c r="A3028" t="s">
        <v>1144</v>
      </c>
      <c r="B3028" t="s">
        <v>551</v>
      </c>
    </row>
    <row r="3029" spans="1:2" x14ac:dyDescent="0.25">
      <c r="A3029" t="s">
        <v>1145</v>
      </c>
      <c r="B3029">
        <v>0.625</v>
      </c>
    </row>
    <row r="3030" spans="1:2" x14ac:dyDescent="0.25">
      <c r="A3030" t="s">
        <v>1146</v>
      </c>
      <c r="B3030">
        <v>0</v>
      </c>
    </row>
    <row r="3031" spans="1:2" x14ac:dyDescent="0.25">
      <c r="A3031" t="s">
        <v>1147</v>
      </c>
      <c r="B3031">
        <v>0</v>
      </c>
    </row>
    <row r="3032" spans="1:2" x14ac:dyDescent="0.25">
      <c r="A3032" t="s">
        <v>1148</v>
      </c>
      <c r="B3032">
        <v>0</v>
      </c>
    </row>
    <row r="3033" spans="1:2" x14ac:dyDescent="0.25">
      <c r="A3033" t="s">
        <v>1149</v>
      </c>
      <c r="B3033">
        <v>0</v>
      </c>
    </row>
    <row r="3034" spans="1:2" x14ac:dyDescent="0.25">
      <c r="A3034" t="s">
        <v>1150</v>
      </c>
      <c r="B3034">
        <v>0.75</v>
      </c>
    </row>
    <row r="3035" spans="1:2" x14ac:dyDescent="0.25">
      <c r="A3035" t="s">
        <v>985</v>
      </c>
      <c r="B3035" t="s">
        <v>551</v>
      </c>
    </row>
    <row r="3036" spans="1:2" x14ac:dyDescent="0.25">
      <c r="A3036" t="s">
        <v>986</v>
      </c>
      <c r="B3036">
        <v>0.625</v>
      </c>
    </row>
    <row r="3037" spans="1:2" x14ac:dyDescent="0.25">
      <c r="A3037" t="s">
        <v>987</v>
      </c>
      <c r="B3037">
        <v>0</v>
      </c>
    </row>
    <row r="3038" spans="1:2" x14ac:dyDescent="0.25">
      <c r="A3038" t="s">
        <v>988</v>
      </c>
      <c r="B3038">
        <v>0</v>
      </c>
    </row>
    <row r="3039" spans="1:2" x14ac:dyDescent="0.25">
      <c r="A3039" t="s">
        <v>989</v>
      </c>
      <c r="B3039">
        <v>0</v>
      </c>
    </row>
    <row r="3040" spans="1:2" x14ac:dyDescent="0.25">
      <c r="A3040" t="s">
        <v>990</v>
      </c>
      <c r="B3040">
        <v>0</v>
      </c>
    </row>
    <row r="3041" spans="1:2" x14ac:dyDescent="0.25">
      <c r="A3041" t="s">
        <v>991</v>
      </c>
      <c r="B3041">
        <v>0.75</v>
      </c>
    </row>
    <row r="3042" spans="1:2" x14ac:dyDescent="0.25">
      <c r="A3042" t="s">
        <v>992</v>
      </c>
      <c r="B3042" t="s">
        <v>551</v>
      </c>
    </row>
    <row r="3043" spans="1:2" x14ac:dyDescent="0.25">
      <c r="A3043" t="s">
        <v>993</v>
      </c>
      <c r="B3043">
        <v>0.625</v>
      </c>
    </row>
    <row r="3044" spans="1:2" x14ac:dyDescent="0.25">
      <c r="A3044" t="s">
        <v>994</v>
      </c>
      <c r="B3044">
        <v>0</v>
      </c>
    </row>
    <row r="3045" spans="1:2" x14ac:dyDescent="0.25">
      <c r="A3045" t="s">
        <v>995</v>
      </c>
      <c r="B3045">
        <v>0</v>
      </c>
    </row>
    <row r="3046" spans="1:2" x14ac:dyDescent="0.25">
      <c r="A3046" t="s">
        <v>996</v>
      </c>
      <c r="B3046">
        <v>0</v>
      </c>
    </row>
    <row r="3047" spans="1:2" x14ac:dyDescent="0.25">
      <c r="A3047" t="s">
        <v>997</v>
      </c>
      <c r="B3047">
        <v>0</v>
      </c>
    </row>
    <row r="3048" spans="1:2" x14ac:dyDescent="0.25">
      <c r="A3048" t="s">
        <v>998</v>
      </c>
      <c r="B3048">
        <v>0.75</v>
      </c>
    </row>
    <row r="3049" spans="1:2" x14ac:dyDescent="0.25">
      <c r="A3049" t="s">
        <v>999</v>
      </c>
      <c r="B3049" t="s">
        <v>551</v>
      </c>
    </row>
    <row r="3050" spans="1:2" x14ac:dyDescent="0.25">
      <c r="A3050" t="s">
        <v>1000</v>
      </c>
      <c r="B3050">
        <v>0.625</v>
      </c>
    </row>
    <row r="3051" spans="1:2" x14ac:dyDescent="0.25">
      <c r="A3051" t="s">
        <v>1001</v>
      </c>
      <c r="B3051">
        <v>0</v>
      </c>
    </row>
    <row r="3052" spans="1:2" x14ac:dyDescent="0.25">
      <c r="A3052" t="s">
        <v>1002</v>
      </c>
      <c r="B3052">
        <v>0</v>
      </c>
    </row>
    <row r="3053" spans="1:2" x14ac:dyDescent="0.25">
      <c r="A3053" t="s">
        <v>1003</v>
      </c>
      <c r="B3053">
        <v>0</v>
      </c>
    </row>
    <row r="3054" spans="1:2" x14ac:dyDescent="0.25">
      <c r="A3054" t="s">
        <v>1004</v>
      </c>
      <c r="B3054">
        <v>0</v>
      </c>
    </row>
    <row r="3055" spans="1:2" x14ac:dyDescent="0.25">
      <c r="A3055" t="s">
        <v>1005</v>
      </c>
      <c r="B3055">
        <v>0.75</v>
      </c>
    </row>
    <row r="3056" spans="1:2" x14ac:dyDescent="0.25">
      <c r="A3056" t="s">
        <v>1151</v>
      </c>
      <c r="B3056" t="s">
        <v>551</v>
      </c>
    </row>
    <row r="3057" spans="1:2" x14ac:dyDescent="0.25">
      <c r="A3057" t="s">
        <v>1152</v>
      </c>
      <c r="B3057">
        <v>0.625</v>
      </c>
    </row>
    <row r="3058" spans="1:2" x14ac:dyDescent="0.25">
      <c r="A3058" t="s">
        <v>1153</v>
      </c>
      <c r="B3058">
        <v>0</v>
      </c>
    </row>
    <row r="3059" spans="1:2" x14ac:dyDescent="0.25">
      <c r="A3059" t="s">
        <v>1154</v>
      </c>
      <c r="B3059">
        <v>0</v>
      </c>
    </row>
    <row r="3060" spans="1:2" x14ac:dyDescent="0.25">
      <c r="A3060" t="s">
        <v>1155</v>
      </c>
      <c r="B3060">
        <v>0</v>
      </c>
    </row>
    <row r="3061" spans="1:2" x14ac:dyDescent="0.25">
      <c r="A3061" t="s">
        <v>1156</v>
      </c>
      <c r="B3061">
        <v>0</v>
      </c>
    </row>
    <row r="3062" spans="1:2" x14ac:dyDescent="0.25">
      <c r="A3062" t="s">
        <v>1157</v>
      </c>
      <c r="B3062">
        <v>0.75</v>
      </c>
    </row>
    <row r="3063" spans="1:2" x14ac:dyDescent="0.25">
      <c r="A3063" t="s">
        <v>1158</v>
      </c>
      <c r="B3063" t="s">
        <v>551</v>
      </c>
    </row>
    <row r="3064" spans="1:2" x14ac:dyDescent="0.25">
      <c r="A3064" t="s">
        <v>1159</v>
      </c>
      <c r="B3064">
        <v>0.625</v>
      </c>
    </row>
    <row r="3065" spans="1:2" x14ac:dyDescent="0.25">
      <c r="A3065" t="s">
        <v>1160</v>
      </c>
      <c r="B3065">
        <v>0</v>
      </c>
    </row>
    <row r="3066" spans="1:2" x14ac:dyDescent="0.25">
      <c r="A3066" t="s">
        <v>1161</v>
      </c>
      <c r="B3066">
        <v>0</v>
      </c>
    </row>
    <row r="3067" spans="1:2" x14ac:dyDescent="0.25">
      <c r="A3067" t="s">
        <v>1162</v>
      </c>
      <c r="B3067">
        <v>0</v>
      </c>
    </row>
    <row r="3068" spans="1:2" x14ac:dyDescent="0.25">
      <c r="A3068" t="s">
        <v>1163</v>
      </c>
      <c r="B3068">
        <v>0</v>
      </c>
    </row>
    <row r="3069" spans="1:2" x14ac:dyDescent="0.25">
      <c r="A3069" t="s">
        <v>1164</v>
      </c>
      <c r="B3069">
        <v>0.75</v>
      </c>
    </row>
    <row r="3070" spans="1:2" x14ac:dyDescent="0.25">
      <c r="A3070" t="s">
        <v>1165</v>
      </c>
      <c r="B3070" t="s">
        <v>551</v>
      </c>
    </row>
    <row r="3071" spans="1:2" x14ac:dyDescent="0.25">
      <c r="A3071" t="s">
        <v>1166</v>
      </c>
      <c r="B3071">
        <v>0.625</v>
      </c>
    </row>
    <row r="3072" spans="1:2" x14ac:dyDescent="0.25">
      <c r="A3072" t="s">
        <v>1167</v>
      </c>
      <c r="B3072">
        <v>0</v>
      </c>
    </row>
    <row r="3073" spans="1:2" x14ac:dyDescent="0.25">
      <c r="A3073" t="s">
        <v>1168</v>
      </c>
      <c r="B3073">
        <v>0</v>
      </c>
    </row>
    <row r="3074" spans="1:2" x14ac:dyDescent="0.25">
      <c r="A3074" t="s">
        <v>1169</v>
      </c>
      <c r="B3074">
        <v>0</v>
      </c>
    </row>
    <row r="3075" spans="1:2" x14ac:dyDescent="0.25">
      <c r="A3075" t="s">
        <v>1170</v>
      </c>
      <c r="B3075">
        <v>0</v>
      </c>
    </row>
    <row r="3076" spans="1:2" x14ac:dyDescent="0.25">
      <c r="A3076" t="s">
        <v>1171</v>
      </c>
      <c r="B3076">
        <v>0.75</v>
      </c>
    </row>
    <row r="3077" spans="1:2" x14ac:dyDescent="0.25">
      <c r="A3077" t="s">
        <v>1172</v>
      </c>
      <c r="B3077" t="s">
        <v>551</v>
      </c>
    </row>
    <row r="3078" spans="1:2" x14ac:dyDescent="0.25">
      <c r="A3078" t="s">
        <v>1173</v>
      </c>
      <c r="B3078">
        <v>0.625</v>
      </c>
    </row>
    <row r="3079" spans="1:2" x14ac:dyDescent="0.25">
      <c r="A3079" t="s">
        <v>1174</v>
      </c>
      <c r="B3079">
        <v>0</v>
      </c>
    </row>
    <row r="3080" spans="1:2" x14ac:dyDescent="0.25">
      <c r="A3080" t="s">
        <v>1175</v>
      </c>
      <c r="B3080">
        <v>0</v>
      </c>
    </row>
    <row r="3081" spans="1:2" x14ac:dyDescent="0.25">
      <c r="A3081" t="s">
        <v>1176</v>
      </c>
      <c r="B3081">
        <v>0</v>
      </c>
    </row>
    <row r="3082" spans="1:2" x14ac:dyDescent="0.25">
      <c r="A3082" t="s">
        <v>1177</v>
      </c>
      <c r="B3082">
        <v>0</v>
      </c>
    </row>
    <row r="3083" spans="1:2" x14ac:dyDescent="0.25">
      <c r="A3083" t="s">
        <v>1178</v>
      </c>
      <c r="B3083">
        <v>0.75</v>
      </c>
    </row>
    <row r="3084" spans="1:2" x14ac:dyDescent="0.25">
      <c r="A3084" t="s">
        <v>1179</v>
      </c>
      <c r="B3084" t="s">
        <v>551</v>
      </c>
    </row>
    <row r="3085" spans="1:2" x14ac:dyDescent="0.25">
      <c r="A3085" t="s">
        <v>1180</v>
      </c>
      <c r="B3085">
        <v>0.625</v>
      </c>
    </row>
    <row r="3086" spans="1:2" x14ac:dyDescent="0.25">
      <c r="A3086" t="s">
        <v>1181</v>
      </c>
      <c r="B3086">
        <v>0</v>
      </c>
    </row>
    <row r="3087" spans="1:2" x14ac:dyDescent="0.25">
      <c r="A3087" t="s">
        <v>1182</v>
      </c>
      <c r="B3087">
        <v>0</v>
      </c>
    </row>
    <row r="3088" spans="1:2" x14ac:dyDescent="0.25">
      <c r="A3088" t="s">
        <v>1183</v>
      </c>
      <c r="B3088">
        <v>0</v>
      </c>
    </row>
    <row r="3089" spans="1:2" x14ac:dyDescent="0.25">
      <c r="A3089" t="s">
        <v>1184</v>
      </c>
      <c r="B3089">
        <v>0</v>
      </c>
    </row>
    <row r="3090" spans="1:2" x14ac:dyDescent="0.25">
      <c r="A3090" t="s">
        <v>1185</v>
      </c>
      <c r="B3090">
        <v>0.75</v>
      </c>
    </row>
    <row r="3091" spans="1:2" x14ac:dyDescent="0.25">
      <c r="A3091" t="s">
        <v>1186</v>
      </c>
      <c r="B3091" t="s">
        <v>551</v>
      </c>
    </row>
    <row r="3092" spans="1:2" x14ac:dyDescent="0.25">
      <c r="A3092" t="s">
        <v>1187</v>
      </c>
      <c r="B3092">
        <v>0.625</v>
      </c>
    </row>
    <row r="3093" spans="1:2" x14ac:dyDescent="0.25">
      <c r="A3093" t="s">
        <v>1188</v>
      </c>
      <c r="B3093">
        <v>0</v>
      </c>
    </row>
    <row r="3094" spans="1:2" x14ac:dyDescent="0.25">
      <c r="A3094" t="s">
        <v>1189</v>
      </c>
      <c r="B3094">
        <v>0</v>
      </c>
    </row>
    <row r="3095" spans="1:2" x14ac:dyDescent="0.25">
      <c r="A3095" t="s">
        <v>1190</v>
      </c>
      <c r="B3095">
        <v>0</v>
      </c>
    </row>
    <row r="3096" spans="1:2" x14ac:dyDescent="0.25">
      <c r="A3096" t="s">
        <v>1191</v>
      </c>
      <c r="B3096">
        <v>0</v>
      </c>
    </row>
    <row r="3097" spans="1:2" x14ac:dyDescent="0.25">
      <c r="A3097" t="s">
        <v>1192</v>
      </c>
      <c r="B3097">
        <v>0.75</v>
      </c>
    </row>
    <row r="3098" spans="1:2" x14ac:dyDescent="0.25">
      <c r="A3098" t="s">
        <v>1193</v>
      </c>
      <c r="B3098" t="s">
        <v>551</v>
      </c>
    </row>
    <row r="3099" spans="1:2" x14ac:dyDescent="0.25">
      <c r="A3099" t="s">
        <v>1194</v>
      </c>
      <c r="B3099">
        <v>0.625</v>
      </c>
    </row>
    <row r="3100" spans="1:2" x14ac:dyDescent="0.25">
      <c r="A3100" t="s">
        <v>1195</v>
      </c>
      <c r="B3100">
        <v>0</v>
      </c>
    </row>
    <row r="3101" spans="1:2" x14ac:dyDescent="0.25">
      <c r="A3101" t="s">
        <v>1196</v>
      </c>
      <c r="B3101">
        <v>0</v>
      </c>
    </row>
    <row r="3102" spans="1:2" x14ac:dyDescent="0.25">
      <c r="A3102" t="s">
        <v>1197</v>
      </c>
      <c r="B3102">
        <v>0</v>
      </c>
    </row>
    <row r="3103" spans="1:2" x14ac:dyDescent="0.25">
      <c r="A3103" t="s">
        <v>1198</v>
      </c>
      <c r="B3103">
        <v>0</v>
      </c>
    </row>
    <row r="3104" spans="1:2" x14ac:dyDescent="0.25">
      <c r="A3104" t="s">
        <v>1199</v>
      </c>
      <c r="B3104">
        <v>0.75</v>
      </c>
    </row>
    <row r="3105" spans="1:2" x14ac:dyDescent="0.25">
      <c r="A3105" t="s">
        <v>1200</v>
      </c>
      <c r="B3105" t="s">
        <v>551</v>
      </c>
    </row>
    <row r="3106" spans="1:2" x14ac:dyDescent="0.25">
      <c r="A3106" t="s">
        <v>1201</v>
      </c>
      <c r="B3106">
        <v>0.625</v>
      </c>
    </row>
    <row r="3107" spans="1:2" x14ac:dyDescent="0.25">
      <c r="A3107" t="s">
        <v>1202</v>
      </c>
      <c r="B3107">
        <v>0</v>
      </c>
    </row>
    <row r="3108" spans="1:2" x14ac:dyDescent="0.25">
      <c r="A3108" t="s">
        <v>1203</v>
      </c>
      <c r="B3108">
        <v>0</v>
      </c>
    </row>
    <row r="3109" spans="1:2" x14ac:dyDescent="0.25">
      <c r="A3109" t="s">
        <v>1204</v>
      </c>
      <c r="B3109">
        <v>0</v>
      </c>
    </row>
    <row r="3110" spans="1:2" x14ac:dyDescent="0.25">
      <c r="A3110" t="s">
        <v>1205</v>
      </c>
      <c r="B3110">
        <v>0</v>
      </c>
    </row>
    <row r="3111" spans="1:2" x14ac:dyDescent="0.25">
      <c r="A3111" t="s">
        <v>1206</v>
      </c>
      <c r="B3111">
        <v>0.75</v>
      </c>
    </row>
    <row r="3112" spans="1:2" x14ac:dyDescent="0.25">
      <c r="A3112" t="s">
        <v>1020</v>
      </c>
      <c r="B3112" t="s">
        <v>303</v>
      </c>
    </row>
    <row r="3113" spans="1:2" x14ac:dyDescent="0.25">
      <c r="A3113" t="s">
        <v>1021</v>
      </c>
      <c r="B3113" t="s">
        <v>303</v>
      </c>
    </row>
    <row r="3114" spans="1:2" x14ac:dyDescent="0.25">
      <c r="A3114" t="s">
        <v>1022</v>
      </c>
      <c r="B3114" t="s">
        <v>303</v>
      </c>
    </row>
    <row r="3115" spans="1:2" x14ac:dyDescent="0.25">
      <c r="A3115" t="s">
        <v>1023</v>
      </c>
      <c r="B3115" t="s">
        <v>303</v>
      </c>
    </row>
    <row r="3116" spans="1:2" x14ac:dyDescent="0.25">
      <c r="A3116" t="s">
        <v>1024</v>
      </c>
      <c r="B3116" t="s">
        <v>303</v>
      </c>
    </row>
    <row r="3117" spans="1:2" x14ac:dyDescent="0.25">
      <c r="A3117" t="s">
        <v>1025</v>
      </c>
      <c r="B3117" t="s">
        <v>303</v>
      </c>
    </row>
    <row r="3118" spans="1:2" x14ac:dyDescent="0.25">
      <c r="A3118" t="s">
        <v>961</v>
      </c>
      <c r="B3118">
        <v>0</v>
      </c>
    </row>
    <row r="3119" spans="1:2" x14ac:dyDescent="0.25">
      <c r="A3119" t="s">
        <v>962</v>
      </c>
      <c r="B3119">
        <v>0</v>
      </c>
    </row>
    <row r="3120" spans="1:2" x14ac:dyDescent="0.25">
      <c r="A3120" t="s">
        <v>963</v>
      </c>
      <c r="B3120">
        <v>0</v>
      </c>
    </row>
    <row r="3121" spans="1:2" x14ac:dyDescent="0.25">
      <c r="A3121" t="s">
        <v>964</v>
      </c>
      <c r="B3121">
        <v>0</v>
      </c>
    </row>
    <row r="3122" spans="1:2" x14ac:dyDescent="0.25">
      <c r="A3122" t="s">
        <v>965</v>
      </c>
      <c r="B3122">
        <v>0</v>
      </c>
    </row>
    <row r="3123" spans="1:2" x14ac:dyDescent="0.25">
      <c r="A3123" t="s">
        <v>966</v>
      </c>
      <c r="B3123">
        <v>0</v>
      </c>
    </row>
    <row r="3124" spans="1:2" x14ac:dyDescent="0.25">
      <c r="A3124" t="s">
        <v>967</v>
      </c>
      <c r="B3124">
        <v>0</v>
      </c>
    </row>
    <row r="3125" spans="1:2" x14ac:dyDescent="0.25">
      <c r="A3125" t="s">
        <v>968</v>
      </c>
      <c r="B312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9395-B23C-4179-A959-6D1238F85F0C}">
  <sheetPr codeName="Sheet6"/>
  <dimension ref="A1:S187"/>
  <sheetViews>
    <sheetView topLeftCell="A165" zoomScale="55" zoomScaleNormal="55" workbookViewId="0">
      <selection activeCell="B168" sqref="B168"/>
    </sheetView>
  </sheetViews>
  <sheetFormatPr defaultRowHeight="15" x14ac:dyDescent="0.25"/>
  <cols>
    <col min="1" max="1" width="46.7109375" style="10" bestFit="1" customWidth="1"/>
    <col min="2" max="2" width="57.140625" style="10" customWidth="1"/>
    <col min="3" max="3" width="13" style="14" customWidth="1"/>
    <col min="4" max="4" width="16.42578125" style="14" customWidth="1"/>
    <col min="5" max="5" width="9.140625" style="14"/>
    <col min="6" max="6" width="13.5703125" style="14" customWidth="1"/>
    <col min="7" max="7" width="12.85546875" style="14" customWidth="1"/>
    <col min="8" max="8" width="15.7109375" style="10" customWidth="1"/>
    <col min="9" max="9" width="71" style="10" bestFit="1" customWidth="1"/>
    <col min="10" max="10" width="85" style="10" customWidth="1"/>
    <col min="11" max="11" width="24.140625" style="10" customWidth="1"/>
    <col min="12" max="12" width="13.28515625" style="10" customWidth="1"/>
    <col min="13" max="13" width="9.140625" style="10"/>
    <col min="14" max="14" width="102.140625" style="10" customWidth="1"/>
    <col min="15" max="15" width="143.7109375" style="10" bestFit="1" customWidth="1"/>
    <col min="16" max="16" width="139.7109375" style="10" bestFit="1" customWidth="1"/>
    <col min="17" max="18" width="18.5703125" style="10" customWidth="1"/>
    <col min="19" max="16384" width="9.140625" style="10"/>
  </cols>
  <sheetData>
    <row r="1" spans="1:19" x14ac:dyDescent="0.25">
      <c r="A1" s="9" t="s">
        <v>1212</v>
      </c>
      <c r="B1" s="9" t="s">
        <v>1222</v>
      </c>
      <c r="C1" s="9" t="s">
        <v>1211</v>
      </c>
      <c r="D1" s="9" t="s">
        <v>1213</v>
      </c>
      <c r="E1" s="9" t="s">
        <v>1027</v>
      </c>
      <c r="F1" s="9" t="s">
        <v>1214</v>
      </c>
      <c r="G1" s="9" t="s">
        <v>1223</v>
      </c>
      <c r="H1" s="9" t="s">
        <v>1230</v>
      </c>
      <c r="I1" s="9" t="s">
        <v>1215</v>
      </c>
      <c r="J1" s="9" t="s">
        <v>1216</v>
      </c>
      <c r="K1" s="9" t="s">
        <v>1217</v>
      </c>
      <c r="L1" s="9" t="s">
        <v>1218</v>
      </c>
      <c r="M1" s="9" t="s">
        <v>1219</v>
      </c>
      <c r="N1" s="9" t="s">
        <v>1220</v>
      </c>
      <c r="O1" s="9" t="s">
        <v>1221</v>
      </c>
      <c r="P1" s="9" t="s">
        <v>1240</v>
      </c>
      <c r="Q1" s="9" t="s">
        <v>1241</v>
      </c>
      <c r="R1" s="9" t="s">
        <v>1242</v>
      </c>
    </row>
    <row r="2" spans="1:19" ht="150" x14ac:dyDescent="0.25">
      <c r="A2" s="11" t="s">
        <v>349</v>
      </c>
      <c r="B2" s="11" t="str" cm="1">
        <f t="array" ref="B2">Addspaces(A2)</f>
        <v>Tower Redundant Horizontal Grade</v>
      </c>
      <c r="C2" s="15" t="s">
        <v>1225</v>
      </c>
      <c r="D2" s="13" t="str">
        <f>VLOOKUP(C2,Sheet8!A:C,2,FALSE)</f>
        <v>decimal(18, 6)</v>
      </c>
      <c r="E2" s="15"/>
      <c r="F2" s="13" t="str">
        <f>VLOOKUP(C2,Sheet8!A:C,3,FALSE)</f>
        <v>Double?</v>
      </c>
      <c r="G2" s="15" t="b">
        <v>1</v>
      </c>
      <c r="H2" s="11" t="str">
        <f>"ADD " &amp; A2&amp;" "&amp;D2&amp;IF(E2="","","("&amp;E2&amp;")") &amp; ","</f>
        <v>ADD TowerRedundantHorizontalGrade decimal(18, 6),</v>
      </c>
      <c r="I2" s="11" t="str">
        <f>"Private _"&amp;A2&amp;" As "&amp;F2&amp;" "</f>
        <v xml:space="preserve">Private _TowerRedundantHorizontalGrade As Double? </v>
      </c>
      <c r="J2" s="12" t="str">
        <f>"     		&lt;Category(""TNX Tower Record""), Description(""""), DisplayName("""&amp;B2&amp;""")&gt;
    		&lt;DataMember()&gt; Public Property "&amp;A2&amp;"() As "&amp;F2 &amp;IF(G2,"?","") &amp;"
        			Get
            				Return Me._"&amp;A2&amp;"
        			End Get
        			Set
            				Me._"&amp;A2&amp;" = Value
        			End Set
    		End Property"</f>
        <v xml:space="preserve">     		&lt;Category("TNX Tower Record"), Description(""), DisplayName("Tower Redundant Horizontal Grade")&gt;
    		&lt;DataMember()&gt; Public Property TowerRedundantHorizontalGrade() As Double??
        			Get
            				Return Me._TowerRedundantHorizontalGrade
        			End Get
        			Set
            				Me._TowerRedundantHorizontalGrade = Value
        			End Set
    		End Property</v>
      </c>
      <c r="K2" s="11" t="str">
        <f>"Me."&amp;A2&amp; " = " &amp; VLOOKUP(C2,Sheet8!A:D,4,FALSE)&amp;"(recRow.Item("""&amp;A2 &amp;""")" &amp; IF(C2="Number",",6","")&amp;")"</f>
        <v>Me.TowerRedundantHorizontalGrade = DBtoNullableDec(recRow.Item("TowerRedundantHorizontalGrade"),6)</v>
      </c>
      <c r="L2" s="11" t="str">
        <f>"insertString = insertString.AddtoDBString(Me."&amp;A2&amp;".ToString)"</f>
        <v>insertString = insertString.AddtoDBString(Me.TowerRedundantHorizontalGrade.ToString)</v>
      </c>
      <c r="M2" s="11" t="str">
        <f>"Equals = If(Me."&amp;A2&amp;".CheckChange(otherToCompare."&amp;A2&amp;", changes, categoryName, """&amp;B2&amp;"""), Equals, False)"</f>
        <v>Equals = If(Me.TowerRedundantHorizontalGrade.CheckChange(otherToCompare.TowerRedundantHorizontalGrade, changes, categoryName, "Tower Redundant Horizontal Grade"), Equals, False)</v>
      </c>
      <c r="N2" s="12" t="str">
        <f>" 	Case tnxVar.Equals("""&amp;A2&amp;""")
                            Try
                                Me.geometry.baseStructure(recIndex)."&amp;A2&amp;" = tnxValue
                            Catch ex As Exception
                                Debug.Print(""Error parsing TNX variable: "" &amp; tnxVar)
                            End Try"</f>
        <v xml:space="preserve"> 	Case tnxVar.Equals("TowerRedundantHorizontalGrade")
                            Try
                                Me.geometry.baseStructure(recIndex).TowerRedundantHorizontalGrade = tnxValue
                            Catch ex As Exception
                                Debug.Print("Error parsing TNX variable: " &amp; tnxVar)
                            End Try</v>
      </c>
      <c r="O2" s="11" t="str">
        <f>"newERIList.Add("""&amp;A2&amp;"="" &amp; " &amp; IF(C2="Number","Me.settings.USUnits.Properties.convertToERIUnits(","") &amp; " ."&amp;A2&amp;")"&amp; IF(C2="Number",")","")</f>
        <v>newERIList.Add("TowerRedundantHorizontalGrade=" &amp; Me.settings.USUnits.Properties.convertToERIUnits( .TowerRedundantHorizontalGrade))</v>
      </c>
      <c r="P2" s="11" t="str">
        <f>"SQLInsertValues = SQLInsertValues.AddtoDBString(Me."&amp;A2&amp;".NullableToString.FormatDBValue)"</f>
        <v>SQLInsertValues = SQLInsertValues.AddtoDBString(Me.TowerRedundantHorizontalGrade.NullableToString.FormatDBValue)</v>
      </c>
      <c r="Q2" s="11" t="str">
        <f>"SQLInsertFields = SQLInsertFields.AddtoDBString("""&amp;A2&amp;""")"</f>
        <v>SQLInsertFields = SQLInsertFields.AddtoDBString("TowerRedundantHorizontalGrade")</v>
      </c>
      <c r="R2" s="11" t="str">
        <f>"SQLUpdateFieldsandValues = SQLUpdateFieldsandValues.AddtoDBString("""&amp;A2&amp;" = "" &amp; Me."&amp;A2&amp;".NullableToString.FormatDBValue)"</f>
        <v>SQLUpdateFieldsandValues = SQLUpdateFieldsandValues.AddtoDBString("TowerRedundantHorizontalGrade = " &amp; Me.TowerRedundantHorizontalGrade.NullableToString.FormatDBValue)</v>
      </c>
      <c r="S2" s="10" t="s">
        <v>286</v>
      </c>
    </row>
    <row r="3" spans="1:19" ht="150" x14ac:dyDescent="0.25">
      <c r="A3" s="11" t="s">
        <v>351</v>
      </c>
      <c r="B3" s="11" t="str" cm="1">
        <f t="array" ref="B3">Addspaces(A3)</f>
        <v>Tower Redundant Horizontal Matl Grade</v>
      </c>
      <c r="C3" s="15" t="s">
        <v>1224</v>
      </c>
      <c r="D3" s="13" t="str">
        <f>VLOOKUP(C3,Sheet8!A:C,2,FALSE)</f>
        <v>varchar</v>
      </c>
      <c r="E3" s="15">
        <v>100</v>
      </c>
      <c r="F3" s="13" t="str">
        <f>VLOOKUP(C3,Sheet8!A:C,3,FALSE)</f>
        <v>String</v>
      </c>
      <c r="G3" s="15"/>
      <c r="H3" s="11" t="str">
        <f t="shared" ref="H3:H66" si="0">"ADD " &amp; A3&amp;" "&amp;D3&amp;IF(E3="","","("&amp;E3&amp;")") &amp; ","</f>
        <v>ADD TowerRedundantHorizontalMatlGrade varchar(100),</v>
      </c>
      <c r="I3" s="11" t="str">
        <f t="shared" ref="I3:I66" si="1">"Private _"&amp;A3&amp;" As "&amp;F3&amp;" "</f>
        <v xml:space="preserve">Private _TowerRedundantHorizontalMatlGrade As String </v>
      </c>
      <c r="J3" s="12" t="str">
        <f t="shared" ref="J3:J66" si="2">"     		&lt;Category(""TNX Tower Record""), Description(""""), DisplayName("""&amp;B3&amp;""")&gt;
    		&lt;DataMember()&gt; Public Property "&amp;A3&amp;"() As "&amp;F3 &amp;IF(G3,"?","") &amp;"
        			Get
            				Return Me._"&amp;A3&amp;"
        			End Get
        			Set
            				Me._"&amp;A3&amp;" = Value
        			End Set
    		End Property"</f>
        <v xml:space="preserve">     		&lt;Category("TNX Tower Record"), Description(""), DisplayName("Tower Redundant Horizontal Matl Grade")&gt;
    		&lt;DataMember()&gt; Public Property TowerRedundantHorizontalMatlGrade() As String
        			Get
            				Return Me._TowerRedundantHorizontalMatlGrade
        			End Get
        			Set
            				Me._TowerRedundantHorizontalMatlGrade = Value
        			End Set
    		End Property</v>
      </c>
      <c r="K3" s="11" t="str">
        <f>"Me."&amp;A3&amp; " = " &amp; VLOOKUP(C3,Sheet8!A:D,4,FALSE)&amp;"(recRow.Item("""&amp;A3 &amp;""")" &amp; IF(C3="Number",",6","")&amp;")"</f>
        <v>Me.TowerRedundantHorizontalMatlGrade = DBtoStr(recRow.Item("TowerRedundantHorizontalMatlGrade"))</v>
      </c>
      <c r="L3" s="11" t="str">
        <f t="shared" ref="L3:L66" si="3">"insertString = insertString.AddtoDBString(Me."&amp;A3&amp;".ToString)"</f>
        <v>insertString = insertString.AddtoDBString(Me.TowerRedundantHorizontalMatlGrade.ToString)</v>
      </c>
      <c r="M3" s="11" t="str">
        <f t="shared" ref="M3:M66" si="4">"Equals = If(Me."&amp;A3&amp;".CheckChange(otherToCompare."&amp;A3&amp;", changes, categoryName, """&amp;B3&amp;"""), Equals, False)"</f>
        <v>Equals = If(Me.TowerRedundantHorizontalMatlGrade.CheckChange(otherToCompare.TowerRedundantHorizontalMatlGrade, changes, categoryName, "Tower Redundant Horizontal Matl Grade"), Equals, False)</v>
      </c>
      <c r="N3" s="12" t="str">
        <f t="shared" ref="N3:N66" si="5">" 	Case tnxVar.Equals("""&amp;A3&amp;""")
                            Try
                                Me.geometry.baseStructure(recIndex)."&amp;A3&amp;" = tnxValue
                            Catch ex As Exception
                                Debug.Print(""Error parsing TNX variable: "" &amp; tnxVar)
                            End Try"</f>
        <v xml:space="preserve"> 	Case tnxVar.Equals("TowerRedundantHorizontalMatlGrade")
                            Try
                                Me.geometry.baseStructure(recIndex).TowerRedundantHorizontalMatlGrade = tnxValue
                            Catch ex As Exception
                                Debug.Print("Error parsing TNX variable: " &amp; tnxVar)
                            End Try</v>
      </c>
      <c r="O3" s="11" t="str">
        <f t="shared" ref="O3:O66" si="6">"newERIList.Add("""&amp;A3&amp;"="" &amp; " &amp; IF(C3="Number","Me.settings.USUnits.Properties.convertToERIUnits(","") &amp; " ."&amp;A3&amp;")"&amp; IF(C3="Number",")","")</f>
        <v>newERIList.Add("TowerRedundantHorizontalMatlGrade=" &amp;  .TowerRedundantHorizontalMatlGrade)</v>
      </c>
      <c r="P3" s="11" t="str">
        <f t="shared" ref="P3:P66" si="7">"SQLInsertValues = SQLInsertValues.AddtoDBString(Me."&amp;A3&amp;".NullableToString.FormatDBValue)"</f>
        <v>SQLInsertValues = SQLInsertValues.AddtoDBString(Me.TowerRedundantHorizontalMatlGrade.NullableToString.FormatDBValue)</v>
      </c>
      <c r="Q3" s="11" t="str">
        <f t="shared" ref="Q3:Q66" si="8">"SQLInsertFields = SQLInsertFields.AddtoDBString("""&amp;A3&amp;""")"</f>
        <v>SQLInsertFields = SQLInsertFields.AddtoDBString("TowerRedundantHorizontalMatlGrade")</v>
      </c>
      <c r="R3" s="11" t="str">
        <f t="shared" ref="R3:R66" si="9">"SQLUpdateFieldsandValues = SQLUpdateFieldsandValues.AddtoDBString("""&amp;A3&amp;" = "" &amp; Me."&amp;A3&amp;".NullableToString.FormatDBValue)"</f>
        <v>SQLUpdateFieldsandValues = SQLUpdateFieldsandValues.AddtoDBString("TowerRedundantHorizontalMatlGrade = " &amp; Me.TowerRedundantHorizontalMatlGrade.NullableToString.FormatDBValue)</v>
      </c>
      <c r="S3" s="10" t="s">
        <v>286</v>
      </c>
    </row>
    <row r="4" spans="1:19" ht="150" x14ac:dyDescent="0.25">
      <c r="A4" s="11" t="s">
        <v>353</v>
      </c>
      <c r="B4" s="11" t="str" cm="1">
        <f t="array" ref="B4">Addspaces(A4)</f>
        <v>Tower Redundant Horizontal Grade 2</v>
      </c>
      <c r="C4" s="15" t="s">
        <v>1225</v>
      </c>
      <c r="D4" s="13" t="str">
        <f>VLOOKUP(C4,Sheet8!A:C,2,FALSE)</f>
        <v>decimal(18, 6)</v>
      </c>
      <c r="E4" s="15"/>
      <c r="F4" s="13" t="str">
        <f>VLOOKUP(C4,Sheet8!A:C,3,FALSE)</f>
        <v>Double?</v>
      </c>
      <c r="G4" s="15" t="b">
        <v>1</v>
      </c>
      <c r="H4" s="11" t="str">
        <f t="shared" si="0"/>
        <v>ADD TowerRedundantHorizontalGrade2 decimal(18, 6),</v>
      </c>
      <c r="I4" s="11" t="str">
        <f t="shared" si="1"/>
        <v xml:space="preserve">Private _TowerRedundantHorizontalGrade2 As Double? </v>
      </c>
      <c r="J4" s="12" t="str">
        <f t="shared" si="2"/>
        <v xml:space="preserve">     		&lt;Category("TNX Tower Record"), Description(""), DisplayName("Tower Redundant Horizontal Grade 2")&gt;
    		&lt;DataMember()&gt; Public Property TowerRedundantHorizontalGrade2() As Double??
        			Get
            				Return Me._TowerRedundantHorizontalGrade2
        			End Get
        			Set
            				Me._TowerRedundantHorizontalGrade2 = Value
        			End Set
    		End Property</v>
      </c>
      <c r="K4" s="11" t="str">
        <f>"Me."&amp;A4&amp; " = " &amp; VLOOKUP(C4,Sheet8!A:D,4,FALSE)&amp;"(recRow.Item("""&amp;A4 &amp;""")" &amp; IF(C4="Number",",6","")&amp;")"</f>
        <v>Me.TowerRedundantHorizontalGrade2 = DBtoNullableDec(recRow.Item("TowerRedundantHorizontalGrade2"),6)</v>
      </c>
      <c r="L4" s="11" t="str">
        <f t="shared" si="3"/>
        <v>insertString = insertString.AddtoDBString(Me.TowerRedundantHorizontalGrade2.ToString)</v>
      </c>
      <c r="M4" s="11" t="str">
        <f t="shared" si="4"/>
        <v>Equals = If(Me.TowerRedundantHorizontalGrade2.CheckChange(otherToCompare.TowerRedundantHorizontalGrade2, changes, categoryName, "Tower Redundant Horizontal Grade 2"), Equals, False)</v>
      </c>
      <c r="N4" s="12" t="str">
        <f t="shared" si="5"/>
        <v xml:space="preserve"> 	Case tnxVar.Equals("TowerRedundantHorizontalGrade2")
                            Try
                                Me.geometry.baseStructure(recIndex).TowerRedundantHorizontalGrade2 = tnxValue
                            Catch ex As Exception
                                Debug.Print("Error parsing TNX variable: " &amp; tnxVar)
                            End Try</v>
      </c>
      <c r="O4" s="11" t="str">
        <f t="shared" si="6"/>
        <v>newERIList.Add("TowerRedundantHorizontalGrade2=" &amp; Me.settings.USUnits.Properties.convertToERIUnits( .TowerRedundantHorizontalGrade2))</v>
      </c>
      <c r="P4" s="11" t="str">
        <f t="shared" si="7"/>
        <v>SQLInsertValues = SQLInsertValues.AddtoDBString(Me.TowerRedundantHorizontalGrade2.NullableToString.FormatDBValue)</v>
      </c>
      <c r="Q4" s="11" t="str">
        <f t="shared" si="8"/>
        <v>SQLInsertFields = SQLInsertFields.AddtoDBString("TowerRedundantHorizontalGrade2")</v>
      </c>
      <c r="R4" s="11" t="str">
        <f t="shared" si="9"/>
        <v>SQLUpdateFieldsandValues = SQLUpdateFieldsandValues.AddtoDBString("TowerRedundantHorizontalGrade2 = " &amp; Me.TowerRedundantHorizontalGrade2.NullableToString.FormatDBValue)</v>
      </c>
      <c r="S4" s="10" t="s">
        <v>286</v>
      </c>
    </row>
    <row r="5" spans="1:19" ht="150" x14ac:dyDescent="0.25">
      <c r="A5" s="11" t="s">
        <v>355</v>
      </c>
      <c r="B5" s="11" t="str" cm="1">
        <f t="array" ref="B5">Addspaces(A5)</f>
        <v>Tower Redundant Horizontal Matl Grade 2</v>
      </c>
      <c r="C5" s="15" t="s">
        <v>1224</v>
      </c>
      <c r="D5" s="13" t="str">
        <f>VLOOKUP(C5,Sheet8!A:C,2,FALSE)</f>
        <v>varchar</v>
      </c>
      <c r="E5" s="15">
        <v>100</v>
      </c>
      <c r="F5" s="13" t="str">
        <f>VLOOKUP(C5,Sheet8!A:C,3,FALSE)</f>
        <v>String</v>
      </c>
      <c r="G5" s="15"/>
      <c r="H5" s="11" t="str">
        <f t="shared" si="0"/>
        <v>ADD TowerRedundantHorizontalMatlGrade2 varchar(100),</v>
      </c>
      <c r="I5" s="11" t="str">
        <f t="shared" si="1"/>
        <v xml:space="preserve">Private _TowerRedundantHorizontalMatlGrade2 As String </v>
      </c>
      <c r="J5" s="12" t="str">
        <f t="shared" si="2"/>
        <v xml:space="preserve">     		&lt;Category("TNX Tower Record"), Description(""), DisplayName("Tower Redundant Horizontal Matl Grade 2")&gt;
    		&lt;DataMember()&gt; Public Property TowerRedundantHorizontalMatlGrade2() As String
        			Get
            				Return Me._TowerRedundantHorizontalMatlGrade2
        			End Get
        			Set
            				Me._TowerRedundantHorizontalMatlGrade2 = Value
        			End Set
    		End Property</v>
      </c>
      <c r="K5" s="11" t="str">
        <f>"Me."&amp;A5&amp; " = " &amp; VLOOKUP(C5,Sheet8!A:D,4,FALSE)&amp;"(recRow.Item("""&amp;A5 &amp;""")" &amp; IF(C5="Number",",6","")&amp;")"</f>
        <v>Me.TowerRedundantHorizontalMatlGrade2 = DBtoStr(recRow.Item("TowerRedundantHorizontalMatlGrade2"))</v>
      </c>
      <c r="L5" s="11" t="str">
        <f t="shared" si="3"/>
        <v>insertString = insertString.AddtoDBString(Me.TowerRedundantHorizontalMatlGrade2.ToString)</v>
      </c>
      <c r="M5" s="11" t="str">
        <f t="shared" si="4"/>
        <v>Equals = If(Me.TowerRedundantHorizontalMatlGrade2.CheckChange(otherToCompare.TowerRedundantHorizontalMatlGrade2, changes, categoryName, "Tower Redundant Horizontal Matl Grade 2"), Equals, False)</v>
      </c>
      <c r="N5" s="12" t="str">
        <f t="shared" si="5"/>
        <v xml:space="preserve"> 	Case tnxVar.Equals("TowerRedundantHorizontalMatlGrade2")
                            Try
                                Me.geometry.baseStructure(recIndex).TowerRedundantHorizontalMatlGrade2 = tnxValue
                            Catch ex As Exception
                                Debug.Print("Error parsing TNX variable: " &amp; tnxVar)
                            End Try</v>
      </c>
      <c r="O5" s="11" t="str">
        <f t="shared" si="6"/>
        <v>newERIList.Add("TowerRedundantHorizontalMatlGrade2=" &amp;  .TowerRedundantHorizontalMatlGrade2)</v>
      </c>
      <c r="P5" s="11" t="str">
        <f t="shared" si="7"/>
        <v>SQLInsertValues = SQLInsertValues.AddtoDBString(Me.TowerRedundantHorizontalMatlGrade2.NullableToString.FormatDBValue)</v>
      </c>
      <c r="Q5" s="11" t="str">
        <f t="shared" si="8"/>
        <v>SQLInsertFields = SQLInsertFields.AddtoDBString("TowerRedundantHorizontalMatlGrade2")</v>
      </c>
      <c r="R5" s="11" t="str">
        <f t="shared" si="9"/>
        <v>SQLUpdateFieldsandValues = SQLUpdateFieldsandValues.AddtoDBString("TowerRedundantHorizontalMatlGrade2 = " &amp; Me.TowerRedundantHorizontalMatlGrade2.NullableToString.FormatDBValue)</v>
      </c>
      <c r="S5" s="10" t="s">
        <v>286</v>
      </c>
    </row>
    <row r="6" spans="1:19" ht="150" x14ac:dyDescent="0.25">
      <c r="A6" s="11" t="s">
        <v>357</v>
      </c>
      <c r="B6" s="11" t="str" cm="1">
        <f t="array" ref="B6">Addspaces(A6)</f>
        <v>Tower Redundant Horizontal Grade 3</v>
      </c>
      <c r="C6" s="15" t="s">
        <v>1225</v>
      </c>
      <c r="D6" s="13" t="str">
        <f>VLOOKUP(C6,Sheet8!A:C,2,FALSE)</f>
        <v>decimal(18, 6)</v>
      </c>
      <c r="E6" s="15"/>
      <c r="F6" s="13" t="str">
        <f>VLOOKUP(C6,Sheet8!A:C,3,FALSE)</f>
        <v>Double?</v>
      </c>
      <c r="G6" s="15" t="b">
        <v>1</v>
      </c>
      <c r="H6" s="11" t="str">
        <f t="shared" si="0"/>
        <v>ADD TowerRedundantHorizontalGrade3 decimal(18, 6),</v>
      </c>
      <c r="I6" s="11" t="str">
        <f t="shared" si="1"/>
        <v xml:space="preserve">Private _TowerRedundantHorizontalGrade3 As Double? </v>
      </c>
      <c r="J6" s="12" t="str">
        <f t="shared" si="2"/>
        <v xml:space="preserve">     		&lt;Category("TNX Tower Record"), Description(""), DisplayName("Tower Redundant Horizontal Grade 3")&gt;
    		&lt;DataMember()&gt; Public Property TowerRedundantHorizontalGrade3() As Double??
        			Get
            				Return Me._TowerRedundantHorizontalGrade3
        			End Get
        			Set
            				Me._TowerRedundantHorizontalGrade3 = Value
        			End Set
    		End Property</v>
      </c>
      <c r="K6" s="11" t="str">
        <f>"Me."&amp;A6&amp; " = " &amp; VLOOKUP(C6,Sheet8!A:D,4,FALSE)&amp;"(recRow.Item("""&amp;A6 &amp;""")" &amp; IF(C6="Number",",6","")&amp;")"</f>
        <v>Me.TowerRedundantHorizontalGrade3 = DBtoNullableDec(recRow.Item("TowerRedundantHorizontalGrade3"),6)</v>
      </c>
      <c r="L6" s="11" t="str">
        <f t="shared" si="3"/>
        <v>insertString = insertString.AddtoDBString(Me.TowerRedundantHorizontalGrade3.ToString)</v>
      </c>
      <c r="M6" s="11" t="str">
        <f t="shared" si="4"/>
        <v>Equals = If(Me.TowerRedundantHorizontalGrade3.CheckChange(otherToCompare.TowerRedundantHorizontalGrade3, changes, categoryName, "Tower Redundant Horizontal Grade 3"), Equals, False)</v>
      </c>
      <c r="N6" s="12" t="str">
        <f t="shared" si="5"/>
        <v xml:space="preserve"> 	Case tnxVar.Equals("TowerRedundantHorizontalGrade3")
                            Try
                                Me.geometry.baseStructure(recIndex).TowerRedundantHorizontalGrade3 = tnxValue
                            Catch ex As Exception
                                Debug.Print("Error parsing TNX variable: " &amp; tnxVar)
                            End Try</v>
      </c>
      <c r="O6" s="11" t="str">
        <f t="shared" si="6"/>
        <v>newERIList.Add("TowerRedundantHorizontalGrade3=" &amp; Me.settings.USUnits.Properties.convertToERIUnits( .TowerRedundantHorizontalGrade3))</v>
      </c>
      <c r="P6" s="11" t="str">
        <f t="shared" si="7"/>
        <v>SQLInsertValues = SQLInsertValues.AddtoDBString(Me.TowerRedundantHorizontalGrade3.NullableToString.FormatDBValue)</v>
      </c>
      <c r="Q6" s="11" t="str">
        <f t="shared" si="8"/>
        <v>SQLInsertFields = SQLInsertFields.AddtoDBString("TowerRedundantHorizontalGrade3")</v>
      </c>
      <c r="R6" s="11" t="str">
        <f t="shared" si="9"/>
        <v>SQLUpdateFieldsandValues = SQLUpdateFieldsandValues.AddtoDBString("TowerRedundantHorizontalGrade3 = " &amp; Me.TowerRedundantHorizontalGrade3.NullableToString.FormatDBValue)</v>
      </c>
      <c r="S6" s="10" t="s">
        <v>286</v>
      </c>
    </row>
    <row r="7" spans="1:19" ht="150" x14ac:dyDescent="0.25">
      <c r="A7" s="11" t="s">
        <v>359</v>
      </c>
      <c r="B7" s="11" t="str" cm="1">
        <f t="array" ref="B7">Addspaces(A7)</f>
        <v>Tower Redundant Horizontal Matl Grade 3</v>
      </c>
      <c r="C7" s="15" t="s">
        <v>1224</v>
      </c>
      <c r="D7" s="13" t="str">
        <f>VLOOKUP(C7,Sheet8!A:C,2,FALSE)</f>
        <v>varchar</v>
      </c>
      <c r="E7" s="15">
        <v>100</v>
      </c>
      <c r="F7" s="13" t="str">
        <f>VLOOKUP(C7,Sheet8!A:C,3,FALSE)</f>
        <v>String</v>
      </c>
      <c r="G7" s="15"/>
      <c r="H7" s="11" t="str">
        <f t="shared" si="0"/>
        <v>ADD TowerRedundantHorizontalMatlGrade3 varchar(100),</v>
      </c>
      <c r="I7" s="11" t="str">
        <f t="shared" si="1"/>
        <v xml:space="preserve">Private _TowerRedundantHorizontalMatlGrade3 As String </v>
      </c>
      <c r="J7" s="12" t="str">
        <f t="shared" si="2"/>
        <v xml:space="preserve">     		&lt;Category("TNX Tower Record"), Description(""), DisplayName("Tower Redundant Horizontal Matl Grade 3")&gt;
    		&lt;DataMember()&gt; Public Property TowerRedundantHorizontalMatlGrade3() As String
        			Get
            				Return Me._TowerRedundantHorizontalMatlGrade3
        			End Get
        			Set
            				Me._TowerRedundantHorizontalMatlGrade3 = Value
        			End Set
    		End Property</v>
      </c>
      <c r="K7" s="11" t="str">
        <f>"Me."&amp;A7&amp; " = " &amp; VLOOKUP(C7,Sheet8!A:D,4,FALSE)&amp;"(recRow.Item("""&amp;A7 &amp;""")" &amp; IF(C7="Number",",6","")&amp;")"</f>
        <v>Me.TowerRedundantHorizontalMatlGrade3 = DBtoStr(recRow.Item("TowerRedundantHorizontalMatlGrade3"))</v>
      </c>
      <c r="L7" s="11" t="str">
        <f t="shared" si="3"/>
        <v>insertString = insertString.AddtoDBString(Me.TowerRedundantHorizontalMatlGrade3.ToString)</v>
      </c>
      <c r="M7" s="11" t="str">
        <f t="shared" si="4"/>
        <v>Equals = If(Me.TowerRedundantHorizontalMatlGrade3.CheckChange(otherToCompare.TowerRedundantHorizontalMatlGrade3, changes, categoryName, "Tower Redundant Horizontal Matl Grade 3"), Equals, False)</v>
      </c>
      <c r="N7" s="12" t="str">
        <f t="shared" si="5"/>
        <v xml:space="preserve"> 	Case tnxVar.Equals("TowerRedundantHorizontalMatlGrade3")
                            Try
                                Me.geometry.baseStructure(recIndex).TowerRedundantHorizontalMatlGrade3 = tnxValue
                            Catch ex As Exception
                                Debug.Print("Error parsing TNX variable: " &amp; tnxVar)
                            End Try</v>
      </c>
      <c r="O7" s="11" t="str">
        <f t="shared" si="6"/>
        <v>newERIList.Add("TowerRedundantHorizontalMatlGrade3=" &amp;  .TowerRedundantHorizontalMatlGrade3)</v>
      </c>
      <c r="P7" s="11" t="str">
        <f t="shared" si="7"/>
        <v>SQLInsertValues = SQLInsertValues.AddtoDBString(Me.TowerRedundantHorizontalMatlGrade3.NullableToString.FormatDBValue)</v>
      </c>
      <c r="Q7" s="11" t="str">
        <f t="shared" si="8"/>
        <v>SQLInsertFields = SQLInsertFields.AddtoDBString("TowerRedundantHorizontalMatlGrade3")</v>
      </c>
      <c r="R7" s="11" t="str">
        <f t="shared" si="9"/>
        <v>SQLUpdateFieldsandValues = SQLUpdateFieldsandValues.AddtoDBString("TowerRedundantHorizontalMatlGrade3 = " &amp; Me.TowerRedundantHorizontalMatlGrade3.NullableToString.FormatDBValue)</v>
      </c>
      <c r="S7" s="10" t="s">
        <v>286</v>
      </c>
    </row>
    <row r="8" spans="1:19" ht="150" x14ac:dyDescent="0.25">
      <c r="A8" s="11" t="s">
        <v>361</v>
      </c>
      <c r="B8" s="11" t="str" cm="1">
        <f t="array" ref="B8">Addspaces(A8)</f>
        <v>Tower Redundant Horizontal Grade 4</v>
      </c>
      <c r="C8" s="15" t="s">
        <v>1225</v>
      </c>
      <c r="D8" s="13" t="str">
        <f>VLOOKUP(C8,Sheet8!A:C,2,FALSE)</f>
        <v>decimal(18, 6)</v>
      </c>
      <c r="E8" s="15"/>
      <c r="F8" s="13" t="str">
        <f>VLOOKUP(C8,Sheet8!A:C,3,FALSE)</f>
        <v>Double?</v>
      </c>
      <c r="G8" s="15" t="b">
        <v>1</v>
      </c>
      <c r="H8" s="11" t="str">
        <f t="shared" si="0"/>
        <v>ADD TowerRedundantHorizontalGrade4 decimal(18, 6),</v>
      </c>
      <c r="I8" s="11" t="str">
        <f t="shared" si="1"/>
        <v xml:space="preserve">Private _TowerRedundantHorizontalGrade4 As Double? </v>
      </c>
      <c r="J8" s="12" t="str">
        <f t="shared" si="2"/>
        <v xml:space="preserve">     		&lt;Category("TNX Tower Record"), Description(""), DisplayName("Tower Redundant Horizontal Grade 4")&gt;
    		&lt;DataMember()&gt; Public Property TowerRedundantHorizontalGrade4() As Double??
        			Get
            				Return Me._TowerRedundantHorizontalGrade4
        			End Get
        			Set
            				Me._TowerRedundantHorizontalGrade4 = Value
        			End Set
    		End Property</v>
      </c>
      <c r="K8" s="11" t="str">
        <f>"Me."&amp;A8&amp; " = " &amp; VLOOKUP(C8,Sheet8!A:D,4,FALSE)&amp;"(recRow.Item("""&amp;A8 &amp;""")" &amp; IF(C8="Number",",6","")&amp;")"</f>
        <v>Me.TowerRedundantHorizontalGrade4 = DBtoNullableDec(recRow.Item("TowerRedundantHorizontalGrade4"),6)</v>
      </c>
      <c r="L8" s="11" t="str">
        <f t="shared" si="3"/>
        <v>insertString = insertString.AddtoDBString(Me.TowerRedundantHorizontalGrade4.ToString)</v>
      </c>
      <c r="M8" s="11" t="str">
        <f t="shared" si="4"/>
        <v>Equals = If(Me.TowerRedundantHorizontalGrade4.CheckChange(otherToCompare.TowerRedundantHorizontalGrade4, changes, categoryName, "Tower Redundant Horizontal Grade 4"), Equals, False)</v>
      </c>
      <c r="N8" s="12" t="str">
        <f t="shared" si="5"/>
        <v xml:space="preserve"> 	Case tnxVar.Equals("TowerRedundantHorizontalGrade4")
                            Try
                                Me.geometry.baseStructure(recIndex).TowerRedundantHorizontalGrade4 = tnxValue
                            Catch ex As Exception
                                Debug.Print("Error parsing TNX variable: " &amp; tnxVar)
                            End Try</v>
      </c>
      <c r="O8" s="11" t="str">
        <f t="shared" si="6"/>
        <v>newERIList.Add("TowerRedundantHorizontalGrade4=" &amp; Me.settings.USUnits.Properties.convertToERIUnits( .TowerRedundantHorizontalGrade4))</v>
      </c>
      <c r="P8" s="11" t="str">
        <f t="shared" si="7"/>
        <v>SQLInsertValues = SQLInsertValues.AddtoDBString(Me.TowerRedundantHorizontalGrade4.NullableToString.FormatDBValue)</v>
      </c>
      <c r="Q8" s="11" t="str">
        <f t="shared" si="8"/>
        <v>SQLInsertFields = SQLInsertFields.AddtoDBString("TowerRedundantHorizontalGrade4")</v>
      </c>
      <c r="R8" s="11" t="str">
        <f t="shared" si="9"/>
        <v>SQLUpdateFieldsandValues = SQLUpdateFieldsandValues.AddtoDBString("TowerRedundantHorizontalGrade4 = " &amp; Me.TowerRedundantHorizontalGrade4.NullableToString.FormatDBValue)</v>
      </c>
      <c r="S8" s="10" t="s">
        <v>286</v>
      </c>
    </row>
    <row r="9" spans="1:19" ht="150" x14ac:dyDescent="0.25">
      <c r="A9" s="11" t="s">
        <v>363</v>
      </c>
      <c r="B9" s="11" t="str" cm="1">
        <f t="array" ref="B9">Addspaces(A9)</f>
        <v>Tower Redundant Horizontal Matl Grade 4</v>
      </c>
      <c r="C9" s="15" t="s">
        <v>1224</v>
      </c>
      <c r="D9" s="13" t="str">
        <f>VLOOKUP(C9,Sheet8!A:C,2,FALSE)</f>
        <v>varchar</v>
      </c>
      <c r="E9" s="15">
        <v>100</v>
      </c>
      <c r="F9" s="13" t="str">
        <f>VLOOKUP(C9,Sheet8!A:C,3,FALSE)</f>
        <v>String</v>
      </c>
      <c r="G9" s="15"/>
      <c r="H9" s="11" t="str">
        <f t="shared" si="0"/>
        <v>ADD TowerRedundantHorizontalMatlGrade4 varchar(100),</v>
      </c>
      <c r="I9" s="11" t="str">
        <f t="shared" si="1"/>
        <v xml:space="preserve">Private _TowerRedundantHorizontalMatlGrade4 As String </v>
      </c>
      <c r="J9" s="12" t="str">
        <f t="shared" si="2"/>
        <v xml:space="preserve">     		&lt;Category("TNX Tower Record"), Description(""), DisplayName("Tower Redundant Horizontal Matl Grade 4")&gt;
    		&lt;DataMember()&gt; Public Property TowerRedundantHorizontalMatlGrade4() As String
        			Get
            				Return Me._TowerRedundantHorizontalMatlGrade4
        			End Get
        			Set
            				Me._TowerRedundantHorizontalMatlGrade4 = Value
        			End Set
    		End Property</v>
      </c>
      <c r="K9" s="11" t="str">
        <f>"Me."&amp;A9&amp; " = " &amp; VLOOKUP(C9,Sheet8!A:D,4,FALSE)&amp;"(recRow.Item("""&amp;A9 &amp;""")" &amp; IF(C9="Number",",6","")&amp;")"</f>
        <v>Me.TowerRedundantHorizontalMatlGrade4 = DBtoStr(recRow.Item("TowerRedundantHorizontalMatlGrade4"))</v>
      </c>
      <c r="L9" s="11" t="str">
        <f t="shared" si="3"/>
        <v>insertString = insertString.AddtoDBString(Me.TowerRedundantHorizontalMatlGrade4.ToString)</v>
      </c>
      <c r="M9" s="11" t="str">
        <f t="shared" si="4"/>
        <v>Equals = If(Me.TowerRedundantHorizontalMatlGrade4.CheckChange(otherToCompare.TowerRedundantHorizontalMatlGrade4, changes, categoryName, "Tower Redundant Horizontal Matl Grade 4"), Equals, False)</v>
      </c>
      <c r="N9" s="12" t="str">
        <f t="shared" si="5"/>
        <v xml:space="preserve"> 	Case tnxVar.Equals("TowerRedundantHorizontalMatlGrade4")
                            Try
                                Me.geometry.baseStructure(recIndex).TowerRedundantHorizontalMatlGrade4 = tnxValue
                            Catch ex As Exception
                                Debug.Print("Error parsing TNX variable: " &amp; tnxVar)
                            End Try</v>
      </c>
      <c r="O9" s="11" t="str">
        <f t="shared" si="6"/>
        <v>newERIList.Add("TowerRedundantHorizontalMatlGrade4=" &amp;  .TowerRedundantHorizontalMatlGrade4)</v>
      </c>
      <c r="P9" s="11" t="str">
        <f t="shared" si="7"/>
        <v>SQLInsertValues = SQLInsertValues.AddtoDBString(Me.TowerRedundantHorizontalMatlGrade4.NullableToString.FormatDBValue)</v>
      </c>
      <c r="Q9" s="11" t="str">
        <f t="shared" si="8"/>
        <v>SQLInsertFields = SQLInsertFields.AddtoDBString("TowerRedundantHorizontalMatlGrade4")</v>
      </c>
      <c r="R9" s="11" t="str">
        <f t="shared" si="9"/>
        <v>SQLUpdateFieldsandValues = SQLUpdateFieldsandValues.AddtoDBString("TowerRedundantHorizontalMatlGrade4 = " &amp; Me.TowerRedundantHorizontalMatlGrade4.NullableToString.FormatDBValue)</v>
      </c>
      <c r="S9" s="10" t="s">
        <v>286</v>
      </c>
    </row>
    <row r="10" spans="1:19" ht="150" x14ac:dyDescent="0.25">
      <c r="A10" s="11" t="s">
        <v>365</v>
      </c>
      <c r="B10" s="11" t="str" cm="1">
        <f t="array" ref="B10">Addspaces(A10)</f>
        <v>Tower Redundant Diagonal Grade</v>
      </c>
      <c r="C10" s="15" t="s">
        <v>1225</v>
      </c>
      <c r="D10" s="13" t="str">
        <f>VLOOKUP(C10,Sheet8!A:C,2,FALSE)</f>
        <v>decimal(18, 6)</v>
      </c>
      <c r="E10" s="15"/>
      <c r="F10" s="13" t="str">
        <f>VLOOKUP(C10,Sheet8!A:C,3,FALSE)</f>
        <v>Double?</v>
      </c>
      <c r="G10" s="15" t="b">
        <v>1</v>
      </c>
      <c r="H10" s="11" t="str">
        <f t="shared" si="0"/>
        <v>ADD TowerRedundantDiagonalGrade decimal(18, 6),</v>
      </c>
      <c r="I10" s="11" t="str">
        <f t="shared" si="1"/>
        <v xml:space="preserve">Private _TowerRedundantDiagonalGrade As Double? </v>
      </c>
      <c r="J10" s="12" t="str">
        <f t="shared" si="2"/>
        <v xml:space="preserve">     		&lt;Category("TNX Tower Record"), Description(""), DisplayName("Tower Redundant Diagonal Grade")&gt;
    		&lt;DataMember()&gt; Public Property TowerRedundantDiagonalGrade() As Double??
        			Get
            				Return Me._TowerRedundantDiagonalGrade
        			End Get
        			Set
            				Me._TowerRedundantDiagonalGrade = Value
        			End Set
    		End Property</v>
      </c>
      <c r="K10" s="11" t="str">
        <f>"Me."&amp;A10&amp; " = " &amp; VLOOKUP(C10,Sheet8!A:D,4,FALSE)&amp;"(recRow.Item("""&amp;A10 &amp;""")" &amp; IF(C10="Number",",6","")&amp;")"</f>
        <v>Me.TowerRedundantDiagonalGrade = DBtoNullableDec(recRow.Item("TowerRedundantDiagonalGrade"),6)</v>
      </c>
      <c r="L10" s="11" t="str">
        <f t="shared" si="3"/>
        <v>insertString = insertString.AddtoDBString(Me.TowerRedundantDiagonalGrade.ToString)</v>
      </c>
      <c r="M10" s="11" t="str">
        <f t="shared" si="4"/>
        <v>Equals = If(Me.TowerRedundantDiagonalGrade.CheckChange(otherToCompare.TowerRedundantDiagonalGrade, changes, categoryName, "Tower Redundant Diagonal Grade"), Equals, False)</v>
      </c>
      <c r="N10" s="12" t="str">
        <f t="shared" si="5"/>
        <v xml:space="preserve"> 	Case tnxVar.Equals("TowerRedundantDiagonalGrade")
                            Try
                                Me.geometry.baseStructure(recIndex).TowerRedundantDiagonalGrade = tnxValue
                            Catch ex As Exception
                                Debug.Print("Error parsing TNX variable: " &amp; tnxVar)
                            End Try</v>
      </c>
      <c r="O10" s="11" t="str">
        <f t="shared" si="6"/>
        <v>newERIList.Add("TowerRedundantDiagonalGrade=" &amp; Me.settings.USUnits.Properties.convertToERIUnits( .TowerRedundantDiagonalGrade))</v>
      </c>
      <c r="P10" s="11" t="str">
        <f t="shared" si="7"/>
        <v>SQLInsertValues = SQLInsertValues.AddtoDBString(Me.TowerRedundantDiagonalGrade.NullableToString.FormatDBValue)</v>
      </c>
      <c r="Q10" s="11" t="str">
        <f t="shared" si="8"/>
        <v>SQLInsertFields = SQLInsertFields.AddtoDBString("TowerRedundantDiagonalGrade")</v>
      </c>
      <c r="R10" s="11" t="str">
        <f t="shared" si="9"/>
        <v>SQLUpdateFieldsandValues = SQLUpdateFieldsandValues.AddtoDBString("TowerRedundantDiagonalGrade = " &amp; Me.TowerRedundantDiagonalGrade.NullableToString.FormatDBValue)</v>
      </c>
      <c r="S10" s="10" t="s">
        <v>286</v>
      </c>
    </row>
    <row r="11" spans="1:19" ht="150" x14ac:dyDescent="0.25">
      <c r="A11" s="11" t="s">
        <v>367</v>
      </c>
      <c r="B11" s="11" t="str" cm="1">
        <f t="array" ref="B11">Addspaces(A11)</f>
        <v>Tower Redundant Diagonal Matl Grade</v>
      </c>
      <c r="C11" s="15" t="s">
        <v>1224</v>
      </c>
      <c r="D11" s="13" t="str">
        <f>VLOOKUP(C11,Sheet8!A:C,2,FALSE)</f>
        <v>varchar</v>
      </c>
      <c r="E11" s="15">
        <v>100</v>
      </c>
      <c r="F11" s="13" t="str">
        <f>VLOOKUP(C11,Sheet8!A:C,3,FALSE)</f>
        <v>String</v>
      </c>
      <c r="G11" s="15"/>
      <c r="H11" s="11" t="str">
        <f t="shared" si="0"/>
        <v>ADD TowerRedundantDiagonalMatlGrade varchar(100),</v>
      </c>
      <c r="I11" s="11" t="str">
        <f t="shared" si="1"/>
        <v xml:space="preserve">Private _TowerRedundantDiagonalMatlGrade As String </v>
      </c>
      <c r="J11" s="12" t="str">
        <f t="shared" si="2"/>
        <v xml:space="preserve">     		&lt;Category("TNX Tower Record"), Description(""), DisplayName("Tower Redundant Diagonal Matl Grade")&gt;
    		&lt;DataMember()&gt; Public Property TowerRedundantDiagonalMatlGrade() As String
        			Get
            				Return Me._TowerRedundantDiagonalMatlGrade
        			End Get
        			Set
            				Me._TowerRedundantDiagonalMatlGrade = Value
        			End Set
    		End Property</v>
      </c>
      <c r="K11" s="11" t="str">
        <f>"Me."&amp;A11&amp; " = " &amp; VLOOKUP(C11,Sheet8!A:D,4,FALSE)&amp;"(recRow.Item("""&amp;A11 &amp;""")" &amp; IF(C11="Number",",6","")&amp;")"</f>
        <v>Me.TowerRedundantDiagonalMatlGrade = DBtoStr(recRow.Item("TowerRedundantDiagonalMatlGrade"))</v>
      </c>
      <c r="L11" s="11" t="str">
        <f t="shared" si="3"/>
        <v>insertString = insertString.AddtoDBString(Me.TowerRedundantDiagonalMatlGrade.ToString)</v>
      </c>
      <c r="M11" s="11" t="str">
        <f t="shared" si="4"/>
        <v>Equals = If(Me.TowerRedundantDiagonalMatlGrade.CheckChange(otherToCompare.TowerRedundantDiagonalMatlGrade, changes, categoryName, "Tower Redundant Diagonal Matl Grade"), Equals, False)</v>
      </c>
      <c r="N11" s="12" t="str">
        <f t="shared" si="5"/>
        <v xml:space="preserve"> 	Case tnxVar.Equals("TowerRedundantDiagonalMatlGrade")
                            Try
                                Me.geometry.baseStructure(recIndex).TowerRedundantDiagonalMatlGrade = tnxValue
                            Catch ex As Exception
                                Debug.Print("Error parsing TNX variable: " &amp; tnxVar)
                            End Try</v>
      </c>
      <c r="O11" s="11" t="str">
        <f t="shared" si="6"/>
        <v>newERIList.Add("TowerRedundantDiagonalMatlGrade=" &amp;  .TowerRedundantDiagonalMatlGrade)</v>
      </c>
      <c r="P11" s="11" t="str">
        <f t="shared" si="7"/>
        <v>SQLInsertValues = SQLInsertValues.AddtoDBString(Me.TowerRedundantDiagonalMatlGrade.NullableToString.FormatDBValue)</v>
      </c>
      <c r="Q11" s="11" t="str">
        <f t="shared" si="8"/>
        <v>SQLInsertFields = SQLInsertFields.AddtoDBString("TowerRedundantDiagonalMatlGrade")</v>
      </c>
      <c r="R11" s="11" t="str">
        <f t="shared" si="9"/>
        <v>SQLUpdateFieldsandValues = SQLUpdateFieldsandValues.AddtoDBString("TowerRedundantDiagonalMatlGrade = " &amp; Me.TowerRedundantDiagonalMatlGrade.NullableToString.FormatDBValue)</v>
      </c>
      <c r="S11" s="10" t="s">
        <v>286</v>
      </c>
    </row>
    <row r="12" spans="1:19" ht="150" x14ac:dyDescent="0.25">
      <c r="A12" s="11" t="s">
        <v>369</v>
      </c>
      <c r="B12" s="11" t="str" cm="1">
        <f t="array" ref="B12">Addspaces(A12)</f>
        <v>Tower Redundant Diagonal Grade 2</v>
      </c>
      <c r="C12" s="15" t="s">
        <v>1225</v>
      </c>
      <c r="D12" s="13" t="str">
        <f>VLOOKUP(C12,Sheet8!A:C,2,FALSE)</f>
        <v>decimal(18, 6)</v>
      </c>
      <c r="E12" s="15"/>
      <c r="F12" s="13" t="str">
        <f>VLOOKUP(C12,Sheet8!A:C,3,FALSE)</f>
        <v>Double?</v>
      </c>
      <c r="G12" s="15" t="b">
        <v>1</v>
      </c>
      <c r="H12" s="11" t="str">
        <f t="shared" si="0"/>
        <v>ADD TowerRedundantDiagonalGrade2 decimal(18, 6),</v>
      </c>
      <c r="I12" s="11" t="str">
        <f t="shared" si="1"/>
        <v xml:space="preserve">Private _TowerRedundantDiagonalGrade2 As Double? </v>
      </c>
      <c r="J12" s="12" t="str">
        <f t="shared" si="2"/>
        <v xml:space="preserve">     		&lt;Category("TNX Tower Record"), Description(""), DisplayName("Tower Redundant Diagonal Grade 2")&gt;
    		&lt;DataMember()&gt; Public Property TowerRedundantDiagonalGrade2() As Double??
        			Get
            				Return Me._TowerRedundantDiagonalGrade2
        			End Get
        			Set
            				Me._TowerRedundantDiagonalGrade2 = Value
        			End Set
    		End Property</v>
      </c>
      <c r="K12" s="11" t="str">
        <f>"Me."&amp;A12&amp; " = " &amp; VLOOKUP(C12,Sheet8!A:D,4,FALSE)&amp;"(recRow.Item("""&amp;A12 &amp;""")" &amp; IF(C12="Number",",6","")&amp;")"</f>
        <v>Me.TowerRedundantDiagonalGrade2 = DBtoNullableDec(recRow.Item("TowerRedundantDiagonalGrade2"),6)</v>
      </c>
      <c r="L12" s="11" t="str">
        <f t="shared" si="3"/>
        <v>insertString = insertString.AddtoDBString(Me.TowerRedundantDiagonalGrade2.ToString)</v>
      </c>
      <c r="M12" s="11" t="str">
        <f t="shared" si="4"/>
        <v>Equals = If(Me.TowerRedundantDiagonalGrade2.CheckChange(otherToCompare.TowerRedundantDiagonalGrade2, changes, categoryName, "Tower Redundant Diagonal Grade 2"), Equals, False)</v>
      </c>
      <c r="N12" s="12" t="str">
        <f t="shared" si="5"/>
        <v xml:space="preserve"> 	Case tnxVar.Equals("TowerRedundantDiagonalGrade2")
                            Try
                                Me.geometry.baseStructure(recIndex).TowerRedundantDiagonalGrade2 = tnxValue
                            Catch ex As Exception
                                Debug.Print("Error parsing TNX variable: " &amp; tnxVar)
                            End Try</v>
      </c>
      <c r="O12" s="11" t="str">
        <f t="shared" si="6"/>
        <v>newERIList.Add("TowerRedundantDiagonalGrade2=" &amp; Me.settings.USUnits.Properties.convertToERIUnits( .TowerRedundantDiagonalGrade2))</v>
      </c>
      <c r="P12" s="11" t="str">
        <f t="shared" si="7"/>
        <v>SQLInsertValues = SQLInsertValues.AddtoDBString(Me.TowerRedundantDiagonalGrade2.NullableToString.FormatDBValue)</v>
      </c>
      <c r="Q12" s="11" t="str">
        <f t="shared" si="8"/>
        <v>SQLInsertFields = SQLInsertFields.AddtoDBString("TowerRedundantDiagonalGrade2")</v>
      </c>
      <c r="R12" s="11" t="str">
        <f t="shared" si="9"/>
        <v>SQLUpdateFieldsandValues = SQLUpdateFieldsandValues.AddtoDBString("TowerRedundantDiagonalGrade2 = " &amp; Me.TowerRedundantDiagonalGrade2.NullableToString.FormatDBValue)</v>
      </c>
      <c r="S12" s="10" t="s">
        <v>286</v>
      </c>
    </row>
    <row r="13" spans="1:19" ht="150" x14ac:dyDescent="0.25">
      <c r="A13" s="11" t="s">
        <v>371</v>
      </c>
      <c r="B13" s="11" t="str" cm="1">
        <f t="array" ref="B13">Addspaces(A13)</f>
        <v>Tower Redundant Diagonal Matl Grade 2</v>
      </c>
      <c r="C13" s="15" t="s">
        <v>1224</v>
      </c>
      <c r="D13" s="13" t="str">
        <f>VLOOKUP(C13,Sheet8!A:C,2,FALSE)</f>
        <v>varchar</v>
      </c>
      <c r="E13" s="15">
        <v>100</v>
      </c>
      <c r="F13" s="13" t="str">
        <f>VLOOKUP(C13,Sheet8!A:C,3,FALSE)</f>
        <v>String</v>
      </c>
      <c r="G13" s="15"/>
      <c r="H13" s="11" t="str">
        <f t="shared" si="0"/>
        <v>ADD TowerRedundantDiagonalMatlGrade2 varchar(100),</v>
      </c>
      <c r="I13" s="11" t="str">
        <f t="shared" si="1"/>
        <v xml:space="preserve">Private _TowerRedundantDiagonalMatlGrade2 As String </v>
      </c>
      <c r="J13" s="12" t="str">
        <f t="shared" si="2"/>
        <v xml:space="preserve">     		&lt;Category("TNX Tower Record"), Description(""), DisplayName("Tower Redundant Diagonal Matl Grade 2")&gt;
    		&lt;DataMember()&gt; Public Property TowerRedundantDiagonalMatlGrade2() As String
        			Get
            				Return Me._TowerRedundantDiagonalMatlGrade2
        			End Get
        			Set
            				Me._TowerRedundantDiagonalMatlGrade2 = Value
        			End Set
    		End Property</v>
      </c>
      <c r="K13" s="11" t="str">
        <f>"Me."&amp;A13&amp; " = " &amp; VLOOKUP(C13,Sheet8!A:D,4,FALSE)&amp;"(recRow.Item("""&amp;A13 &amp;""")" &amp; IF(C13="Number",",6","")&amp;")"</f>
        <v>Me.TowerRedundantDiagonalMatlGrade2 = DBtoStr(recRow.Item("TowerRedundantDiagonalMatlGrade2"))</v>
      </c>
      <c r="L13" s="11" t="str">
        <f t="shared" si="3"/>
        <v>insertString = insertString.AddtoDBString(Me.TowerRedundantDiagonalMatlGrade2.ToString)</v>
      </c>
      <c r="M13" s="11" t="str">
        <f t="shared" si="4"/>
        <v>Equals = If(Me.TowerRedundantDiagonalMatlGrade2.CheckChange(otherToCompare.TowerRedundantDiagonalMatlGrade2, changes, categoryName, "Tower Redundant Diagonal Matl Grade 2"), Equals, False)</v>
      </c>
      <c r="N13" s="12" t="str">
        <f t="shared" si="5"/>
        <v xml:space="preserve"> 	Case tnxVar.Equals("TowerRedundantDiagonalMatlGrade2")
                            Try
                                Me.geometry.baseStructure(recIndex).TowerRedundantDiagonalMatlGrade2 = tnxValue
                            Catch ex As Exception
                                Debug.Print("Error parsing TNX variable: " &amp; tnxVar)
                            End Try</v>
      </c>
      <c r="O13" s="11" t="str">
        <f t="shared" si="6"/>
        <v>newERIList.Add("TowerRedundantDiagonalMatlGrade2=" &amp;  .TowerRedundantDiagonalMatlGrade2)</v>
      </c>
      <c r="P13" s="11" t="str">
        <f t="shared" si="7"/>
        <v>SQLInsertValues = SQLInsertValues.AddtoDBString(Me.TowerRedundantDiagonalMatlGrade2.NullableToString.FormatDBValue)</v>
      </c>
      <c r="Q13" s="11" t="str">
        <f t="shared" si="8"/>
        <v>SQLInsertFields = SQLInsertFields.AddtoDBString("TowerRedundantDiagonalMatlGrade2")</v>
      </c>
      <c r="R13" s="11" t="str">
        <f t="shared" si="9"/>
        <v>SQLUpdateFieldsandValues = SQLUpdateFieldsandValues.AddtoDBString("TowerRedundantDiagonalMatlGrade2 = " &amp; Me.TowerRedundantDiagonalMatlGrade2.NullableToString.FormatDBValue)</v>
      </c>
      <c r="S13" s="10" t="s">
        <v>286</v>
      </c>
    </row>
    <row r="14" spans="1:19" ht="150" x14ac:dyDescent="0.25">
      <c r="A14" s="11" t="s">
        <v>373</v>
      </c>
      <c r="B14" s="11" t="str" cm="1">
        <f t="array" ref="B14">Addspaces(A14)</f>
        <v>Tower Redundant Diagonal Grade 3</v>
      </c>
      <c r="C14" s="15" t="s">
        <v>1225</v>
      </c>
      <c r="D14" s="13" t="str">
        <f>VLOOKUP(C14,Sheet8!A:C,2,FALSE)</f>
        <v>decimal(18, 6)</v>
      </c>
      <c r="E14" s="15"/>
      <c r="F14" s="13" t="str">
        <f>VLOOKUP(C14,Sheet8!A:C,3,FALSE)</f>
        <v>Double?</v>
      </c>
      <c r="G14" s="15" t="b">
        <v>1</v>
      </c>
      <c r="H14" s="11" t="str">
        <f t="shared" si="0"/>
        <v>ADD TowerRedundantDiagonalGrade3 decimal(18, 6),</v>
      </c>
      <c r="I14" s="11" t="str">
        <f t="shared" si="1"/>
        <v xml:space="preserve">Private _TowerRedundantDiagonalGrade3 As Double? </v>
      </c>
      <c r="J14" s="12" t="str">
        <f t="shared" si="2"/>
        <v xml:space="preserve">     		&lt;Category("TNX Tower Record"), Description(""), DisplayName("Tower Redundant Diagonal Grade 3")&gt;
    		&lt;DataMember()&gt; Public Property TowerRedundantDiagonalGrade3() As Double??
        			Get
            				Return Me._TowerRedundantDiagonalGrade3
        			End Get
        			Set
            				Me._TowerRedundantDiagonalGrade3 = Value
        			End Set
    		End Property</v>
      </c>
      <c r="K14" s="11" t="str">
        <f>"Me."&amp;A14&amp; " = " &amp; VLOOKUP(C14,Sheet8!A:D,4,FALSE)&amp;"(recRow.Item("""&amp;A14 &amp;""")" &amp; IF(C14="Number",",6","")&amp;")"</f>
        <v>Me.TowerRedundantDiagonalGrade3 = DBtoNullableDec(recRow.Item("TowerRedundantDiagonalGrade3"),6)</v>
      </c>
      <c r="L14" s="11" t="str">
        <f t="shared" si="3"/>
        <v>insertString = insertString.AddtoDBString(Me.TowerRedundantDiagonalGrade3.ToString)</v>
      </c>
      <c r="M14" s="11" t="str">
        <f t="shared" si="4"/>
        <v>Equals = If(Me.TowerRedundantDiagonalGrade3.CheckChange(otherToCompare.TowerRedundantDiagonalGrade3, changes, categoryName, "Tower Redundant Diagonal Grade 3"), Equals, False)</v>
      </c>
      <c r="N14" s="12" t="str">
        <f t="shared" si="5"/>
        <v xml:space="preserve"> 	Case tnxVar.Equals("TowerRedundantDiagonalGrade3")
                            Try
                                Me.geometry.baseStructure(recIndex).TowerRedundantDiagonalGrade3 = tnxValue
                            Catch ex As Exception
                                Debug.Print("Error parsing TNX variable: " &amp; tnxVar)
                            End Try</v>
      </c>
      <c r="O14" s="11" t="str">
        <f t="shared" si="6"/>
        <v>newERIList.Add("TowerRedundantDiagonalGrade3=" &amp; Me.settings.USUnits.Properties.convertToERIUnits( .TowerRedundantDiagonalGrade3))</v>
      </c>
      <c r="P14" s="11" t="str">
        <f t="shared" si="7"/>
        <v>SQLInsertValues = SQLInsertValues.AddtoDBString(Me.TowerRedundantDiagonalGrade3.NullableToString.FormatDBValue)</v>
      </c>
      <c r="Q14" s="11" t="str">
        <f t="shared" si="8"/>
        <v>SQLInsertFields = SQLInsertFields.AddtoDBString("TowerRedundantDiagonalGrade3")</v>
      </c>
      <c r="R14" s="11" t="str">
        <f t="shared" si="9"/>
        <v>SQLUpdateFieldsandValues = SQLUpdateFieldsandValues.AddtoDBString("TowerRedundantDiagonalGrade3 = " &amp; Me.TowerRedundantDiagonalGrade3.NullableToString.FormatDBValue)</v>
      </c>
      <c r="S14" s="10" t="s">
        <v>286</v>
      </c>
    </row>
    <row r="15" spans="1:19" ht="150" x14ac:dyDescent="0.25">
      <c r="A15" s="11" t="s">
        <v>375</v>
      </c>
      <c r="B15" s="11" t="str" cm="1">
        <f t="array" ref="B15">Addspaces(A15)</f>
        <v>Tower Redundant Diagonal Matl Grade 3</v>
      </c>
      <c r="C15" s="15" t="s">
        <v>1224</v>
      </c>
      <c r="D15" s="13" t="str">
        <f>VLOOKUP(C15,Sheet8!A:C,2,FALSE)</f>
        <v>varchar</v>
      </c>
      <c r="E15" s="15">
        <v>100</v>
      </c>
      <c r="F15" s="13" t="str">
        <f>VLOOKUP(C15,Sheet8!A:C,3,FALSE)</f>
        <v>String</v>
      </c>
      <c r="G15" s="15"/>
      <c r="H15" s="11" t="str">
        <f t="shared" si="0"/>
        <v>ADD TowerRedundantDiagonalMatlGrade3 varchar(100),</v>
      </c>
      <c r="I15" s="11" t="str">
        <f t="shared" si="1"/>
        <v xml:space="preserve">Private _TowerRedundantDiagonalMatlGrade3 As String </v>
      </c>
      <c r="J15" s="12" t="str">
        <f t="shared" si="2"/>
        <v xml:space="preserve">     		&lt;Category("TNX Tower Record"), Description(""), DisplayName("Tower Redundant Diagonal Matl Grade 3")&gt;
    		&lt;DataMember()&gt; Public Property TowerRedundantDiagonalMatlGrade3() As String
        			Get
            				Return Me._TowerRedundantDiagonalMatlGrade3
        			End Get
        			Set
            				Me._TowerRedundantDiagonalMatlGrade3 = Value
        			End Set
    		End Property</v>
      </c>
      <c r="K15" s="11" t="str">
        <f>"Me."&amp;A15&amp; " = " &amp; VLOOKUP(C15,Sheet8!A:D,4,FALSE)&amp;"(recRow.Item("""&amp;A15 &amp;""")" &amp; IF(C15="Number",",6","")&amp;")"</f>
        <v>Me.TowerRedundantDiagonalMatlGrade3 = DBtoStr(recRow.Item("TowerRedundantDiagonalMatlGrade3"))</v>
      </c>
      <c r="L15" s="11" t="str">
        <f t="shared" si="3"/>
        <v>insertString = insertString.AddtoDBString(Me.TowerRedundantDiagonalMatlGrade3.ToString)</v>
      </c>
      <c r="M15" s="11" t="str">
        <f t="shared" si="4"/>
        <v>Equals = If(Me.TowerRedundantDiagonalMatlGrade3.CheckChange(otherToCompare.TowerRedundantDiagonalMatlGrade3, changes, categoryName, "Tower Redundant Diagonal Matl Grade 3"), Equals, False)</v>
      </c>
      <c r="N15" s="12" t="str">
        <f t="shared" si="5"/>
        <v xml:space="preserve"> 	Case tnxVar.Equals("TowerRedundantDiagonalMatlGrade3")
                            Try
                                Me.geometry.baseStructure(recIndex).TowerRedundantDiagonalMatlGrade3 = tnxValue
                            Catch ex As Exception
                                Debug.Print("Error parsing TNX variable: " &amp; tnxVar)
                            End Try</v>
      </c>
      <c r="O15" s="11" t="str">
        <f t="shared" si="6"/>
        <v>newERIList.Add("TowerRedundantDiagonalMatlGrade3=" &amp;  .TowerRedundantDiagonalMatlGrade3)</v>
      </c>
      <c r="P15" s="11" t="str">
        <f t="shared" si="7"/>
        <v>SQLInsertValues = SQLInsertValues.AddtoDBString(Me.TowerRedundantDiagonalMatlGrade3.NullableToString.FormatDBValue)</v>
      </c>
      <c r="Q15" s="11" t="str">
        <f t="shared" si="8"/>
        <v>SQLInsertFields = SQLInsertFields.AddtoDBString("TowerRedundantDiagonalMatlGrade3")</v>
      </c>
      <c r="R15" s="11" t="str">
        <f t="shared" si="9"/>
        <v>SQLUpdateFieldsandValues = SQLUpdateFieldsandValues.AddtoDBString("TowerRedundantDiagonalMatlGrade3 = " &amp; Me.TowerRedundantDiagonalMatlGrade3.NullableToString.FormatDBValue)</v>
      </c>
      <c r="S15" s="10" t="s">
        <v>286</v>
      </c>
    </row>
    <row r="16" spans="1:19" ht="150" x14ac:dyDescent="0.25">
      <c r="A16" s="11" t="s">
        <v>377</v>
      </c>
      <c r="B16" s="11" t="str" cm="1">
        <f t="array" ref="B16">Addspaces(A16)</f>
        <v>Tower Redundant Diagonal Grade 4</v>
      </c>
      <c r="C16" s="15" t="s">
        <v>1225</v>
      </c>
      <c r="D16" s="13" t="str">
        <f>VLOOKUP(C16,Sheet8!A:C,2,FALSE)</f>
        <v>decimal(18, 6)</v>
      </c>
      <c r="E16" s="15"/>
      <c r="F16" s="13" t="str">
        <f>VLOOKUP(C16,Sheet8!A:C,3,FALSE)</f>
        <v>Double?</v>
      </c>
      <c r="G16" s="15" t="b">
        <v>1</v>
      </c>
      <c r="H16" s="11" t="str">
        <f t="shared" si="0"/>
        <v>ADD TowerRedundantDiagonalGrade4 decimal(18, 6),</v>
      </c>
      <c r="I16" s="11" t="str">
        <f t="shared" si="1"/>
        <v xml:space="preserve">Private _TowerRedundantDiagonalGrade4 As Double? </v>
      </c>
      <c r="J16" s="12" t="str">
        <f t="shared" si="2"/>
        <v xml:space="preserve">     		&lt;Category("TNX Tower Record"), Description(""), DisplayName("Tower Redundant Diagonal Grade 4")&gt;
    		&lt;DataMember()&gt; Public Property TowerRedundantDiagonalGrade4() As Double??
        			Get
            				Return Me._TowerRedundantDiagonalGrade4
        			End Get
        			Set
            				Me._TowerRedundantDiagonalGrade4 = Value
        			End Set
    		End Property</v>
      </c>
      <c r="K16" s="11" t="str">
        <f>"Me."&amp;A16&amp; " = " &amp; VLOOKUP(C16,Sheet8!A:D,4,FALSE)&amp;"(recRow.Item("""&amp;A16 &amp;""")" &amp; IF(C16="Number",",6","")&amp;")"</f>
        <v>Me.TowerRedundantDiagonalGrade4 = DBtoNullableDec(recRow.Item("TowerRedundantDiagonalGrade4"),6)</v>
      </c>
      <c r="L16" s="11" t="str">
        <f t="shared" si="3"/>
        <v>insertString = insertString.AddtoDBString(Me.TowerRedundantDiagonalGrade4.ToString)</v>
      </c>
      <c r="M16" s="11" t="str">
        <f t="shared" si="4"/>
        <v>Equals = If(Me.TowerRedundantDiagonalGrade4.CheckChange(otherToCompare.TowerRedundantDiagonalGrade4, changes, categoryName, "Tower Redundant Diagonal Grade 4"), Equals, False)</v>
      </c>
      <c r="N16" s="12" t="str">
        <f t="shared" si="5"/>
        <v xml:space="preserve"> 	Case tnxVar.Equals("TowerRedundantDiagonalGrade4")
                            Try
                                Me.geometry.baseStructure(recIndex).TowerRedundantDiagonalGrade4 = tnxValue
                            Catch ex As Exception
                                Debug.Print("Error parsing TNX variable: " &amp; tnxVar)
                            End Try</v>
      </c>
      <c r="O16" s="11" t="str">
        <f t="shared" si="6"/>
        <v>newERIList.Add("TowerRedundantDiagonalGrade4=" &amp; Me.settings.USUnits.Properties.convertToERIUnits( .TowerRedundantDiagonalGrade4))</v>
      </c>
      <c r="P16" s="11" t="str">
        <f t="shared" si="7"/>
        <v>SQLInsertValues = SQLInsertValues.AddtoDBString(Me.TowerRedundantDiagonalGrade4.NullableToString.FormatDBValue)</v>
      </c>
      <c r="Q16" s="11" t="str">
        <f t="shared" si="8"/>
        <v>SQLInsertFields = SQLInsertFields.AddtoDBString("TowerRedundantDiagonalGrade4")</v>
      </c>
      <c r="R16" s="11" t="str">
        <f t="shared" si="9"/>
        <v>SQLUpdateFieldsandValues = SQLUpdateFieldsandValues.AddtoDBString("TowerRedundantDiagonalGrade4 = " &amp; Me.TowerRedundantDiagonalGrade4.NullableToString.FormatDBValue)</v>
      </c>
      <c r="S16" s="10" t="s">
        <v>286</v>
      </c>
    </row>
    <row r="17" spans="1:19" ht="150" x14ac:dyDescent="0.25">
      <c r="A17" s="11" t="s">
        <v>379</v>
      </c>
      <c r="B17" s="11" t="str" cm="1">
        <f t="array" ref="B17">Addspaces(A17)</f>
        <v>Tower Redundant Diagonal Matl Grade 4</v>
      </c>
      <c r="C17" s="15" t="s">
        <v>1224</v>
      </c>
      <c r="D17" s="13" t="str">
        <f>VLOOKUP(C17,Sheet8!A:C,2,FALSE)</f>
        <v>varchar</v>
      </c>
      <c r="E17" s="15">
        <v>100</v>
      </c>
      <c r="F17" s="13" t="str">
        <f>VLOOKUP(C17,Sheet8!A:C,3,FALSE)</f>
        <v>String</v>
      </c>
      <c r="G17" s="15"/>
      <c r="H17" s="11" t="str">
        <f t="shared" si="0"/>
        <v>ADD TowerRedundantDiagonalMatlGrade4 varchar(100),</v>
      </c>
      <c r="I17" s="11" t="str">
        <f t="shared" si="1"/>
        <v xml:space="preserve">Private _TowerRedundantDiagonalMatlGrade4 As String </v>
      </c>
      <c r="J17" s="12" t="str">
        <f t="shared" si="2"/>
        <v xml:space="preserve">     		&lt;Category("TNX Tower Record"), Description(""), DisplayName("Tower Redundant Diagonal Matl Grade 4")&gt;
    		&lt;DataMember()&gt; Public Property TowerRedundantDiagonalMatlGrade4() As String
        			Get
            				Return Me._TowerRedundantDiagonalMatlGrade4
        			End Get
        			Set
            				Me._TowerRedundantDiagonalMatlGrade4 = Value
        			End Set
    		End Property</v>
      </c>
      <c r="K17" s="11" t="str">
        <f>"Me."&amp;A17&amp; " = " &amp; VLOOKUP(C17,Sheet8!A:D,4,FALSE)&amp;"(recRow.Item("""&amp;A17 &amp;""")" &amp; IF(C17="Number",",6","")&amp;")"</f>
        <v>Me.TowerRedundantDiagonalMatlGrade4 = DBtoStr(recRow.Item("TowerRedundantDiagonalMatlGrade4"))</v>
      </c>
      <c r="L17" s="11" t="str">
        <f t="shared" si="3"/>
        <v>insertString = insertString.AddtoDBString(Me.TowerRedundantDiagonalMatlGrade4.ToString)</v>
      </c>
      <c r="M17" s="11" t="str">
        <f t="shared" si="4"/>
        <v>Equals = If(Me.TowerRedundantDiagonalMatlGrade4.CheckChange(otherToCompare.TowerRedundantDiagonalMatlGrade4, changes, categoryName, "Tower Redundant Diagonal Matl Grade 4"), Equals, False)</v>
      </c>
      <c r="N17" s="12" t="str">
        <f t="shared" si="5"/>
        <v xml:space="preserve"> 	Case tnxVar.Equals("TowerRedundantDiagonalMatlGrade4")
                            Try
                                Me.geometry.baseStructure(recIndex).TowerRedundantDiagonalMatlGrade4 = tnxValue
                            Catch ex As Exception
                                Debug.Print("Error parsing TNX variable: " &amp; tnxVar)
                            End Try</v>
      </c>
      <c r="O17" s="11" t="str">
        <f t="shared" si="6"/>
        <v>newERIList.Add("TowerRedundantDiagonalMatlGrade4=" &amp;  .TowerRedundantDiagonalMatlGrade4)</v>
      </c>
      <c r="P17" s="11" t="str">
        <f t="shared" si="7"/>
        <v>SQLInsertValues = SQLInsertValues.AddtoDBString(Me.TowerRedundantDiagonalMatlGrade4.NullableToString.FormatDBValue)</v>
      </c>
      <c r="Q17" s="11" t="str">
        <f t="shared" si="8"/>
        <v>SQLInsertFields = SQLInsertFields.AddtoDBString("TowerRedundantDiagonalMatlGrade4")</v>
      </c>
      <c r="R17" s="11" t="str">
        <f t="shared" si="9"/>
        <v>SQLUpdateFieldsandValues = SQLUpdateFieldsandValues.AddtoDBString("TowerRedundantDiagonalMatlGrade4 = " &amp; Me.TowerRedundantDiagonalMatlGrade4.NullableToString.FormatDBValue)</v>
      </c>
      <c r="S17" s="10" t="s">
        <v>286</v>
      </c>
    </row>
    <row r="18" spans="1:19" ht="150" x14ac:dyDescent="0.25">
      <c r="A18" s="11" t="s">
        <v>381</v>
      </c>
      <c r="B18" s="11" t="str" cm="1">
        <f t="array" ref="B18">Addspaces(A18)</f>
        <v>Tower Redundant Sub Horizontal Grade</v>
      </c>
      <c r="C18" s="15" t="s">
        <v>1225</v>
      </c>
      <c r="D18" s="13" t="str">
        <f>VLOOKUP(C18,Sheet8!A:C,2,FALSE)</f>
        <v>decimal(18, 6)</v>
      </c>
      <c r="E18" s="15"/>
      <c r="F18" s="13" t="str">
        <f>VLOOKUP(C18,Sheet8!A:C,3,FALSE)</f>
        <v>Double?</v>
      </c>
      <c r="G18" s="15" t="b">
        <v>1</v>
      </c>
      <c r="H18" s="11" t="str">
        <f t="shared" si="0"/>
        <v>ADD TowerRedundantSubHorizontalGrade decimal(18, 6),</v>
      </c>
      <c r="I18" s="11" t="str">
        <f t="shared" si="1"/>
        <v xml:space="preserve">Private _TowerRedundantSubHorizontalGrade As Double? </v>
      </c>
      <c r="J18" s="12" t="str">
        <f t="shared" si="2"/>
        <v xml:space="preserve">     		&lt;Category("TNX Tower Record"), Description(""), DisplayName("Tower Redundant Sub Horizontal Grade")&gt;
    		&lt;DataMember()&gt; Public Property TowerRedundantSubHorizontalGrade() As Double??
        			Get
            				Return Me._TowerRedundantSubHorizontalGrade
        			End Get
        			Set
            				Me._TowerRedundantSubHorizontalGrade = Value
        			End Set
    		End Property</v>
      </c>
      <c r="K18" s="11" t="str">
        <f>"Me."&amp;A18&amp; " = " &amp; VLOOKUP(C18,Sheet8!A:D,4,FALSE)&amp;"(recRow.Item("""&amp;A18 &amp;""")" &amp; IF(C18="Number",",6","")&amp;")"</f>
        <v>Me.TowerRedundantSubHorizontalGrade = DBtoNullableDec(recRow.Item("TowerRedundantSubHorizontalGrade"),6)</v>
      </c>
      <c r="L18" s="11" t="str">
        <f t="shared" si="3"/>
        <v>insertString = insertString.AddtoDBString(Me.TowerRedundantSubHorizontalGrade.ToString)</v>
      </c>
      <c r="M18" s="11" t="str">
        <f t="shared" si="4"/>
        <v>Equals = If(Me.TowerRedundantSubHorizontalGrade.CheckChange(otherToCompare.TowerRedundantSubHorizontalGrade, changes, categoryName, "Tower Redundant Sub Horizontal Grade"), Equals, False)</v>
      </c>
      <c r="N18" s="12" t="str">
        <f t="shared" si="5"/>
        <v xml:space="preserve"> 	Case tnxVar.Equals("TowerRedundantSubHorizontalGrade")
                            Try
                                Me.geometry.baseStructure(recIndex).TowerRedundantSubHorizontalGrade = tnxValue
                            Catch ex As Exception
                                Debug.Print("Error parsing TNX variable: " &amp; tnxVar)
                            End Try</v>
      </c>
      <c r="O18" s="11" t="str">
        <f t="shared" si="6"/>
        <v>newERIList.Add("TowerRedundantSubHorizontalGrade=" &amp; Me.settings.USUnits.Properties.convertToERIUnits( .TowerRedundantSubHorizontalGrade))</v>
      </c>
      <c r="P18" s="11" t="str">
        <f t="shared" si="7"/>
        <v>SQLInsertValues = SQLInsertValues.AddtoDBString(Me.TowerRedundantSubHorizontalGrade.NullableToString.FormatDBValue)</v>
      </c>
      <c r="Q18" s="11" t="str">
        <f t="shared" si="8"/>
        <v>SQLInsertFields = SQLInsertFields.AddtoDBString("TowerRedundantSubHorizontalGrade")</v>
      </c>
      <c r="R18" s="11" t="str">
        <f t="shared" si="9"/>
        <v>SQLUpdateFieldsandValues = SQLUpdateFieldsandValues.AddtoDBString("TowerRedundantSubHorizontalGrade = " &amp; Me.TowerRedundantSubHorizontalGrade.NullableToString.FormatDBValue)</v>
      </c>
      <c r="S18" s="10" t="s">
        <v>286</v>
      </c>
    </row>
    <row r="19" spans="1:19" ht="150" x14ac:dyDescent="0.25">
      <c r="A19" s="11" t="s">
        <v>383</v>
      </c>
      <c r="B19" s="11" t="str" cm="1">
        <f t="array" ref="B19">Addspaces(A19)</f>
        <v>Tower Redundant Sub Horizontal Matl Grade</v>
      </c>
      <c r="C19" s="15" t="s">
        <v>1224</v>
      </c>
      <c r="D19" s="13" t="str">
        <f>VLOOKUP(C19,Sheet8!A:C,2,FALSE)</f>
        <v>varchar</v>
      </c>
      <c r="E19" s="15">
        <v>100</v>
      </c>
      <c r="F19" s="13" t="str">
        <f>VLOOKUP(C19,Sheet8!A:C,3,FALSE)</f>
        <v>String</v>
      </c>
      <c r="G19" s="15"/>
      <c r="H19" s="11" t="str">
        <f t="shared" si="0"/>
        <v>ADD TowerRedundantSubHorizontalMatlGrade varchar(100),</v>
      </c>
      <c r="I19" s="11" t="str">
        <f t="shared" si="1"/>
        <v xml:space="preserve">Private _TowerRedundantSubHorizontalMatlGrade As String </v>
      </c>
      <c r="J19" s="12" t="str">
        <f t="shared" si="2"/>
        <v xml:space="preserve">     		&lt;Category("TNX Tower Record"), Description(""), DisplayName("Tower Redundant Sub Horizontal Matl Grade")&gt;
    		&lt;DataMember()&gt; Public Property TowerRedundantSubHorizontalMatlGrade() As String
        			Get
            				Return Me._TowerRedundantSubHorizontalMatlGrade
        			End Get
        			Set
            				Me._TowerRedundantSubHorizontalMatlGrade = Value
        			End Set
    		End Property</v>
      </c>
      <c r="K19" s="11" t="str">
        <f>"Me."&amp;A19&amp; " = " &amp; VLOOKUP(C19,Sheet8!A:D,4,FALSE)&amp;"(recRow.Item("""&amp;A19 &amp;""")" &amp; IF(C19="Number",",6","")&amp;")"</f>
        <v>Me.TowerRedundantSubHorizontalMatlGrade = DBtoStr(recRow.Item("TowerRedundantSubHorizontalMatlGrade"))</v>
      </c>
      <c r="L19" s="11" t="str">
        <f t="shared" si="3"/>
        <v>insertString = insertString.AddtoDBString(Me.TowerRedundantSubHorizontalMatlGrade.ToString)</v>
      </c>
      <c r="M19" s="11" t="str">
        <f t="shared" si="4"/>
        <v>Equals = If(Me.TowerRedundantSubHorizontalMatlGrade.CheckChange(otherToCompare.TowerRedundantSubHorizontalMatlGrade, changes, categoryName, "Tower Redundant Sub Horizontal Matl Grade"), Equals, False)</v>
      </c>
      <c r="N19" s="12" t="str">
        <f t="shared" si="5"/>
        <v xml:space="preserve"> 	Case tnxVar.Equals("TowerRedundantSubHorizontalMatlGrade")
                            Try
                                Me.geometry.baseStructure(recIndex).TowerRedundantSubHorizontalMatlGrade = tnxValue
                            Catch ex As Exception
                                Debug.Print("Error parsing TNX variable: " &amp; tnxVar)
                            End Try</v>
      </c>
      <c r="O19" s="11" t="str">
        <f t="shared" si="6"/>
        <v>newERIList.Add("TowerRedundantSubHorizontalMatlGrade=" &amp;  .TowerRedundantSubHorizontalMatlGrade)</v>
      </c>
      <c r="P19" s="11" t="str">
        <f t="shared" si="7"/>
        <v>SQLInsertValues = SQLInsertValues.AddtoDBString(Me.TowerRedundantSubHorizontalMatlGrade.NullableToString.FormatDBValue)</v>
      </c>
      <c r="Q19" s="11" t="str">
        <f t="shared" si="8"/>
        <v>SQLInsertFields = SQLInsertFields.AddtoDBString("TowerRedundantSubHorizontalMatlGrade")</v>
      </c>
      <c r="R19" s="11" t="str">
        <f t="shared" si="9"/>
        <v>SQLUpdateFieldsandValues = SQLUpdateFieldsandValues.AddtoDBString("TowerRedundantSubHorizontalMatlGrade = " &amp; Me.TowerRedundantSubHorizontalMatlGrade.NullableToString.FormatDBValue)</v>
      </c>
      <c r="S19" s="10" t="s">
        <v>286</v>
      </c>
    </row>
    <row r="20" spans="1:19" ht="150" x14ac:dyDescent="0.25">
      <c r="A20" s="11" t="s">
        <v>385</v>
      </c>
      <c r="B20" s="11" t="str" cm="1">
        <f t="array" ref="B20">Addspaces(A20)</f>
        <v>Tower Redundant Sub Diagonal Grade</v>
      </c>
      <c r="C20" s="15" t="s">
        <v>1225</v>
      </c>
      <c r="D20" s="13" t="str">
        <f>VLOOKUP(C20,Sheet8!A:C,2,FALSE)</f>
        <v>decimal(18, 6)</v>
      </c>
      <c r="E20" s="15"/>
      <c r="F20" s="13" t="str">
        <f>VLOOKUP(C20,Sheet8!A:C,3,FALSE)</f>
        <v>Double?</v>
      </c>
      <c r="G20" s="15" t="b">
        <v>1</v>
      </c>
      <c r="H20" s="11" t="str">
        <f t="shared" si="0"/>
        <v>ADD TowerRedundantSubDiagonalGrade decimal(18, 6),</v>
      </c>
      <c r="I20" s="11" t="str">
        <f t="shared" si="1"/>
        <v xml:space="preserve">Private _TowerRedundantSubDiagonalGrade As Double? </v>
      </c>
      <c r="J20" s="12" t="str">
        <f t="shared" si="2"/>
        <v xml:space="preserve">     		&lt;Category("TNX Tower Record"), Description(""), DisplayName("Tower Redundant Sub Diagonal Grade")&gt;
    		&lt;DataMember()&gt; Public Property TowerRedundantSubDiagonalGrade() As Double??
        			Get
            				Return Me._TowerRedundantSubDiagonalGrade
        			End Get
        			Set
            				Me._TowerRedundantSubDiagonalGrade = Value
        			End Set
    		End Property</v>
      </c>
      <c r="K20" s="11" t="str">
        <f>"Me."&amp;A20&amp; " = " &amp; VLOOKUP(C20,Sheet8!A:D,4,FALSE)&amp;"(recRow.Item("""&amp;A20 &amp;""")" &amp; IF(C20="Number",",6","")&amp;")"</f>
        <v>Me.TowerRedundantSubDiagonalGrade = DBtoNullableDec(recRow.Item("TowerRedundantSubDiagonalGrade"),6)</v>
      </c>
      <c r="L20" s="11" t="str">
        <f t="shared" si="3"/>
        <v>insertString = insertString.AddtoDBString(Me.TowerRedundantSubDiagonalGrade.ToString)</v>
      </c>
      <c r="M20" s="11" t="str">
        <f t="shared" si="4"/>
        <v>Equals = If(Me.TowerRedundantSubDiagonalGrade.CheckChange(otherToCompare.TowerRedundantSubDiagonalGrade, changes, categoryName, "Tower Redundant Sub Diagonal Grade"), Equals, False)</v>
      </c>
      <c r="N20" s="12" t="str">
        <f t="shared" si="5"/>
        <v xml:space="preserve"> 	Case tnxVar.Equals("TowerRedundantSubDiagonalGrade")
                            Try
                                Me.geometry.baseStructure(recIndex).TowerRedundantSubDiagonalGrade = tnxValue
                            Catch ex As Exception
                                Debug.Print("Error parsing TNX variable: " &amp; tnxVar)
                            End Try</v>
      </c>
      <c r="O20" s="11" t="str">
        <f t="shared" si="6"/>
        <v>newERIList.Add("TowerRedundantSubDiagonalGrade=" &amp; Me.settings.USUnits.Properties.convertToERIUnits( .TowerRedundantSubDiagonalGrade))</v>
      </c>
      <c r="P20" s="11" t="str">
        <f t="shared" si="7"/>
        <v>SQLInsertValues = SQLInsertValues.AddtoDBString(Me.TowerRedundantSubDiagonalGrade.NullableToString.FormatDBValue)</v>
      </c>
      <c r="Q20" s="11" t="str">
        <f t="shared" si="8"/>
        <v>SQLInsertFields = SQLInsertFields.AddtoDBString("TowerRedundantSubDiagonalGrade")</v>
      </c>
      <c r="R20" s="11" t="str">
        <f t="shared" si="9"/>
        <v>SQLUpdateFieldsandValues = SQLUpdateFieldsandValues.AddtoDBString("TowerRedundantSubDiagonalGrade = " &amp; Me.TowerRedundantSubDiagonalGrade.NullableToString.FormatDBValue)</v>
      </c>
      <c r="S20" s="10" t="s">
        <v>286</v>
      </c>
    </row>
    <row r="21" spans="1:19" ht="150" x14ac:dyDescent="0.25">
      <c r="A21" s="11" t="s">
        <v>387</v>
      </c>
      <c r="B21" s="11" t="str" cm="1">
        <f t="array" ref="B21">Addspaces(A21)</f>
        <v>Tower Redundant Sub Diagonal Matl Grade</v>
      </c>
      <c r="C21" s="15" t="s">
        <v>1224</v>
      </c>
      <c r="D21" s="13" t="str">
        <f>VLOOKUP(C21,Sheet8!A:C,2,FALSE)</f>
        <v>varchar</v>
      </c>
      <c r="E21" s="15">
        <v>100</v>
      </c>
      <c r="F21" s="13" t="str">
        <f>VLOOKUP(C21,Sheet8!A:C,3,FALSE)</f>
        <v>String</v>
      </c>
      <c r="G21" s="15"/>
      <c r="H21" s="11" t="str">
        <f t="shared" si="0"/>
        <v>ADD TowerRedundantSubDiagonalMatlGrade varchar(100),</v>
      </c>
      <c r="I21" s="11" t="str">
        <f t="shared" si="1"/>
        <v xml:space="preserve">Private _TowerRedundantSubDiagonalMatlGrade As String </v>
      </c>
      <c r="J21" s="12" t="str">
        <f t="shared" si="2"/>
        <v xml:space="preserve">     		&lt;Category("TNX Tower Record"), Description(""), DisplayName("Tower Redundant Sub Diagonal Matl Grade")&gt;
    		&lt;DataMember()&gt; Public Property TowerRedundantSubDiagonalMatlGrade() As String
        			Get
            				Return Me._TowerRedundantSubDiagonalMatlGrade
        			End Get
        			Set
            				Me._TowerRedundantSubDiagonalMatlGrade = Value
        			End Set
    		End Property</v>
      </c>
      <c r="K21" s="11" t="str">
        <f>"Me."&amp;A21&amp; " = " &amp; VLOOKUP(C21,Sheet8!A:D,4,FALSE)&amp;"(recRow.Item("""&amp;A21 &amp;""")" &amp; IF(C21="Number",",6","")&amp;")"</f>
        <v>Me.TowerRedundantSubDiagonalMatlGrade = DBtoStr(recRow.Item("TowerRedundantSubDiagonalMatlGrade"))</v>
      </c>
      <c r="L21" s="11" t="str">
        <f t="shared" si="3"/>
        <v>insertString = insertString.AddtoDBString(Me.TowerRedundantSubDiagonalMatlGrade.ToString)</v>
      </c>
      <c r="M21" s="11" t="str">
        <f t="shared" si="4"/>
        <v>Equals = If(Me.TowerRedundantSubDiagonalMatlGrade.CheckChange(otherToCompare.TowerRedundantSubDiagonalMatlGrade, changes, categoryName, "Tower Redundant Sub Diagonal Matl Grade"), Equals, False)</v>
      </c>
      <c r="N21" s="12" t="str">
        <f t="shared" si="5"/>
        <v xml:space="preserve"> 	Case tnxVar.Equals("TowerRedundantSubDiagonalMatlGrade")
                            Try
                                Me.geometry.baseStructure(recIndex).TowerRedundantSubDiagonalMatlGrade = tnxValue
                            Catch ex As Exception
                                Debug.Print("Error parsing TNX variable: " &amp; tnxVar)
                            End Try</v>
      </c>
      <c r="O21" s="11" t="str">
        <f t="shared" si="6"/>
        <v>newERIList.Add("TowerRedundantSubDiagonalMatlGrade=" &amp;  .TowerRedundantSubDiagonalMatlGrade)</v>
      </c>
      <c r="P21" s="11" t="str">
        <f t="shared" si="7"/>
        <v>SQLInsertValues = SQLInsertValues.AddtoDBString(Me.TowerRedundantSubDiagonalMatlGrade.NullableToString.FormatDBValue)</v>
      </c>
      <c r="Q21" s="11" t="str">
        <f t="shared" si="8"/>
        <v>SQLInsertFields = SQLInsertFields.AddtoDBString("TowerRedundantSubDiagonalMatlGrade")</v>
      </c>
      <c r="R21" s="11" t="str">
        <f t="shared" si="9"/>
        <v>SQLUpdateFieldsandValues = SQLUpdateFieldsandValues.AddtoDBString("TowerRedundantSubDiagonalMatlGrade = " &amp; Me.TowerRedundantSubDiagonalMatlGrade.NullableToString.FormatDBValue)</v>
      </c>
      <c r="S21" s="10" t="s">
        <v>286</v>
      </c>
    </row>
    <row r="22" spans="1:19" ht="150" x14ac:dyDescent="0.25">
      <c r="A22" s="11" t="s">
        <v>389</v>
      </c>
      <c r="B22" s="11" t="str" cm="1">
        <f t="array" ref="B22">Addspaces(A22)</f>
        <v>Tower Redundant Vertical Grade</v>
      </c>
      <c r="C22" s="15" t="s">
        <v>1225</v>
      </c>
      <c r="D22" s="13" t="str">
        <f>VLOOKUP(C22,Sheet8!A:C,2,FALSE)</f>
        <v>decimal(18, 6)</v>
      </c>
      <c r="E22" s="15"/>
      <c r="F22" s="13" t="str">
        <f>VLOOKUP(C22,Sheet8!A:C,3,FALSE)</f>
        <v>Double?</v>
      </c>
      <c r="G22" s="15" t="b">
        <v>1</v>
      </c>
      <c r="H22" s="11" t="str">
        <f t="shared" si="0"/>
        <v>ADD TowerRedundantVerticalGrade decimal(18, 6),</v>
      </c>
      <c r="I22" s="11" t="str">
        <f t="shared" si="1"/>
        <v xml:space="preserve">Private _TowerRedundantVerticalGrade As Double? </v>
      </c>
      <c r="J22" s="12" t="str">
        <f t="shared" si="2"/>
        <v xml:space="preserve">     		&lt;Category("TNX Tower Record"), Description(""), DisplayName("Tower Redundant Vertical Grade")&gt;
    		&lt;DataMember()&gt; Public Property TowerRedundantVerticalGrade() As Double??
        			Get
            				Return Me._TowerRedundantVerticalGrade
        			End Get
        			Set
            				Me._TowerRedundantVerticalGrade = Value
        			End Set
    		End Property</v>
      </c>
      <c r="K22" s="11" t="str">
        <f>"Me."&amp;A22&amp; " = " &amp; VLOOKUP(C22,Sheet8!A:D,4,FALSE)&amp;"(recRow.Item("""&amp;A22 &amp;""")" &amp; IF(C22="Number",",6","")&amp;")"</f>
        <v>Me.TowerRedundantVerticalGrade = DBtoNullableDec(recRow.Item("TowerRedundantVerticalGrade"),6)</v>
      </c>
      <c r="L22" s="11" t="str">
        <f t="shared" si="3"/>
        <v>insertString = insertString.AddtoDBString(Me.TowerRedundantVerticalGrade.ToString)</v>
      </c>
      <c r="M22" s="11" t="str">
        <f t="shared" si="4"/>
        <v>Equals = If(Me.TowerRedundantVerticalGrade.CheckChange(otherToCompare.TowerRedundantVerticalGrade, changes, categoryName, "Tower Redundant Vertical Grade"), Equals, False)</v>
      </c>
      <c r="N22" s="12" t="str">
        <f t="shared" si="5"/>
        <v xml:space="preserve"> 	Case tnxVar.Equals("TowerRedundantVerticalGrade")
                            Try
                                Me.geometry.baseStructure(recIndex).TowerRedundantVerticalGrade = tnxValue
                            Catch ex As Exception
                                Debug.Print("Error parsing TNX variable: " &amp; tnxVar)
                            End Try</v>
      </c>
      <c r="O22" s="11" t="str">
        <f t="shared" si="6"/>
        <v>newERIList.Add("TowerRedundantVerticalGrade=" &amp; Me.settings.USUnits.Properties.convertToERIUnits( .TowerRedundantVerticalGrade))</v>
      </c>
      <c r="P22" s="11" t="str">
        <f t="shared" si="7"/>
        <v>SQLInsertValues = SQLInsertValues.AddtoDBString(Me.TowerRedundantVerticalGrade.NullableToString.FormatDBValue)</v>
      </c>
      <c r="Q22" s="11" t="str">
        <f t="shared" si="8"/>
        <v>SQLInsertFields = SQLInsertFields.AddtoDBString("TowerRedundantVerticalGrade")</v>
      </c>
      <c r="R22" s="11" t="str">
        <f t="shared" si="9"/>
        <v>SQLUpdateFieldsandValues = SQLUpdateFieldsandValues.AddtoDBString("TowerRedundantVerticalGrade = " &amp; Me.TowerRedundantVerticalGrade.NullableToString.FormatDBValue)</v>
      </c>
      <c r="S22" s="10" t="s">
        <v>286</v>
      </c>
    </row>
    <row r="23" spans="1:19" ht="150" x14ac:dyDescent="0.25">
      <c r="A23" s="11" t="s">
        <v>391</v>
      </c>
      <c r="B23" s="11" t="str" cm="1">
        <f t="array" ref="B23">Addspaces(A23)</f>
        <v>Tower Redundant Vertical Matl Grade 3</v>
      </c>
      <c r="C23" s="15" t="s">
        <v>1224</v>
      </c>
      <c r="D23" s="13" t="str">
        <f>VLOOKUP(C23,Sheet8!A:C,2,FALSE)</f>
        <v>varchar</v>
      </c>
      <c r="E23" s="15">
        <v>100</v>
      </c>
      <c r="F23" s="13" t="str">
        <f>VLOOKUP(C23,Sheet8!A:C,3,FALSE)</f>
        <v>String</v>
      </c>
      <c r="G23" s="15"/>
      <c r="H23" s="11" t="str">
        <f t="shared" si="0"/>
        <v>ADD TowerRedundantVerticalMatlGrade3 varchar(100),</v>
      </c>
      <c r="I23" s="11" t="str">
        <f t="shared" si="1"/>
        <v xml:space="preserve">Private _TowerRedundantVerticalMatlGrade3 As String </v>
      </c>
      <c r="J23" s="12" t="str">
        <f t="shared" si="2"/>
        <v xml:space="preserve">     		&lt;Category("TNX Tower Record"), Description(""), DisplayName("Tower Redundant Vertical Matl Grade 3")&gt;
    		&lt;DataMember()&gt; Public Property TowerRedundantVerticalMatlGrade3() As String
        			Get
            				Return Me._TowerRedundantVerticalMatlGrade3
        			End Get
        			Set
            				Me._TowerRedundantVerticalMatlGrade3 = Value
        			End Set
    		End Property</v>
      </c>
      <c r="K23" s="11" t="str">
        <f>"Me."&amp;A23&amp; " = " &amp; VLOOKUP(C23,Sheet8!A:D,4,FALSE)&amp;"(recRow.Item("""&amp;A23 &amp;""")" &amp; IF(C23="Number",",6","")&amp;")"</f>
        <v>Me.TowerRedundantVerticalMatlGrade3 = DBtoStr(recRow.Item("TowerRedundantVerticalMatlGrade3"))</v>
      </c>
      <c r="L23" s="11" t="str">
        <f t="shared" si="3"/>
        <v>insertString = insertString.AddtoDBString(Me.TowerRedundantVerticalMatlGrade3.ToString)</v>
      </c>
      <c r="M23" s="11" t="str">
        <f t="shared" si="4"/>
        <v>Equals = If(Me.TowerRedundantVerticalMatlGrade3.CheckChange(otherToCompare.TowerRedundantVerticalMatlGrade3, changes, categoryName, "Tower Redundant Vertical Matl Grade 3"), Equals, False)</v>
      </c>
      <c r="N23" s="12" t="str">
        <f t="shared" si="5"/>
        <v xml:space="preserve"> 	Case tnxVar.Equals("TowerRedundantVerticalMatlGrade3")
                            Try
                                Me.geometry.baseStructure(recIndex).TowerRedundantVerticalMatlGrade3 = tnxValue
                            Catch ex As Exception
                                Debug.Print("Error parsing TNX variable: " &amp; tnxVar)
                            End Try</v>
      </c>
      <c r="O23" s="11" t="str">
        <f t="shared" si="6"/>
        <v>newERIList.Add("TowerRedundantVerticalMatlGrade3=" &amp;  .TowerRedundantVerticalMatlGrade3)</v>
      </c>
      <c r="P23" s="11" t="str">
        <f t="shared" si="7"/>
        <v>SQLInsertValues = SQLInsertValues.AddtoDBString(Me.TowerRedundantVerticalMatlGrade3.NullableToString.FormatDBValue)</v>
      </c>
      <c r="Q23" s="11" t="str">
        <f t="shared" si="8"/>
        <v>SQLInsertFields = SQLInsertFields.AddtoDBString("TowerRedundantVerticalMatlGrade3")</v>
      </c>
      <c r="R23" s="11" t="str">
        <f t="shared" si="9"/>
        <v>SQLUpdateFieldsandValues = SQLUpdateFieldsandValues.AddtoDBString("TowerRedundantVerticalMatlGrade3 = " &amp; Me.TowerRedundantVerticalMatlGrade3.NullableToString.FormatDBValue)</v>
      </c>
      <c r="S23" s="10" t="s">
        <v>286</v>
      </c>
    </row>
    <row r="24" spans="1:19" ht="150" x14ac:dyDescent="0.25">
      <c r="A24" s="11" t="s">
        <v>393</v>
      </c>
      <c r="B24" s="11" t="str" cm="1">
        <f t="array" ref="B24">Addspaces(A24)</f>
        <v>Tower Redundant Hip Grade</v>
      </c>
      <c r="C24" s="15" t="s">
        <v>1225</v>
      </c>
      <c r="D24" s="13" t="str">
        <f>VLOOKUP(C24,Sheet8!A:C,2,FALSE)</f>
        <v>decimal(18, 6)</v>
      </c>
      <c r="E24" s="15"/>
      <c r="F24" s="13" t="str">
        <f>VLOOKUP(C24,Sheet8!A:C,3,FALSE)</f>
        <v>Double?</v>
      </c>
      <c r="G24" s="15" t="b">
        <v>1</v>
      </c>
      <c r="H24" s="11" t="str">
        <f t="shared" si="0"/>
        <v>ADD TowerRedundantHipGrade decimal(18, 6),</v>
      </c>
      <c r="I24" s="11" t="str">
        <f t="shared" si="1"/>
        <v xml:space="preserve">Private _TowerRedundantHipGrade As Double? </v>
      </c>
      <c r="J24" s="12" t="str">
        <f t="shared" si="2"/>
        <v xml:space="preserve">     		&lt;Category("TNX Tower Record"), Description(""), DisplayName("Tower Redundant Hip Grade")&gt;
    		&lt;DataMember()&gt; Public Property TowerRedundantHipGrade() As Double??
        			Get
            				Return Me._TowerRedundantHipGrade
        			End Get
        			Set
            				Me._TowerRedundantHipGrade = Value
        			End Set
    		End Property</v>
      </c>
      <c r="K24" s="11" t="str">
        <f>"Me."&amp;A24&amp; " = " &amp; VLOOKUP(C24,Sheet8!A:D,4,FALSE)&amp;"(recRow.Item("""&amp;A24 &amp;""")" &amp; IF(C24="Number",",6","")&amp;")"</f>
        <v>Me.TowerRedundantHipGrade = DBtoNullableDec(recRow.Item("TowerRedundantHipGrade"),6)</v>
      </c>
      <c r="L24" s="11" t="str">
        <f t="shared" si="3"/>
        <v>insertString = insertString.AddtoDBString(Me.TowerRedundantHipGrade.ToString)</v>
      </c>
      <c r="M24" s="11" t="str">
        <f t="shared" si="4"/>
        <v>Equals = If(Me.TowerRedundantHipGrade.CheckChange(otherToCompare.TowerRedundantHipGrade, changes, categoryName, "Tower Redundant Hip Grade"), Equals, False)</v>
      </c>
      <c r="N24" s="12" t="str">
        <f t="shared" si="5"/>
        <v xml:space="preserve"> 	Case tnxVar.Equals("TowerRedundantHipGrade")
                            Try
                                Me.geometry.baseStructure(recIndex).TowerRedundantHipGrade = tnxValue
                            Catch ex As Exception
                                Debug.Print("Error parsing TNX variable: " &amp; tnxVar)
                            End Try</v>
      </c>
      <c r="O24" s="11" t="str">
        <f t="shared" si="6"/>
        <v>newERIList.Add("TowerRedundantHipGrade=" &amp; Me.settings.USUnits.Properties.convertToERIUnits( .TowerRedundantHipGrade))</v>
      </c>
      <c r="P24" s="11" t="str">
        <f t="shared" si="7"/>
        <v>SQLInsertValues = SQLInsertValues.AddtoDBString(Me.TowerRedundantHipGrade.NullableToString.FormatDBValue)</v>
      </c>
      <c r="Q24" s="11" t="str">
        <f t="shared" si="8"/>
        <v>SQLInsertFields = SQLInsertFields.AddtoDBString("TowerRedundantHipGrade")</v>
      </c>
      <c r="R24" s="11" t="str">
        <f t="shared" si="9"/>
        <v>SQLUpdateFieldsandValues = SQLUpdateFieldsandValues.AddtoDBString("TowerRedundantHipGrade = " &amp; Me.TowerRedundantHipGrade.NullableToString.FormatDBValue)</v>
      </c>
      <c r="S24" s="10" t="s">
        <v>286</v>
      </c>
    </row>
    <row r="25" spans="1:19" ht="150" x14ac:dyDescent="0.25">
      <c r="A25" s="11" t="s">
        <v>395</v>
      </c>
      <c r="B25" s="11" t="str" cm="1">
        <f t="array" ref="B25">Addspaces(A25)</f>
        <v>Tower Redundant Hip Matl Grade</v>
      </c>
      <c r="C25" s="15" t="s">
        <v>1224</v>
      </c>
      <c r="D25" s="13" t="str">
        <f>VLOOKUP(C25,Sheet8!A:C,2,FALSE)</f>
        <v>varchar</v>
      </c>
      <c r="E25" s="15">
        <v>100</v>
      </c>
      <c r="F25" s="13" t="str">
        <f>VLOOKUP(C25,Sheet8!A:C,3,FALSE)</f>
        <v>String</v>
      </c>
      <c r="G25" s="15"/>
      <c r="H25" s="11" t="str">
        <f t="shared" si="0"/>
        <v>ADD TowerRedundantHipMatlGrade varchar(100),</v>
      </c>
      <c r="I25" s="11" t="str">
        <f t="shared" si="1"/>
        <v xml:space="preserve">Private _TowerRedundantHipMatlGrade As String </v>
      </c>
      <c r="J25" s="12" t="str">
        <f t="shared" si="2"/>
        <v xml:space="preserve">     		&lt;Category("TNX Tower Record"), Description(""), DisplayName("Tower Redundant Hip Matl Grade")&gt;
    		&lt;DataMember()&gt; Public Property TowerRedundantHipMatlGrade() As String
        			Get
            				Return Me._TowerRedundantHipMatlGrade
        			End Get
        			Set
            				Me._TowerRedundantHipMatlGrade = Value
        			End Set
    		End Property</v>
      </c>
      <c r="K25" s="11" t="str">
        <f>"Me."&amp;A25&amp; " = " &amp; VLOOKUP(C25,Sheet8!A:D,4,FALSE)&amp;"(recRow.Item("""&amp;A25 &amp;""")" &amp; IF(C25="Number",",6","")&amp;")"</f>
        <v>Me.TowerRedundantHipMatlGrade = DBtoStr(recRow.Item("TowerRedundantHipMatlGrade"))</v>
      </c>
      <c r="L25" s="11" t="str">
        <f t="shared" si="3"/>
        <v>insertString = insertString.AddtoDBString(Me.TowerRedundantHipMatlGrade.ToString)</v>
      </c>
      <c r="M25" s="11" t="str">
        <f t="shared" si="4"/>
        <v>Equals = If(Me.TowerRedundantHipMatlGrade.CheckChange(otherToCompare.TowerRedundantHipMatlGrade, changes, categoryName, "Tower Redundant Hip Matl Grade"), Equals, False)</v>
      </c>
      <c r="N25" s="12" t="str">
        <f t="shared" si="5"/>
        <v xml:space="preserve"> 	Case tnxVar.Equals("TowerRedundantHipMatlGrade")
                            Try
                                Me.geometry.baseStructure(recIndex).TowerRedundantHipMatlGrade = tnxValue
                            Catch ex As Exception
                                Debug.Print("Error parsing TNX variable: " &amp; tnxVar)
                            End Try</v>
      </c>
      <c r="O25" s="11" t="str">
        <f t="shared" si="6"/>
        <v>newERIList.Add("TowerRedundantHipMatlGrade=" &amp;  .TowerRedundantHipMatlGrade)</v>
      </c>
      <c r="P25" s="11" t="str">
        <f t="shared" si="7"/>
        <v>SQLInsertValues = SQLInsertValues.AddtoDBString(Me.TowerRedundantHipMatlGrade.NullableToString.FormatDBValue)</v>
      </c>
      <c r="Q25" s="11" t="str">
        <f t="shared" si="8"/>
        <v>SQLInsertFields = SQLInsertFields.AddtoDBString("TowerRedundantHipMatlGrade")</v>
      </c>
      <c r="R25" s="11" t="str">
        <f t="shared" si="9"/>
        <v>SQLUpdateFieldsandValues = SQLUpdateFieldsandValues.AddtoDBString("TowerRedundantHipMatlGrade = " &amp; Me.TowerRedundantHipMatlGrade.NullableToString.FormatDBValue)</v>
      </c>
      <c r="S25" s="10" t="s">
        <v>286</v>
      </c>
    </row>
    <row r="26" spans="1:19" ht="150" x14ac:dyDescent="0.25">
      <c r="A26" s="11" t="s">
        <v>397</v>
      </c>
      <c r="B26" s="11" t="str" cm="1">
        <f t="array" ref="B26">Addspaces(A26)</f>
        <v>Tower Redundant Hip Grade 2</v>
      </c>
      <c r="C26" s="15" t="s">
        <v>1225</v>
      </c>
      <c r="D26" s="13" t="str">
        <f>VLOOKUP(C26,Sheet8!A:C,2,FALSE)</f>
        <v>decimal(18, 6)</v>
      </c>
      <c r="E26" s="15"/>
      <c r="F26" s="13" t="str">
        <f>VLOOKUP(C26,Sheet8!A:C,3,FALSE)</f>
        <v>Double?</v>
      </c>
      <c r="G26" s="15" t="b">
        <v>1</v>
      </c>
      <c r="H26" s="11" t="str">
        <f t="shared" si="0"/>
        <v>ADD TowerRedundantHipGrade2 decimal(18, 6),</v>
      </c>
      <c r="I26" s="11" t="str">
        <f t="shared" si="1"/>
        <v xml:space="preserve">Private _TowerRedundantHipGrade2 As Double? </v>
      </c>
      <c r="J26" s="12" t="str">
        <f t="shared" si="2"/>
        <v xml:space="preserve">     		&lt;Category("TNX Tower Record"), Description(""), DisplayName("Tower Redundant Hip Grade 2")&gt;
    		&lt;DataMember()&gt; Public Property TowerRedundantHipGrade2() As Double??
        			Get
            				Return Me._TowerRedundantHipGrade2
        			End Get
        			Set
            				Me._TowerRedundantHipGrade2 = Value
        			End Set
    		End Property</v>
      </c>
      <c r="K26" s="11" t="str">
        <f>"Me."&amp;A26&amp; " = " &amp; VLOOKUP(C26,Sheet8!A:D,4,FALSE)&amp;"(recRow.Item("""&amp;A26 &amp;""")" &amp; IF(C26="Number",",6","")&amp;")"</f>
        <v>Me.TowerRedundantHipGrade2 = DBtoNullableDec(recRow.Item("TowerRedundantHipGrade2"),6)</v>
      </c>
      <c r="L26" s="11" t="str">
        <f t="shared" si="3"/>
        <v>insertString = insertString.AddtoDBString(Me.TowerRedundantHipGrade2.ToString)</v>
      </c>
      <c r="M26" s="11" t="str">
        <f t="shared" si="4"/>
        <v>Equals = If(Me.TowerRedundantHipGrade2.CheckChange(otherToCompare.TowerRedundantHipGrade2, changes, categoryName, "Tower Redundant Hip Grade 2"), Equals, False)</v>
      </c>
      <c r="N26" s="12" t="str">
        <f t="shared" si="5"/>
        <v xml:space="preserve"> 	Case tnxVar.Equals("TowerRedundantHipGrade2")
                            Try
                                Me.geometry.baseStructure(recIndex).TowerRedundantHipGrade2 = tnxValue
                            Catch ex As Exception
                                Debug.Print("Error parsing TNX variable: " &amp; tnxVar)
                            End Try</v>
      </c>
      <c r="O26" s="11" t="str">
        <f t="shared" si="6"/>
        <v>newERIList.Add("TowerRedundantHipGrade2=" &amp; Me.settings.USUnits.Properties.convertToERIUnits( .TowerRedundantHipGrade2))</v>
      </c>
      <c r="P26" s="11" t="str">
        <f t="shared" si="7"/>
        <v>SQLInsertValues = SQLInsertValues.AddtoDBString(Me.TowerRedundantHipGrade2.NullableToString.FormatDBValue)</v>
      </c>
      <c r="Q26" s="11" t="str">
        <f t="shared" si="8"/>
        <v>SQLInsertFields = SQLInsertFields.AddtoDBString("TowerRedundantHipGrade2")</v>
      </c>
      <c r="R26" s="11" t="str">
        <f t="shared" si="9"/>
        <v>SQLUpdateFieldsandValues = SQLUpdateFieldsandValues.AddtoDBString("TowerRedundantHipGrade2 = " &amp; Me.TowerRedundantHipGrade2.NullableToString.FormatDBValue)</v>
      </c>
      <c r="S26" s="10" t="s">
        <v>286</v>
      </c>
    </row>
    <row r="27" spans="1:19" ht="150" x14ac:dyDescent="0.25">
      <c r="A27" s="11" t="s">
        <v>399</v>
      </c>
      <c r="B27" s="11" t="str" cm="1">
        <f t="array" ref="B27">Addspaces(A27)</f>
        <v>Tower Redundant Hip Matl Grade 2</v>
      </c>
      <c r="C27" s="15" t="s">
        <v>1224</v>
      </c>
      <c r="D27" s="13" t="str">
        <f>VLOOKUP(C27,Sheet8!A:C,2,FALSE)</f>
        <v>varchar</v>
      </c>
      <c r="E27" s="15">
        <v>100</v>
      </c>
      <c r="F27" s="13" t="str">
        <f>VLOOKUP(C27,Sheet8!A:C,3,FALSE)</f>
        <v>String</v>
      </c>
      <c r="G27" s="15"/>
      <c r="H27" s="11" t="str">
        <f t="shared" si="0"/>
        <v>ADD TowerRedundantHipMatlGrade2 varchar(100),</v>
      </c>
      <c r="I27" s="11" t="str">
        <f t="shared" si="1"/>
        <v xml:space="preserve">Private _TowerRedundantHipMatlGrade2 As String </v>
      </c>
      <c r="J27" s="12" t="str">
        <f t="shared" si="2"/>
        <v xml:space="preserve">     		&lt;Category("TNX Tower Record"), Description(""), DisplayName("Tower Redundant Hip Matl Grade 2")&gt;
    		&lt;DataMember()&gt; Public Property TowerRedundantHipMatlGrade2() As String
        			Get
            				Return Me._TowerRedundantHipMatlGrade2
        			End Get
        			Set
            				Me._TowerRedundantHipMatlGrade2 = Value
        			End Set
    		End Property</v>
      </c>
      <c r="K27" s="11" t="str">
        <f>"Me."&amp;A27&amp; " = " &amp; VLOOKUP(C27,Sheet8!A:D,4,FALSE)&amp;"(recRow.Item("""&amp;A27 &amp;""")" &amp; IF(C27="Number",",6","")&amp;")"</f>
        <v>Me.TowerRedundantHipMatlGrade2 = DBtoStr(recRow.Item("TowerRedundantHipMatlGrade2"))</v>
      </c>
      <c r="L27" s="11" t="str">
        <f t="shared" si="3"/>
        <v>insertString = insertString.AddtoDBString(Me.TowerRedundantHipMatlGrade2.ToString)</v>
      </c>
      <c r="M27" s="11" t="str">
        <f t="shared" si="4"/>
        <v>Equals = If(Me.TowerRedundantHipMatlGrade2.CheckChange(otherToCompare.TowerRedundantHipMatlGrade2, changes, categoryName, "Tower Redundant Hip Matl Grade 2"), Equals, False)</v>
      </c>
      <c r="N27" s="12" t="str">
        <f t="shared" si="5"/>
        <v xml:space="preserve"> 	Case tnxVar.Equals("TowerRedundantHipMatlGrade2")
                            Try
                                Me.geometry.baseStructure(recIndex).TowerRedundantHipMatlGrade2 = tnxValue
                            Catch ex As Exception
                                Debug.Print("Error parsing TNX variable: " &amp; tnxVar)
                            End Try</v>
      </c>
      <c r="O27" s="11" t="str">
        <f t="shared" si="6"/>
        <v>newERIList.Add("TowerRedundantHipMatlGrade2=" &amp;  .TowerRedundantHipMatlGrade2)</v>
      </c>
      <c r="P27" s="11" t="str">
        <f t="shared" si="7"/>
        <v>SQLInsertValues = SQLInsertValues.AddtoDBString(Me.TowerRedundantHipMatlGrade2.NullableToString.FormatDBValue)</v>
      </c>
      <c r="Q27" s="11" t="str">
        <f t="shared" si="8"/>
        <v>SQLInsertFields = SQLInsertFields.AddtoDBString("TowerRedundantHipMatlGrade2")</v>
      </c>
      <c r="R27" s="11" t="str">
        <f t="shared" si="9"/>
        <v>SQLUpdateFieldsandValues = SQLUpdateFieldsandValues.AddtoDBString("TowerRedundantHipMatlGrade2 = " &amp; Me.TowerRedundantHipMatlGrade2.NullableToString.FormatDBValue)</v>
      </c>
      <c r="S27" s="10" t="s">
        <v>286</v>
      </c>
    </row>
    <row r="28" spans="1:19" ht="150" x14ac:dyDescent="0.25">
      <c r="A28" s="11" t="s">
        <v>401</v>
      </c>
      <c r="B28" s="11" t="str" cm="1">
        <f t="array" ref="B28">Addspaces(A28)</f>
        <v>Tower Redundant Hip Grade 3</v>
      </c>
      <c r="C28" s="15" t="s">
        <v>1225</v>
      </c>
      <c r="D28" s="13" t="str">
        <f>VLOOKUP(C28,Sheet8!A:C,2,FALSE)</f>
        <v>decimal(18, 6)</v>
      </c>
      <c r="E28" s="15"/>
      <c r="F28" s="13" t="str">
        <f>VLOOKUP(C28,Sheet8!A:C,3,FALSE)</f>
        <v>Double?</v>
      </c>
      <c r="G28" s="15" t="b">
        <v>1</v>
      </c>
      <c r="H28" s="11" t="str">
        <f t="shared" si="0"/>
        <v>ADD TowerRedundantHipGrade3 decimal(18, 6),</v>
      </c>
      <c r="I28" s="11" t="str">
        <f t="shared" si="1"/>
        <v xml:space="preserve">Private _TowerRedundantHipGrade3 As Double? </v>
      </c>
      <c r="J28" s="12" t="str">
        <f t="shared" si="2"/>
        <v xml:space="preserve">     		&lt;Category("TNX Tower Record"), Description(""), DisplayName("Tower Redundant Hip Grade 3")&gt;
    		&lt;DataMember()&gt; Public Property TowerRedundantHipGrade3() As Double??
        			Get
            				Return Me._TowerRedundantHipGrade3
        			End Get
        			Set
            				Me._TowerRedundantHipGrade3 = Value
        			End Set
    		End Property</v>
      </c>
      <c r="K28" s="11" t="str">
        <f>"Me."&amp;A28&amp; " = " &amp; VLOOKUP(C28,Sheet8!A:D,4,FALSE)&amp;"(recRow.Item("""&amp;A28 &amp;""")" &amp; IF(C28="Number",",6","")&amp;")"</f>
        <v>Me.TowerRedundantHipGrade3 = DBtoNullableDec(recRow.Item("TowerRedundantHipGrade3"),6)</v>
      </c>
      <c r="L28" s="11" t="str">
        <f t="shared" si="3"/>
        <v>insertString = insertString.AddtoDBString(Me.TowerRedundantHipGrade3.ToString)</v>
      </c>
      <c r="M28" s="11" t="str">
        <f t="shared" si="4"/>
        <v>Equals = If(Me.TowerRedundantHipGrade3.CheckChange(otherToCompare.TowerRedundantHipGrade3, changes, categoryName, "Tower Redundant Hip Grade 3"), Equals, False)</v>
      </c>
      <c r="N28" s="12" t="str">
        <f t="shared" si="5"/>
        <v xml:space="preserve"> 	Case tnxVar.Equals("TowerRedundantHipGrade3")
                            Try
                                Me.geometry.baseStructure(recIndex).TowerRedundantHipGrade3 = tnxValue
                            Catch ex As Exception
                                Debug.Print("Error parsing TNX variable: " &amp; tnxVar)
                            End Try</v>
      </c>
      <c r="O28" s="11" t="str">
        <f t="shared" si="6"/>
        <v>newERIList.Add("TowerRedundantHipGrade3=" &amp; Me.settings.USUnits.Properties.convertToERIUnits( .TowerRedundantHipGrade3))</v>
      </c>
      <c r="P28" s="11" t="str">
        <f t="shared" si="7"/>
        <v>SQLInsertValues = SQLInsertValues.AddtoDBString(Me.TowerRedundantHipGrade3.NullableToString.FormatDBValue)</v>
      </c>
      <c r="Q28" s="11" t="str">
        <f t="shared" si="8"/>
        <v>SQLInsertFields = SQLInsertFields.AddtoDBString("TowerRedundantHipGrade3")</v>
      </c>
      <c r="R28" s="11" t="str">
        <f t="shared" si="9"/>
        <v>SQLUpdateFieldsandValues = SQLUpdateFieldsandValues.AddtoDBString("TowerRedundantHipGrade3 = " &amp; Me.TowerRedundantHipGrade3.NullableToString.FormatDBValue)</v>
      </c>
      <c r="S28" s="10" t="s">
        <v>286</v>
      </c>
    </row>
    <row r="29" spans="1:19" ht="150" x14ac:dyDescent="0.25">
      <c r="A29" s="11" t="s">
        <v>403</v>
      </c>
      <c r="B29" s="11" t="str" cm="1">
        <f t="array" ref="B29">Addspaces(A29)</f>
        <v>Tower Redundant Hip Matl Grade 3</v>
      </c>
      <c r="C29" s="15" t="s">
        <v>1224</v>
      </c>
      <c r="D29" s="13" t="str">
        <f>VLOOKUP(C29,Sheet8!A:C,2,FALSE)</f>
        <v>varchar</v>
      </c>
      <c r="E29" s="15">
        <v>100</v>
      </c>
      <c r="F29" s="13" t="str">
        <f>VLOOKUP(C29,Sheet8!A:C,3,FALSE)</f>
        <v>String</v>
      </c>
      <c r="G29" s="15"/>
      <c r="H29" s="11" t="str">
        <f t="shared" si="0"/>
        <v>ADD TowerRedundantHipMatlGrade3 varchar(100),</v>
      </c>
      <c r="I29" s="11" t="str">
        <f t="shared" si="1"/>
        <v xml:space="preserve">Private _TowerRedundantHipMatlGrade3 As String </v>
      </c>
      <c r="J29" s="12" t="str">
        <f t="shared" si="2"/>
        <v xml:space="preserve">     		&lt;Category("TNX Tower Record"), Description(""), DisplayName("Tower Redundant Hip Matl Grade 3")&gt;
    		&lt;DataMember()&gt; Public Property TowerRedundantHipMatlGrade3() As String
        			Get
            				Return Me._TowerRedundantHipMatlGrade3
        			End Get
        			Set
            				Me._TowerRedundantHipMatlGrade3 = Value
        			End Set
    		End Property</v>
      </c>
      <c r="K29" s="11" t="str">
        <f>"Me."&amp;A29&amp; " = " &amp; VLOOKUP(C29,Sheet8!A:D,4,FALSE)&amp;"(recRow.Item("""&amp;A29 &amp;""")" &amp; IF(C29="Number",",6","")&amp;")"</f>
        <v>Me.TowerRedundantHipMatlGrade3 = DBtoStr(recRow.Item("TowerRedundantHipMatlGrade3"))</v>
      </c>
      <c r="L29" s="11" t="str">
        <f t="shared" si="3"/>
        <v>insertString = insertString.AddtoDBString(Me.TowerRedundantHipMatlGrade3.ToString)</v>
      </c>
      <c r="M29" s="11" t="str">
        <f t="shared" si="4"/>
        <v>Equals = If(Me.TowerRedundantHipMatlGrade3.CheckChange(otherToCompare.TowerRedundantHipMatlGrade3, changes, categoryName, "Tower Redundant Hip Matl Grade 3"), Equals, False)</v>
      </c>
      <c r="N29" s="12" t="str">
        <f t="shared" si="5"/>
        <v xml:space="preserve"> 	Case tnxVar.Equals("TowerRedundantHipMatlGrade3")
                            Try
                                Me.geometry.baseStructure(recIndex).TowerRedundantHipMatlGrade3 = tnxValue
                            Catch ex As Exception
                                Debug.Print("Error parsing TNX variable: " &amp; tnxVar)
                            End Try</v>
      </c>
      <c r="O29" s="11" t="str">
        <f t="shared" si="6"/>
        <v>newERIList.Add("TowerRedundantHipMatlGrade3=" &amp;  .TowerRedundantHipMatlGrade3)</v>
      </c>
      <c r="P29" s="11" t="str">
        <f t="shared" si="7"/>
        <v>SQLInsertValues = SQLInsertValues.AddtoDBString(Me.TowerRedundantHipMatlGrade3.NullableToString.FormatDBValue)</v>
      </c>
      <c r="Q29" s="11" t="str">
        <f t="shared" si="8"/>
        <v>SQLInsertFields = SQLInsertFields.AddtoDBString("TowerRedundantHipMatlGrade3")</v>
      </c>
      <c r="R29" s="11" t="str">
        <f t="shared" si="9"/>
        <v>SQLUpdateFieldsandValues = SQLUpdateFieldsandValues.AddtoDBString("TowerRedundantHipMatlGrade3 = " &amp; Me.TowerRedundantHipMatlGrade3.NullableToString.FormatDBValue)</v>
      </c>
      <c r="S29" s="10" t="s">
        <v>286</v>
      </c>
    </row>
    <row r="30" spans="1:19" ht="150" x14ac:dyDescent="0.25">
      <c r="A30" s="11" t="s">
        <v>405</v>
      </c>
      <c r="B30" s="11" t="str" cm="1">
        <f t="array" ref="B30">Addspaces(A30)</f>
        <v>Tower Redundant Hip Grade 4</v>
      </c>
      <c r="C30" s="15" t="s">
        <v>1225</v>
      </c>
      <c r="D30" s="13" t="str">
        <f>VLOOKUP(C30,Sheet8!A:C,2,FALSE)</f>
        <v>decimal(18, 6)</v>
      </c>
      <c r="E30" s="15"/>
      <c r="F30" s="13" t="str">
        <f>VLOOKUP(C30,Sheet8!A:C,3,FALSE)</f>
        <v>Double?</v>
      </c>
      <c r="G30" s="15" t="b">
        <v>1</v>
      </c>
      <c r="H30" s="11" t="str">
        <f t="shared" si="0"/>
        <v>ADD TowerRedundantHipGrade4 decimal(18, 6),</v>
      </c>
      <c r="I30" s="11" t="str">
        <f t="shared" si="1"/>
        <v xml:space="preserve">Private _TowerRedundantHipGrade4 As Double? </v>
      </c>
      <c r="J30" s="12" t="str">
        <f t="shared" si="2"/>
        <v xml:space="preserve">     		&lt;Category("TNX Tower Record"), Description(""), DisplayName("Tower Redundant Hip Grade 4")&gt;
    		&lt;DataMember()&gt; Public Property TowerRedundantHipGrade4() As Double??
        			Get
            				Return Me._TowerRedundantHipGrade4
        			End Get
        			Set
            				Me._TowerRedundantHipGrade4 = Value
        			End Set
    		End Property</v>
      </c>
      <c r="K30" s="11" t="str">
        <f>"Me."&amp;A30&amp; " = " &amp; VLOOKUP(C30,Sheet8!A:D,4,FALSE)&amp;"(recRow.Item("""&amp;A30 &amp;""")" &amp; IF(C30="Number",",6","")&amp;")"</f>
        <v>Me.TowerRedundantHipGrade4 = DBtoNullableDec(recRow.Item("TowerRedundantHipGrade4"),6)</v>
      </c>
      <c r="L30" s="11" t="str">
        <f t="shared" si="3"/>
        <v>insertString = insertString.AddtoDBString(Me.TowerRedundantHipGrade4.ToString)</v>
      </c>
      <c r="M30" s="11" t="str">
        <f t="shared" si="4"/>
        <v>Equals = If(Me.TowerRedundantHipGrade4.CheckChange(otherToCompare.TowerRedundantHipGrade4, changes, categoryName, "Tower Redundant Hip Grade 4"), Equals, False)</v>
      </c>
      <c r="N30" s="12" t="str">
        <f t="shared" si="5"/>
        <v xml:space="preserve"> 	Case tnxVar.Equals("TowerRedundantHipGrade4")
                            Try
                                Me.geometry.baseStructure(recIndex).TowerRedundantHipGrade4 = tnxValue
                            Catch ex As Exception
                                Debug.Print("Error parsing TNX variable: " &amp; tnxVar)
                            End Try</v>
      </c>
      <c r="O30" s="11" t="str">
        <f t="shared" si="6"/>
        <v>newERIList.Add("TowerRedundantHipGrade4=" &amp; Me.settings.USUnits.Properties.convertToERIUnits( .TowerRedundantHipGrade4))</v>
      </c>
      <c r="P30" s="11" t="str">
        <f t="shared" si="7"/>
        <v>SQLInsertValues = SQLInsertValues.AddtoDBString(Me.TowerRedundantHipGrade4.NullableToString.FormatDBValue)</v>
      </c>
      <c r="Q30" s="11" t="str">
        <f t="shared" si="8"/>
        <v>SQLInsertFields = SQLInsertFields.AddtoDBString("TowerRedundantHipGrade4")</v>
      </c>
      <c r="R30" s="11" t="str">
        <f t="shared" si="9"/>
        <v>SQLUpdateFieldsandValues = SQLUpdateFieldsandValues.AddtoDBString("TowerRedundantHipGrade4 = " &amp; Me.TowerRedundantHipGrade4.NullableToString.FormatDBValue)</v>
      </c>
      <c r="S30" s="10" t="s">
        <v>286</v>
      </c>
    </row>
    <row r="31" spans="1:19" ht="150" x14ac:dyDescent="0.25">
      <c r="A31" s="11" t="s">
        <v>407</v>
      </c>
      <c r="B31" s="11" t="str" cm="1">
        <f t="array" ref="B31">Addspaces(A31)</f>
        <v>Tower Redundant Hip Matl Grade 4</v>
      </c>
      <c r="C31" s="15" t="s">
        <v>1224</v>
      </c>
      <c r="D31" s="13" t="str">
        <f>VLOOKUP(C31,Sheet8!A:C,2,FALSE)</f>
        <v>varchar</v>
      </c>
      <c r="E31" s="15">
        <v>100</v>
      </c>
      <c r="F31" s="13" t="str">
        <f>VLOOKUP(C31,Sheet8!A:C,3,FALSE)</f>
        <v>String</v>
      </c>
      <c r="G31" s="15"/>
      <c r="H31" s="11" t="str">
        <f t="shared" si="0"/>
        <v>ADD TowerRedundantHipMatlGrade4 varchar(100),</v>
      </c>
      <c r="I31" s="11" t="str">
        <f t="shared" si="1"/>
        <v xml:space="preserve">Private _TowerRedundantHipMatlGrade4 As String </v>
      </c>
      <c r="J31" s="12" t="str">
        <f t="shared" si="2"/>
        <v xml:space="preserve">     		&lt;Category("TNX Tower Record"), Description(""), DisplayName("Tower Redundant Hip Matl Grade 4")&gt;
    		&lt;DataMember()&gt; Public Property TowerRedundantHipMatlGrade4() As String
        			Get
            				Return Me._TowerRedundantHipMatlGrade4
        			End Get
        			Set
            				Me._TowerRedundantHipMatlGrade4 = Value
        			End Set
    		End Property</v>
      </c>
      <c r="K31" s="11" t="str">
        <f>"Me."&amp;A31&amp; " = " &amp; VLOOKUP(C31,Sheet8!A:D,4,FALSE)&amp;"(recRow.Item("""&amp;A31 &amp;""")" &amp; IF(C31="Number",",6","")&amp;")"</f>
        <v>Me.TowerRedundantHipMatlGrade4 = DBtoStr(recRow.Item("TowerRedundantHipMatlGrade4"))</v>
      </c>
      <c r="L31" s="11" t="str">
        <f t="shared" si="3"/>
        <v>insertString = insertString.AddtoDBString(Me.TowerRedundantHipMatlGrade4.ToString)</v>
      </c>
      <c r="M31" s="11" t="str">
        <f t="shared" si="4"/>
        <v>Equals = If(Me.TowerRedundantHipMatlGrade4.CheckChange(otherToCompare.TowerRedundantHipMatlGrade4, changes, categoryName, "Tower Redundant Hip Matl Grade 4"), Equals, False)</v>
      </c>
      <c r="N31" s="12" t="str">
        <f t="shared" si="5"/>
        <v xml:space="preserve"> 	Case tnxVar.Equals("TowerRedundantHipMatlGrade4")
                            Try
                                Me.geometry.baseStructure(recIndex).TowerRedundantHipMatlGrade4 = tnxValue
                            Catch ex As Exception
                                Debug.Print("Error parsing TNX variable: " &amp; tnxVar)
                            End Try</v>
      </c>
      <c r="O31" s="11" t="str">
        <f t="shared" si="6"/>
        <v>newERIList.Add("TowerRedundantHipMatlGrade4=" &amp;  .TowerRedundantHipMatlGrade4)</v>
      </c>
      <c r="P31" s="11" t="str">
        <f t="shared" si="7"/>
        <v>SQLInsertValues = SQLInsertValues.AddtoDBString(Me.TowerRedundantHipMatlGrade4.NullableToString.FormatDBValue)</v>
      </c>
      <c r="Q31" s="11" t="str">
        <f t="shared" si="8"/>
        <v>SQLInsertFields = SQLInsertFields.AddtoDBString("TowerRedundantHipMatlGrade4")</v>
      </c>
      <c r="R31" s="11" t="str">
        <f t="shared" si="9"/>
        <v>SQLUpdateFieldsandValues = SQLUpdateFieldsandValues.AddtoDBString("TowerRedundantHipMatlGrade4 = " &amp; Me.TowerRedundantHipMatlGrade4.NullableToString.FormatDBValue)</v>
      </c>
      <c r="S31" s="10" t="s">
        <v>286</v>
      </c>
    </row>
    <row r="32" spans="1:19" ht="150" x14ac:dyDescent="0.25">
      <c r="A32" s="11" t="s">
        <v>409</v>
      </c>
      <c r="B32" s="11" t="str" cm="1">
        <f t="array" ref="B32">Addspaces(A32)</f>
        <v>Tower Redundant Hip Diagonal Grade</v>
      </c>
      <c r="C32" s="15" t="s">
        <v>1225</v>
      </c>
      <c r="D32" s="13" t="str">
        <f>VLOOKUP(C32,Sheet8!A:C,2,FALSE)</f>
        <v>decimal(18, 6)</v>
      </c>
      <c r="E32" s="15"/>
      <c r="F32" s="13" t="str">
        <f>VLOOKUP(C32,Sheet8!A:C,3,FALSE)</f>
        <v>Double?</v>
      </c>
      <c r="G32" s="15" t="b">
        <v>1</v>
      </c>
      <c r="H32" s="11" t="str">
        <f t="shared" si="0"/>
        <v>ADD TowerRedundantHipDiagonalGrade decimal(18, 6),</v>
      </c>
      <c r="I32" s="11" t="str">
        <f t="shared" si="1"/>
        <v xml:space="preserve">Private _TowerRedundantHipDiagonalGrade As Double? </v>
      </c>
      <c r="J32" s="12" t="str">
        <f t="shared" si="2"/>
        <v xml:space="preserve">     		&lt;Category("TNX Tower Record"), Description(""), DisplayName("Tower Redundant Hip Diagonal Grade")&gt;
    		&lt;DataMember()&gt; Public Property TowerRedundantHipDiagonalGrade() As Double??
        			Get
            				Return Me._TowerRedundantHipDiagonalGrade
        			End Get
        			Set
            				Me._TowerRedundantHipDiagonalGrade = Value
        			End Set
    		End Property</v>
      </c>
      <c r="K32" s="11" t="str">
        <f>"Me."&amp;A32&amp; " = " &amp; VLOOKUP(C32,Sheet8!A:D,4,FALSE)&amp;"(recRow.Item("""&amp;A32 &amp;""")" &amp; IF(C32="Number",",6","")&amp;")"</f>
        <v>Me.TowerRedundantHipDiagonalGrade = DBtoNullableDec(recRow.Item("TowerRedundantHipDiagonalGrade"),6)</v>
      </c>
      <c r="L32" s="11" t="str">
        <f t="shared" si="3"/>
        <v>insertString = insertString.AddtoDBString(Me.TowerRedundantHipDiagonalGrade.ToString)</v>
      </c>
      <c r="M32" s="11" t="str">
        <f t="shared" si="4"/>
        <v>Equals = If(Me.TowerRedundantHipDiagonalGrade.CheckChange(otherToCompare.TowerRedundantHipDiagonalGrade, changes, categoryName, "Tower Redundant Hip Diagonal Grade"), Equals, False)</v>
      </c>
      <c r="N32" s="12" t="str">
        <f t="shared" si="5"/>
        <v xml:space="preserve"> 	Case tnxVar.Equals("TowerRedundantHipDiagonalGrade")
                            Try
                                Me.geometry.baseStructure(recIndex).TowerRedundantHipDiagonalGrade = tnxValue
                            Catch ex As Exception
                                Debug.Print("Error parsing TNX variable: " &amp; tnxVar)
                            End Try</v>
      </c>
      <c r="O32" s="11" t="str">
        <f t="shared" si="6"/>
        <v>newERIList.Add("TowerRedundantHipDiagonalGrade=" &amp; Me.settings.USUnits.Properties.convertToERIUnits( .TowerRedundantHipDiagonalGrade))</v>
      </c>
      <c r="P32" s="11" t="str">
        <f t="shared" si="7"/>
        <v>SQLInsertValues = SQLInsertValues.AddtoDBString(Me.TowerRedundantHipDiagonalGrade.NullableToString.FormatDBValue)</v>
      </c>
      <c r="Q32" s="11" t="str">
        <f t="shared" si="8"/>
        <v>SQLInsertFields = SQLInsertFields.AddtoDBString("TowerRedundantHipDiagonalGrade")</v>
      </c>
      <c r="R32" s="11" t="str">
        <f t="shared" si="9"/>
        <v>SQLUpdateFieldsandValues = SQLUpdateFieldsandValues.AddtoDBString("TowerRedundantHipDiagonalGrade = " &amp; Me.TowerRedundantHipDiagonalGrade.NullableToString.FormatDBValue)</v>
      </c>
      <c r="S32" s="10" t="s">
        <v>286</v>
      </c>
    </row>
    <row r="33" spans="1:19" ht="150" x14ac:dyDescent="0.25">
      <c r="A33" s="11" t="s">
        <v>411</v>
      </c>
      <c r="B33" s="11" t="str" cm="1">
        <f t="array" ref="B33">Addspaces(A33)</f>
        <v>Tower Redundant Hip Diagonal Matl Grade</v>
      </c>
      <c r="C33" s="15" t="s">
        <v>1224</v>
      </c>
      <c r="D33" s="13" t="str">
        <f>VLOOKUP(C33,Sheet8!A:C,2,FALSE)</f>
        <v>varchar</v>
      </c>
      <c r="E33" s="15">
        <v>100</v>
      </c>
      <c r="F33" s="13" t="str">
        <f>VLOOKUP(C33,Sheet8!A:C,3,FALSE)</f>
        <v>String</v>
      </c>
      <c r="G33" s="15"/>
      <c r="H33" s="11" t="str">
        <f t="shared" si="0"/>
        <v>ADD TowerRedundantHipDiagonalMatlGrade varchar(100),</v>
      </c>
      <c r="I33" s="11" t="str">
        <f t="shared" si="1"/>
        <v xml:space="preserve">Private _TowerRedundantHipDiagonalMatlGrade As String </v>
      </c>
      <c r="J33" s="12" t="str">
        <f t="shared" si="2"/>
        <v xml:space="preserve">     		&lt;Category("TNX Tower Record"), Description(""), DisplayName("Tower Redundant Hip Diagonal Matl Grade")&gt;
    		&lt;DataMember()&gt; Public Property TowerRedundantHipDiagonalMatlGrade() As String
        			Get
            				Return Me._TowerRedundantHipDiagonalMatlGrade
        			End Get
        			Set
            				Me._TowerRedundantHipDiagonalMatlGrade = Value
        			End Set
    		End Property</v>
      </c>
      <c r="K33" s="11" t="str">
        <f>"Me."&amp;A33&amp; " = " &amp; VLOOKUP(C33,Sheet8!A:D,4,FALSE)&amp;"(recRow.Item("""&amp;A33 &amp;""")" &amp; IF(C33="Number",",6","")&amp;")"</f>
        <v>Me.TowerRedundantHipDiagonalMatlGrade = DBtoStr(recRow.Item("TowerRedundantHipDiagonalMatlGrade"))</v>
      </c>
      <c r="L33" s="11" t="str">
        <f t="shared" si="3"/>
        <v>insertString = insertString.AddtoDBString(Me.TowerRedundantHipDiagonalMatlGrade.ToString)</v>
      </c>
      <c r="M33" s="11" t="str">
        <f t="shared" si="4"/>
        <v>Equals = If(Me.TowerRedundantHipDiagonalMatlGrade.CheckChange(otherToCompare.TowerRedundantHipDiagonalMatlGrade, changes, categoryName, "Tower Redundant Hip Diagonal Matl Grade"), Equals, False)</v>
      </c>
      <c r="N33" s="12" t="str">
        <f t="shared" si="5"/>
        <v xml:space="preserve"> 	Case tnxVar.Equals("TowerRedundantHipDiagonalMatlGrade")
                            Try
                                Me.geometry.baseStructure(recIndex).TowerRedundantHipDiagonalMatlGrade = tnxValue
                            Catch ex As Exception
                                Debug.Print("Error parsing TNX variable: " &amp; tnxVar)
                            End Try</v>
      </c>
      <c r="O33" s="11" t="str">
        <f t="shared" si="6"/>
        <v>newERIList.Add("TowerRedundantHipDiagonalMatlGrade=" &amp;  .TowerRedundantHipDiagonalMatlGrade)</v>
      </c>
      <c r="P33" s="11" t="str">
        <f t="shared" si="7"/>
        <v>SQLInsertValues = SQLInsertValues.AddtoDBString(Me.TowerRedundantHipDiagonalMatlGrade.NullableToString.FormatDBValue)</v>
      </c>
      <c r="Q33" s="11" t="str">
        <f t="shared" si="8"/>
        <v>SQLInsertFields = SQLInsertFields.AddtoDBString("TowerRedundantHipDiagonalMatlGrade")</v>
      </c>
      <c r="R33" s="11" t="str">
        <f t="shared" si="9"/>
        <v>SQLUpdateFieldsandValues = SQLUpdateFieldsandValues.AddtoDBString("TowerRedundantHipDiagonalMatlGrade = " &amp; Me.TowerRedundantHipDiagonalMatlGrade.NullableToString.FormatDBValue)</v>
      </c>
      <c r="S33" s="10" t="s">
        <v>286</v>
      </c>
    </row>
    <row r="34" spans="1:19" ht="150" x14ac:dyDescent="0.25">
      <c r="A34" s="11" t="s">
        <v>413</v>
      </c>
      <c r="B34" s="11" t="str" cm="1">
        <f t="array" ref="B34">Addspaces(A34)</f>
        <v>Tower Redundant Hip Diagonal Grade 2</v>
      </c>
      <c r="C34" s="15" t="s">
        <v>1225</v>
      </c>
      <c r="D34" s="13" t="str">
        <f>VLOOKUP(C34,Sheet8!A:C,2,FALSE)</f>
        <v>decimal(18, 6)</v>
      </c>
      <c r="E34" s="15"/>
      <c r="F34" s="13" t="str">
        <f>VLOOKUP(C34,Sheet8!A:C,3,FALSE)</f>
        <v>Double?</v>
      </c>
      <c r="G34" s="15" t="b">
        <v>1</v>
      </c>
      <c r="H34" s="11" t="str">
        <f t="shared" si="0"/>
        <v>ADD TowerRedundantHipDiagonalGrade2 decimal(18, 6),</v>
      </c>
      <c r="I34" s="11" t="str">
        <f t="shared" si="1"/>
        <v xml:space="preserve">Private _TowerRedundantHipDiagonalGrade2 As Double? </v>
      </c>
      <c r="J34" s="12" t="str">
        <f t="shared" si="2"/>
        <v xml:space="preserve">     		&lt;Category("TNX Tower Record"), Description(""), DisplayName("Tower Redundant Hip Diagonal Grade 2")&gt;
    		&lt;DataMember()&gt; Public Property TowerRedundantHipDiagonalGrade2() As Double??
        			Get
            				Return Me._TowerRedundantHipDiagonalGrade2
        			End Get
        			Set
            				Me._TowerRedundantHipDiagonalGrade2 = Value
        			End Set
    		End Property</v>
      </c>
      <c r="K34" s="11" t="str">
        <f>"Me."&amp;A34&amp; " = " &amp; VLOOKUP(C34,Sheet8!A:D,4,FALSE)&amp;"(recRow.Item("""&amp;A34 &amp;""")" &amp; IF(C34="Number",",6","")&amp;")"</f>
        <v>Me.TowerRedundantHipDiagonalGrade2 = DBtoNullableDec(recRow.Item("TowerRedundantHipDiagonalGrade2"),6)</v>
      </c>
      <c r="L34" s="11" t="str">
        <f t="shared" si="3"/>
        <v>insertString = insertString.AddtoDBString(Me.TowerRedundantHipDiagonalGrade2.ToString)</v>
      </c>
      <c r="M34" s="11" t="str">
        <f t="shared" si="4"/>
        <v>Equals = If(Me.TowerRedundantHipDiagonalGrade2.CheckChange(otherToCompare.TowerRedundantHipDiagonalGrade2, changes, categoryName, "Tower Redundant Hip Diagonal Grade 2"), Equals, False)</v>
      </c>
      <c r="N34" s="12" t="str">
        <f t="shared" si="5"/>
        <v xml:space="preserve"> 	Case tnxVar.Equals("TowerRedundantHipDiagonalGrade2")
                            Try
                                Me.geometry.baseStructure(recIndex).TowerRedundantHipDiagonalGrade2 = tnxValue
                            Catch ex As Exception
                                Debug.Print("Error parsing TNX variable: " &amp; tnxVar)
                            End Try</v>
      </c>
      <c r="O34" s="11" t="str">
        <f t="shared" si="6"/>
        <v>newERIList.Add("TowerRedundantHipDiagonalGrade2=" &amp; Me.settings.USUnits.Properties.convertToERIUnits( .TowerRedundantHipDiagonalGrade2))</v>
      </c>
      <c r="P34" s="11" t="str">
        <f t="shared" si="7"/>
        <v>SQLInsertValues = SQLInsertValues.AddtoDBString(Me.TowerRedundantHipDiagonalGrade2.NullableToString.FormatDBValue)</v>
      </c>
      <c r="Q34" s="11" t="str">
        <f t="shared" si="8"/>
        <v>SQLInsertFields = SQLInsertFields.AddtoDBString("TowerRedundantHipDiagonalGrade2")</v>
      </c>
      <c r="R34" s="11" t="str">
        <f t="shared" si="9"/>
        <v>SQLUpdateFieldsandValues = SQLUpdateFieldsandValues.AddtoDBString("TowerRedundantHipDiagonalGrade2 = " &amp; Me.TowerRedundantHipDiagonalGrade2.NullableToString.FormatDBValue)</v>
      </c>
      <c r="S34" s="10" t="s">
        <v>286</v>
      </c>
    </row>
    <row r="35" spans="1:19" ht="150" x14ac:dyDescent="0.25">
      <c r="A35" s="11" t="s">
        <v>415</v>
      </c>
      <c r="B35" s="11" t="str" cm="1">
        <f t="array" ref="B35">Addspaces(A35)</f>
        <v>Tower Redundant Hip Diagonal Matl Grade 2</v>
      </c>
      <c r="C35" s="15" t="s">
        <v>1224</v>
      </c>
      <c r="D35" s="13" t="str">
        <f>VLOOKUP(C35,Sheet8!A:C,2,FALSE)</f>
        <v>varchar</v>
      </c>
      <c r="E35" s="15">
        <v>100</v>
      </c>
      <c r="F35" s="13" t="str">
        <f>VLOOKUP(C35,Sheet8!A:C,3,FALSE)</f>
        <v>String</v>
      </c>
      <c r="G35" s="15"/>
      <c r="H35" s="11" t="str">
        <f t="shared" si="0"/>
        <v>ADD TowerRedundantHipDiagonalMatlGrade2 varchar(100),</v>
      </c>
      <c r="I35" s="11" t="str">
        <f t="shared" si="1"/>
        <v xml:space="preserve">Private _TowerRedundantHipDiagonalMatlGrade2 As String </v>
      </c>
      <c r="J35" s="12" t="str">
        <f t="shared" si="2"/>
        <v xml:space="preserve">     		&lt;Category("TNX Tower Record"), Description(""), DisplayName("Tower Redundant Hip Diagonal Matl Grade 2")&gt;
    		&lt;DataMember()&gt; Public Property TowerRedundantHipDiagonalMatlGrade2() As String
        			Get
            				Return Me._TowerRedundantHipDiagonalMatlGrade2
        			End Get
        			Set
            				Me._TowerRedundantHipDiagonalMatlGrade2 = Value
        			End Set
    		End Property</v>
      </c>
      <c r="K35" s="11" t="str">
        <f>"Me."&amp;A35&amp; " = " &amp; VLOOKUP(C35,Sheet8!A:D,4,FALSE)&amp;"(recRow.Item("""&amp;A35 &amp;""")" &amp; IF(C35="Number",",6","")&amp;")"</f>
        <v>Me.TowerRedundantHipDiagonalMatlGrade2 = DBtoStr(recRow.Item("TowerRedundantHipDiagonalMatlGrade2"))</v>
      </c>
      <c r="L35" s="11" t="str">
        <f t="shared" si="3"/>
        <v>insertString = insertString.AddtoDBString(Me.TowerRedundantHipDiagonalMatlGrade2.ToString)</v>
      </c>
      <c r="M35" s="11" t="str">
        <f t="shared" si="4"/>
        <v>Equals = If(Me.TowerRedundantHipDiagonalMatlGrade2.CheckChange(otherToCompare.TowerRedundantHipDiagonalMatlGrade2, changes, categoryName, "Tower Redundant Hip Diagonal Matl Grade 2"), Equals, False)</v>
      </c>
      <c r="N35" s="12" t="str">
        <f t="shared" si="5"/>
        <v xml:space="preserve"> 	Case tnxVar.Equals("TowerRedundantHipDiagonalMatlGrade2")
                            Try
                                Me.geometry.baseStructure(recIndex).TowerRedundantHipDiagonalMatlGrade2 = tnxValue
                            Catch ex As Exception
                                Debug.Print("Error parsing TNX variable: " &amp; tnxVar)
                            End Try</v>
      </c>
      <c r="O35" s="11" t="str">
        <f t="shared" si="6"/>
        <v>newERIList.Add("TowerRedundantHipDiagonalMatlGrade2=" &amp;  .TowerRedundantHipDiagonalMatlGrade2)</v>
      </c>
      <c r="P35" s="11" t="str">
        <f t="shared" si="7"/>
        <v>SQLInsertValues = SQLInsertValues.AddtoDBString(Me.TowerRedundantHipDiagonalMatlGrade2.NullableToString.FormatDBValue)</v>
      </c>
      <c r="Q35" s="11" t="str">
        <f t="shared" si="8"/>
        <v>SQLInsertFields = SQLInsertFields.AddtoDBString("TowerRedundantHipDiagonalMatlGrade2")</v>
      </c>
      <c r="R35" s="11" t="str">
        <f t="shared" si="9"/>
        <v>SQLUpdateFieldsandValues = SQLUpdateFieldsandValues.AddtoDBString("TowerRedundantHipDiagonalMatlGrade2 = " &amp; Me.TowerRedundantHipDiagonalMatlGrade2.NullableToString.FormatDBValue)</v>
      </c>
      <c r="S35" s="10" t="s">
        <v>286</v>
      </c>
    </row>
    <row r="36" spans="1:19" ht="150" x14ac:dyDescent="0.25">
      <c r="A36" s="11" t="s">
        <v>417</v>
      </c>
      <c r="B36" s="11" t="str" cm="1">
        <f t="array" ref="B36">Addspaces(A36)</f>
        <v>Tower Redundant Hip Diagonal Grade 3</v>
      </c>
      <c r="C36" s="15" t="s">
        <v>1225</v>
      </c>
      <c r="D36" s="13" t="str">
        <f>VLOOKUP(C36,Sheet8!A:C,2,FALSE)</f>
        <v>decimal(18, 6)</v>
      </c>
      <c r="E36" s="15"/>
      <c r="F36" s="13" t="str">
        <f>VLOOKUP(C36,Sheet8!A:C,3,FALSE)</f>
        <v>Double?</v>
      </c>
      <c r="G36" s="15" t="b">
        <v>1</v>
      </c>
      <c r="H36" s="11" t="str">
        <f t="shared" si="0"/>
        <v>ADD TowerRedundantHipDiagonalGrade3 decimal(18, 6),</v>
      </c>
      <c r="I36" s="11" t="str">
        <f t="shared" si="1"/>
        <v xml:space="preserve">Private _TowerRedundantHipDiagonalGrade3 As Double? </v>
      </c>
      <c r="J36" s="12" t="str">
        <f t="shared" si="2"/>
        <v xml:space="preserve">     		&lt;Category("TNX Tower Record"), Description(""), DisplayName("Tower Redundant Hip Diagonal Grade 3")&gt;
    		&lt;DataMember()&gt; Public Property TowerRedundantHipDiagonalGrade3() As Double??
        			Get
            				Return Me._TowerRedundantHipDiagonalGrade3
        			End Get
        			Set
            				Me._TowerRedundantHipDiagonalGrade3 = Value
        			End Set
    		End Property</v>
      </c>
      <c r="K36" s="11" t="str">
        <f>"Me."&amp;A36&amp; " = " &amp; VLOOKUP(C36,Sheet8!A:D,4,FALSE)&amp;"(recRow.Item("""&amp;A36 &amp;""")" &amp; IF(C36="Number",",6","")&amp;")"</f>
        <v>Me.TowerRedundantHipDiagonalGrade3 = DBtoNullableDec(recRow.Item("TowerRedundantHipDiagonalGrade3"),6)</v>
      </c>
      <c r="L36" s="11" t="str">
        <f t="shared" si="3"/>
        <v>insertString = insertString.AddtoDBString(Me.TowerRedundantHipDiagonalGrade3.ToString)</v>
      </c>
      <c r="M36" s="11" t="str">
        <f t="shared" si="4"/>
        <v>Equals = If(Me.TowerRedundantHipDiagonalGrade3.CheckChange(otherToCompare.TowerRedundantHipDiagonalGrade3, changes, categoryName, "Tower Redundant Hip Diagonal Grade 3"), Equals, False)</v>
      </c>
      <c r="N36" s="12" t="str">
        <f t="shared" si="5"/>
        <v xml:space="preserve"> 	Case tnxVar.Equals("TowerRedundantHipDiagonalGrade3")
                            Try
                                Me.geometry.baseStructure(recIndex).TowerRedundantHipDiagonalGrade3 = tnxValue
                            Catch ex As Exception
                                Debug.Print("Error parsing TNX variable: " &amp; tnxVar)
                            End Try</v>
      </c>
      <c r="O36" s="11" t="str">
        <f t="shared" si="6"/>
        <v>newERIList.Add("TowerRedundantHipDiagonalGrade3=" &amp; Me.settings.USUnits.Properties.convertToERIUnits( .TowerRedundantHipDiagonalGrade3))</v>
      </c>
      <c r="P36" s="11" t="str">
        <f t="shared" si="7"/>
        <v>SQLInsertValues = SQLInsertValues.AddtoDBString(Me.TowerRedundantHipDiagonalGrade3.NullableToString.FormatDBValue)</v>
      </c>
      <c r="Q36" s="11" t="str">
        <f t="shared" si="8"/>
        <v>SQLInsertFields = SQLInsertFields.AddtoDBString("TowerRedundantHipDiagonalGrade3")</v>
      </c>
      <c r="R36" s="11" t="str">
        <f t="shared" si="9"/>
        <v>SQLUpdateFieldsandValues = SQLUpdateFieldsandValues.AddtoDBString("TowerRedundantHipDiagonalGrade3 = " &amp; Me.TowerRedundantHipDiagonalGrade3.NullableToString.FormatDBValue)</v>
      </c>
      <c r="S36" s="10" t="s">
        <v>286</v>
      </c>
    </row>
    <row r="37" spans="1:19" ht="150" x14ac:dyDescent="0.25">
      <c r="A37" s="11" t="s">
        <v>419</v>
      </c>
      <c r="B37" s="11" t="str" cm="1">
        <f t="array" ref="B37">Addspaces(A37)</f>
        <v>Tower Redundant Hip Diagonal Matl Grade 3</v>
      </c>
      <c r="C37" s="15" t="s">
        <v>1224</v>
      </c>
      <c r="D37" s="13" t="str">
        <f>VLOOKUP(C37,Sheet8!A:C,2,FALSE)</f>
        <v>varchar</v>
      </c>
      <c r="E37" s="15">
        <v>100</v>
      </c>
      <c r="F37" s="13" t="str">
        <f>VLOOKUP(C37,Sheet8!A:C,3,FALSE)</f>
        <v>String</v>
      </c>
      <c r="G37" s="15"/>
      <c r="H37" s="11" t="str">
        <f t="shared" si="0"/>
        <v>ADD TowerRedundantHipDiagonalMatlGrade3 varchar(100),</v>
      </c>
      <c r="I37" s="11" t="str">
        <f t="shared" si="1"/>
        <v xml:space="preserve">Private _TowerRedundantHipDiagonalMatlGrade3 As String </v>
      </c>
      <c r="J37" s="12" t="str">
        <f t="shared" si="2"/>
        <v xml:space="preserve">     		&lt;Category("TNX Tower Record"), Description(""), DisplayName("Tower Redundant Hip Diagonal Matl Grade 3")&gt;
    		&lt;DataMember()&gt; Public Property TowerRedundantHipDiagonalMatlGrade3() As String
        			Get
            				Return Me._TowerRedundantHipDiagonalMatlGrade3
        			End Get
        			Set
            				Me._TowerRedundantHipDiagonalMatlGrade3 = Value
        			End Set
    		End Property</v>
      </c>
      <c r="K37" s="11" t="str">
        <f>"Me."&amp;A37&amp; " = " &amp; VLOOKUP(C37,Sheet8!A:D,4,FALSE)&amp;"(recRow.Item("""&amp;A37 &amp;""")" &amp; IF(C37="Number",",6","")&amp;")"</f>
        <v>Me.TowerRedundantHipDiagonalMatlGrade3 = DBtoStr(recRow.Item("TowerRedundantHipDiagonalMatlGrade3"))</v>
      </c>
      <c r="L37" s="11" t="str">
        <f t="shared" si="3"/>
        <v>insertString = insertString.AddtoDBString(Me.TowerRedundantHipDiagonalMatlGrade3.ToString)</v>
      </c>
      <c r="M37" s="11" t="str">
        <f t="shared" si="4"/>
        <v>Equals = If(Me.TowerRedundantHipDiagonalMatlGrade3.CheckChange(otherToCompare.TowerRedundantHipDiagonalMatlGrade3, changes, categoryName, "Tower Redundant Hip Diagonal Matl Grade 3"), Equals, False)</v>
      </c>
      <c r="N37" s="12" t="str">
        <f t="shared" si="5"/>
        <v xml:space="preserve"> 	Case tnxVar.Equals("TowerRedundantHipDiagonalMatlGrade3")
                            Try
                                Me.geometry.baseStructure(recIndex).TowerRedundantHipDiagonalMatlGrade3 = tnxValue
                            Catch ex As Exception
                                Debug.Print("Error parsing TNX variable: " &amp; tnxVar)
                            End Try</v>
      </c>
      <c r="O37" s="11" t="str">
        <f t="shared" si="6"/>
        <v>newERIList.Add("TowerRedundantHipDiagonalMatlGrade3=" &amp;  .TowerRedundantHipDiagonalMatlGrade3)</v>
      </c>
      <c r="P37" s="11" t="str">
        <f t="shared" si="7"/>
        <v>SQLInsertValues = SQLInsertValues.AddtoDBString(Me.TowerRedundantHipDiagonalMatlGrade3.NullableToString.FormatDBValue)</v>
      </c>
      <c r="Q37" s="11" t="str">
        <f t="shared" si="8"/>
        <v>SQLInsertFields = SQLInsertFields.AddtoDBString("TowerRedundantHipDiagonalMatlGrade3")</v>
      </c>
      <c r="R37" s="11" t="str">
        <f t="shared" si="9"/>
        <v>SQLUpdateFieldsandValues = SQLUpdateFieldsandValues.AddtoDBString("TowerRedundantHipDiagonalMatlGrade3 = " &amp; Me.TowerRedundantHipDiagonalMatlGrade3.NullableToString.FormatDBValue)</v>
      </c>
      <c r="S37" s="10" t="s">
        <v>286</v>
      </c>
    </row>
    <row r="38" spans="1:19" ht="150" x14ac:dyDescent="0.25">
      <c r="A38" s="11" t="s">
        <v>421</v>
      </c>
      <c r="B38" s="11" t="str" cm="1">
        <f t="array" ref="B38">Addspaces(A38)</f>
        <v>Tower Redundant Hip Diagonal Grade 4</v>
      </c>
      <c r="C38" s="15" t="s">
        <v>1225</v>
      </c>
      <c r="D38" s="13" t="str">
        <f>VLOOKUP(C38,Sheet8!A:C,2,FALSE)</f>
        <v>decimal(18, 6)</v>
      </c>
      <c r="E38" s="15"/>
      <c r="F38" s="13" t="str">
        <f>VLOOKUP(C38,Sheet8!A:C,3,FALSE)</f>
        <v>Double?</v>
      </c>
      <c r="G38" s="15" t="b">
        <v>1</v>
      </c>
      <c r="H38" s="11" t="str">
        <f t="shared" si="0"/>
        <v>ADD TowerRedundantHipDiagonalGrade4 decimal(18, 6),</v>
      </c>
      <c r="I38" s="11" t="str">
        <f t="shared" si="1"/>
        <v xml:space="preserve">Private _TowerRedundantHipDiagonalGrade4 As Double? </v>
      </c>
      <c r="J38" s="12" t="str">
        <f t="shared" si="2"/>
        <v xml:space="preserve">     		&lt;Category("TNX Tower Record"), Description(""), DisplayName("Tower Redundant Hip Diagonal Grade 4")&gt;
    		&lt;DataMember()&gt; Public Property TowerRedundantHipDiagonalGrade4() As Double??
        			Get
            				Return Me._TowerRedundantHipDiagonalGrade4
        			End Get
        			Set
            				Me._TowerRedundantHipDiagonalGrade4 = Value
        			End Set
    		End Property</v>
      </c>
      <c r="K38" s="11" t="str">
        <f>"Me."&amp;A38&amp; " = " &amp; VLOOKUP(C38,Sheet8!A:D,4,FALSE)&amp;"(recRow.Item("""&amp;A38 &amp;""")" &amp; IF(C38="Number",",6","")&amp;")"</f>
        <v>Me.TowerRedundantHipDiagonalGrade4 = DBtoNullableDec(recRow.Item("TowerRedundantHipDiagonalGrade4"),6)</v>
      </c>
      <c r="L38" s="11" t="str">
        <f t="shared" si="3"/>
        <v>insertString = insertString.AddtoDBString(Me.TowerRedundantHipDiagonalGrade4.ToString)</v>
      </c>
      <c r="M38" s="11" t="str">
        <f t="shared" si="4"/>
        <v>Equals = If(Me.TowerRedundantHipDiagonalGrade4.CheckChange(otherToCompare.TowerRedundantHipDiagonalGrade4, changes, categoryName, "Tower Redundant Hip Diagonal Grade 4"), Equals, False)</v>
      </c>
      <c r="N38" s="12" t="str">
        <f t="shared" si="5"/>
        <v xml:space="preserve"> 	Case tnxVar.Equals("TowerRedundantHipDiagonalGrade4")
                            Try
                                Me.geometry.baseStructure(recIndex).TowerRedundantHipDiagonalGrade4 = tnxValue
                            Catch ex As Exception
                                Debug.Print("Error parsing TNX variable: " &amp; tnxVar)
                            End Try</v>
      </c>
      <c r="O38" s="11" t="str">
        <f t="shared" si="6"/>
        <v>newERIList.Add("TowerRedundantHipDiagonalGrade4=" &amp; Me.settings.USUnits.Properties.convertToERIUnits( .TowerRedundantHipDiagonalGrade4))</v>
      </c>
      <c r="P38" s="11" t="str">
        <f t="shared" si="7"/>
        <v>SQLInsertValues = SQLInsertValues.AddtoDBString(Me.TowerRedundantHipDiagonalGrade4.NullableToString.FormatDBValue)</v>
      </c>
      <c r="Q38" s="11" t="str">
        <f t="shared" si="8"/>
        <v>SQLInsertFields = SQLInsertFields.AddtoDBString("TowerRedundantHipDiagonalGrade4")</v>
      </c>
      <c r="R38" s="11" t="str">
        <f t="shared" si="9"/>
        <v>SQLUpdateFieldsandValues = SQLUpdateFieldsandValues.AddtoDBString("TowerRedundantHipDiagonalGrade4 = " &amp; Me.TowerRedundantHipDiagonalGrade4.NullableToString.FormatDBValue)</v>
      </c>
      <c r="S38" s="10" t="s">
        <v>286</v>
      </c>
    </row>
    <row r="39" spans="1:19" ht="150" x14ac:dyDescent="0.25">
      <c r="A39" s="11" t="s">
        <v>423</v>
      </c>
      <c r="B39" s="11" t="str" cm="1">
        <f t="array" ref="B39">Addspaces(A39)</f>
        <v>Tower Redundant Hip Diagonal Matl Grade 4</v>
      </c>
      <c r="C39" s="15" t="s">
        <v>1224</v>
      </c>
      <c r="D39" s="13" t="str">
        <f>VLOOKUP(C39,Sheet8!A:C,2,FALSE)</f>
        <v>varchar</v>
      </c>
      <c r="E39" s="15">
        <v>100</v>
      </c>
      <c r="F39" s="13" t="str">
        <f>VLOOKUP(C39,Sheet8!A:C,3,FALSE)</f>
        <v>String</v>
      </c>
      <c r="G39" s="15"/>
      <c r="H39" s="11" t="str">
        <f t="shared" si="0"/>
        <v>ADD TowerRedundantHipDiagonalMatlGrade4 varchar(100),</v>
      </c>
      <c r="I39" s="11" t="str">
        <f t="shared" si="1"/>
        <v xml:space="preserve">Private _TowerRedundantHipDiagonalMatlGrade4 As String </v>
      </c>
      <c r="J39" s="12" t="str">
        <f t="shared" si="2"/>
        <v xml:space="preserve">     		&lt;Category("TNX Tower Record"), Description(""), DisplayName("Tower Redundant Hip Diagonal Matl Grade 4")&gt;
    		&lt;DataMember()&gt; Public Property TowerRedundantHipDiagonalMatlGrade4() As String
        			Get
            				Return Me._TowerRedundantHipDiagonalMatlGrade4
        			End Get
        			Set
            				Me._TowerRedundantHipDiagonalMatlGrade4 = Value
        			End Set
    		End Property</v>
      </c>
      <c r="K39" s="11" t="str">
        <f>"Me."&amp;A39&amp; " = " &amp; VLOOKUP(C39,Sheet8!A:D,4,FALSE)&amp;"(recRow.Item("""&amp;A39 &amp;""")" &amp; IF(C39="Number",",6","")&amp;")"</f>
        <v>Me.TowerRedundantHipDiagonalMatlGrade4 = DBtoStr(recRow.Item("TowerRedundantHipDiagonalMatlGrade4"))</v>
      </c>
      <c r="L39" s="11" t="str">
        <f t="shared" si="3"/>
        <v>insertString = insertString.AddtoDBString(Me.TowerRedundantHipDiagonalMatlGrade4.ToString)</v>
      </c>
      <c r="M39" s="11" t="str">
        <f t="shared" si="4"/>
        <v>Equals = If(Me.TowerRedundantHipDiagonalMatlGrade4.CheckChange(otherToCompare.TowerRedundantHipDiagonalMatlGrade4, changes, categoryName, "Tower Redundant Hip Diagonal Matl Grade 4"), Equals, False)</v>
      </c>
      <c r="N39" s="12" t="str">
        <f t="shared" si="5"/>
        <v xml:space="preserve"> 	Case tnxVar.Equals("TowerRedundantHipDiagonalMatlGrade4")
                            Try
                                Me.geometry.baseStructure(recIndex).TowerRedundantHipDiagonalMatlGrade4 = tnxValue
                            Catch ex As Exception
                                Debug.Print("Error parsing TNX variable: " &amp; tnxVar)
                            End Try</v>
      </c>
      <c r="O39" s="11" t="str">
        <f t="shared" si="6"/>
        <v>newERIList.Add("TowerRedundantHipDiagonalMatlGrade4=" &amp;  .TowerRedundantHipDiagonalMatlGrade4)</v>
      </c>
      <c r="P39" s="11" t="str">
        <f t="shared" si="7"/>
        <v>SQLInsertValues = SQLInsertValues.AddtoDBString(Me.TowerRedundantHipDiagonalMatlGrade4.NullableToString.FormatDBValue)</v>
      </c>
      <c r="Q39" s="11" t="str">
        <f t="shared" si="8"/>
        <v>SQLInsertFields = SQLInsertFields.AddtoDBString("TowerRedundantHipDiagonalMatlGrade4")</v>
      </c>
      <c r="R39" s="11" t="str">
        <f t="shared" si="9"/>
        <v>SQLUpdateFieldsandValues = SQLUpdateFieldsandValues.AddtoDBString("TowerRedundantHipDiagonalMatlGrade4 = " &amp; Me.TowerRedundantHipDiagonalMatlGrade4.NullableToString.FormatDBValue)</v>
      </c>
      <c r="S39" s="10" t="s">
        <v>286</v>
      </c>
    </row>
    <row r="40" spans="1:19" ht="150" x14ac:dyDescent="0.25">
      <c r="A40" s="11" t="s">
        <v>425</v>
      </c>
      <c r="B40" s="11" t="str" cm="1">
        <f t="array" ref="B40">Addspaces(A40)</f>
        <v>Tower Redundant Horizontal Type</v>
      </c>
      <c r="C40" s="15" t="s">
        <v>1224</v>
      </c>
      <c r="D40" s="13" t="str">
        <f>VLOOKUP(C40,Sheet8!A:C,2,FALSE)</f>
        <v>varchar</v>
      </c>
      <c r="E40" s="15">
        <v>100</v>
      </c>
      <c r="F40" s="13" t="str">
        <f>VLOOKUP(C40,Sheet8!A:C,3,FALSE)</f>
        <v>String</v>
      </c>
      <c r="G40" s="15"/>
      <c r="H40" s="11" t="str">
        <f t="shared" si="0"/>
        <v>ADD TowerRedundantHorizontalType varchar(100),</v>
      </c>
      <c r="I40" s="11" t="str">
        <f t="shared" si="1"/>
        <v xml:space="preserve">Private _TowerRedundantHorizontalType As String </v>
      </c>
      <c r="J40" s="12" t="str">
        <f t="shared" si="2"/>
        <v xml:space="preserve">     		&lt;Category("TNX Tower Record"), Description(""), DisplayName("Tower Redundant Horizontal Type")&gt;
    		&lt;DataMember()&gt; Public Property TowerRedundantHorizontalType() As String
        			Get
            				Return Me._TowerRedundantHorizontalType
        			End Get
        			Set
            				Me._TowerRedundantHorizontalType = Value
        			End Set
    		End Property</v>
      </c>
      <c r="K40" s="11" t="str">
        <f>"Me."&amp;A40&amp; " = " &amp; VLOOKUP(C40,Sheet8!A:D,4,FALSE)&amp;"(recRow.Item("""&amp;A40 &amp;""")" &amp; IF(C40="Number",",6","")&amp;")"</f>
        <v>Me.TowerRedundantHorizontalType = DBtoStr(recRow.Item("TowerRedundantHorizontalType"))</v>
      </c>
      <c r="L40" s="11" t="str">
        <f t="shared" si="3"/>
        <v>insertString = insertString.AddtoDBString(Me.TowerRedundantHorizontalType.ToString)</v>
      </c>
      <c r="M40" s="11" t="str">
        <f t="shared" si="4"/>
        <v>Equals = If(Me.TowerRedundantHorizontalType.CheckChange(otherToCompare.TowerRedundantHorizontalType, changes, categoryName, "Tower Redundant Horizontal Type"), Equals, False)</v>
      </c>
      <c r="N40" s="12" t="str">
        <f t="shared" si="5"/>
        <v xml:space="preserve"> 	Case tnxVar.Equals("TowerRedundantHorizontalType")
                            Try
                                Me.geometry.baseStructure(recIndex).TowerRedundantHorizontalType = tnxValue
                            Catch ex As Exception
                                Debug.Print("Error parsing TNX variable: " &amp; tnxVar)
                            End Try</v>
      </c>
      <c r="O40" s="11" t="str">
        <f t="shared" si="6"/>
        <v>newERIList.Add("TowerRedundantHorizontalType=" &amp;  .TowerRedundantHorizontalType)</v>
      </c>
      <c r="P40" s="11" t="str">
        <f t="shared" si="7"/>
        <v>SQLInsertValues = SQLInsertValues.AddtoDBString(Me.TowerRedundantHorizontalType.NullableToString.FormatDBValue)</v>
      </c>
      <c r="Q40" s="11" t="str">
        <f t="shared" si="8"/>
        <v>SQLInsertFields = SQLInsertFields.AddtoDBString("TowerRedundantHorizontalType")</v>
      </c>
      <c r="R40" s="11" t="str">
        <f t="shared" si="9"/>
        <v>SQLUpdateFieldsandValues = SQLUpdateFieldsandValues.AddtoDBString("TowerRedundantHorizontalType = " &amp; Me.TowerRedundantHorizontalType.NullableToString.FormatDBValue)</v>
      </c>
      <c r="S40" s="10" t="s">
        <v>286</v>
      </c>
    </row>
    <row r="41" spans="1:19" ht="150" x14ac:dyDescent="0.25">
      <c r="A41" s="11" t="s">
        <v>426</v>
      </c>
      <c r="B41" s="11" t="str" cm="1">
        <f t="array" ref="B41">Addspaces(A41)</f>
        <v>Tower Redundant Horizontal Type 2</v>
      </c>
      <c r="C41" s="15" t="s">
        <v>1224</v>
      </c>
      <c r="D41" s="13" t="str">
        <f>VLOOKUP(C41,Sheet8!A:C,2,FALSE)</f>
        <v>varchar</v>
      </c>
      <c r="E41" s="15">
        <v>100</v>
      </c>
      <c r="F41" s="13" t="str">
        <f>VLOOKUP(C41,Sheet8!A:C,3,FALSE)</f>
        <v>String</v>
      </c>
      <c r="G41" s="15"/>
      <c r="H41" s="11" t="str">
        <f t="shared" si="0"/>
        <v>ADD TowerRedundantHorizontalType2 varchar(100),</v>
      </c>
      <c r="I41" s="11" t="str">
        <f t="shared" si="1"/>
        <v xml:space="preserve">Private _TowerRedundantHorizontalType2 As String </v>
      </c>
      <c r="J41" s="12" t="str">
        <f t="shared" si="2"/>
        <v xml:space="preserve">     		&lt;Category("TNX Tower Record"), Description(""), DisplayName("Tower Redundant Horizontal Type 2")&gt;
    		&lt;DataMember()&gt; Public Property TowerRedundantHorizontalType2() As String
        			Get
            				Return Me._TowerRedundantHorizontalType2
        			End Get
        			Set
            				Me._TowerRedundantHorizontalType2 = Value
        			End Set
    		End Property</v>
      </c>
      <c r="K41" s="11" t="str">
        <f>"Me."&amp;A41&amp; " = " &amp; VLOOKUP(C41,Sheet8!A:D,4,FALSE)&amp;"(recRow.Item("""&amp;A41 &amp;""")" &amp; IF(C41="Number",",6","")&amp;")"</f>
        <v>Me.TowerRedundantHorizontalType2 = DBtoStr(recRow.Item("TowerRedundantHorizontalType2"))</v>
      </c>
      <c r="L41" s="11" t="str">
        <f t="shared" si="3"/>
        <v>insertString = insertString.AddtoDBString(Me.TowerRedundantHorizontalType2.ToString)</v>
      </c>
      <c r="M41" s="11" t="str">
        <f t="shared" si="4"/>
        <v>Equals = If(Me.TowerRedundantHorizontalType2.CheckChange(otherToCompare.TowerRedundantHorizontalType2, changes, categoryName, "Tower Redundant Horizontal Type 2"), Equals, False)</v>
      </c>
      <c r="N41" s="12" t="str">
        <f t="shared" si="5"/>
        <v xml:space="preserve"> 	Case tnxVar.Equals("TowerRedundantHorizontalType2")
                            Try
                                Me.geometry.baseStructure(recIndex).TowerRedundantHorizontalType2 = tnxValue
                            Catch ex As Exception
                                Debug.Print("Error parsing TNX variable: " &amp; tnxVar)
                            End Try</v>
      </c>
      <c r="O41" s="11" t="str">
        <f t="shared" si="6"/>
        <v>newERIList.Add("TowerRedundantHorizontalType2=" &amp;  .TowerRedundantHorizontalType2)</v>
      </c>
      <c r="P41" s="11" t="str">
        <f t="shared" si="7"/>
        <v>SQLInsertValues = SQLInsertValues.AddtoDBString(Me.TowerRedundantHorizontalType2.NullableToString.FormatDBValue)</v>
      </c>
      <c r="Q41" s="11" t="str">
        <f t="shared" si="8"/>
        <v>SQLInsertFields = SQLInsertFields.AddtoDBString("TowerRedundantHorizontalType2")</v>
      </c>
      <c r="R41" s="11" t="str">
        <f t="shared" si="9"/>
        <v>SQLUpdateFieldsandValues = SQLUpdateFieldsandValues.AddtoDBString("TowerRedundantHorizontalType2 = " &amp; Me.TowerRedundantHorizontalType2.NullableToString.FormatDBValue)</v>
      </c>
      <c r="S41" s="10" t="s">
        <v>286</v>
      </c>
    </row>
    <row r="42" spans="1:19" ht="150" x14ac:dyDescent="0.25">
      <c r="A42" s="11" t="s">
        <v>427</v>
      </c>
      <c r="B42" s="11" t="str" cm="1">
        <f t="array" ref="B42">Addspaces(A42)</f>
        <v>Tower Redundant Horizontal Type 3</v>
      </c>
      <c r="C42" s="15" t="s">
        <v>1224</v>
      </c>
      <c r="D42" s="13" t="str">
        <f>VLOOKUP(C42,Sheet8!A:C,2,FALSE)</f>
        <v>varchar</v>
      </c>
      <c r="E42" s="15">
        <v>100</v>
      </c>
      <c r="F42" s="13" t="str">
        <f>VLOOKUP(C42,Sheet8!A:C,3,FALSE)</f>
        <v>String</v>
      </c>
      <c r="G42" s="15"/>
      <c r="H42" s="11" t="str">
        <f t="shared" si="0"/>
        <v>ADD TowerRedundantHorizontalType3 varchar(100),</v>
      </c>
      <c r="I42" s="11" t="str">
        <f t="shared" si="1"/>
        <v xml:space="preserve">Private _TowerRedundantHorizontalType3 As String </v>
      </c>
      <c r="J42" s="12" t="str">
        <f t="shared" si="2"/>
        <v xml:space="preserve">     		&lt;Category("TNX Tower Record"), Description(""), DisplayName("Tower Redundant Horizontal Type 3")&gt;
    		&lt;DataMember()&gt; Public Property TowerRedundantHorizontalType3() As String
        			Get
            				Return Me._TowerRedundantHorizontalType3
        			End Get
        			Set
            				Me._TowerRedundantHorizontalType3 = Value
        			End Set
    		End Property</v>
      </c>
      <c r="K42" s="11" t="str">
        <f>"Me."&amp;A42&amp; " = " &amp; VLOOKUP(C42,Sheet8!A:D,4,FALSE)&amp;"(recRow.Item("""&amp;A42 &amp;""")" &amp; IF(C42="Number",",6","")&amp;")"</f>
        <v>Me.TowerRedundantHorizontalType3 = DBtoStr(recRow.Item("TowerRedundantHorizontalType3"))</v>
      </c>
      <c r="L42" s="11" t="str">
        <f t="shared" si="3"/>
        <v>insertString = insertString.AddtoDBString(Me.TowerRedundantHorizontalType3.ToString)</v>
      </c>
      <c r="M42" s="11" t="str">
        <f t="shared" si="4"/>
        <v>Equals = If(Me.TowerRedundantHorizontalType3.CheckChange(otherToCompare.TowerRedundantHorizontalType3, changes, categoryName, "Tower Redundant Horizontal Type 3"), Equals, False)</v>
      </c>
      <c r="N42" s="12" t="str">
        <f t="shared" si="5"/>
        <v xml:space="preserve"> 	Case tnxVar.Equals("TowerRedundantHorizontalType3")
                            Try
                                Me.geometry.baseStructure(recIndex).TowerRedundantHorizontalType3 = tnxValue
                            Catch ex As Exception
                                Debug.Print("Error parsing TNX variable: " &amp; tnxVar)
                            End Try</v>
      </c>
      <c r="O42" s="11" t="str">
        <f t="shared" si="6"/>
        <v>newERIList.Add("TowerRedundantHorizontalType3=" &amp;  .TowerRedundantHorizontalType3)</v>
      </c>
      <c r="P42" s="11" t="str">
        <f t="shared" si="7"/>
        <v>SQLInsertValues = SQLInsertValues.AddtoDBString(Me.TowerRedundantHorizontalType3.NullableToString.FormatDBValue)</v>
      </c>
      <c r="Q42" s="11" t="str">
        <f t="shared" si="8"/>
        <v>SQLInsertFields = SQLInsertFields.AddtoDBString("TowerRedundantHorizontalType3")</v>
      </c>
      <c r="R42" s="11" t="str">
        <f t="shared" si="9"/>
        <v>SQLUpdateFieldsandValues = SQLUpdateFieldsandValues.AddtoDBString("TowerRedundantHorizontalType3 = " &amp; Me.TowerRedundantHorizontalType3.NullableToString.FormatDBValue)</v>
      </c>
      <c r="S42" s="10" t="s">
        <v>286</v>
      </c>
    </row>
    <row r="43" spans="1:19" ht="150" x14ac:dyDescent="0.25">
      <c r="A43" s="11" t="s">
        <v>428</v>
      </c>
      <c r="B43" s="11" t="str" cm="1">
        <f t="array" ref="B43">Addspaces(A43)</f>
        <v>Tower Redundant Horizontal Type 4</v>
      </c>
      <c r="C43" s="15" t="s">
        <v>1224</v>
      </c>
      <c r="D43" s="13" t="str">
        <f>VLOOKUP(C43,Sheet8!A:C,2,FALSE)</f>
        <v>varchar</v>
      </c>
      <c r="E43" s="15">
        <v>100</v>
      </c>
      <c r="F43" s="13" t="str">
        <f>VLOOKUP(C43,Sheet8!A:C,3,FALSE)</f>
        <v>String</v>
      </c>
      <c r="G43" s="15"/>
      <c r="H43" s="11" t="str">
        <f t="shared" si="0"/>
        <v>ADD TowerRedundantHorizontalType4 varchar(100),</v>
      </c>
      <c r="I43" s="11" t="str">
        <f t="shared" si="1"/>
        <v xml:space="preserve">Private _TowerRedundantHorizontalType4 As String </v>
      </c>
      <c r="J43" s="12" t="str">
        <f t="shared" si="2"/>
        <v xml:space="preserve">     		&lt;Category("TNX Tower Record"), Description(""), DisplayName("Tower Redundant Horizontal Type 4")&gt;
    		&lt;DataMember()&gt; Public Property TowerRedundantHorizontalType4() As String
        			Get
            				Return Me._TowerRedundantHorizontalType4
        			End Get
        			Set
            				Me._TowerRedundantHorizontalType4 = Value
        			End Set
    		End Property</v>
      </c>
      <c r="K43" s="11" t="str">
        <f>"Me."&amp;A43&amp; " = " &amp; VLOOKUP(C43,Sheet8!A:D,4,FALSE)&amp;"(recRow.Item("""&amp;A43 &amp;""")" &amp; IF(C43="Number",",6","")&amp;")"</f>
        <v>Me.TowerRedundantHorizontalType4 = DBtoStr(recRow.Item("TowerRedundantHorizontalType4"))</v>
      </c>
      <c r="L43" s="11" t="str">
        <f t="shared" si="3"/>
        <v>insertString = insertString.AddtoDBString(Me.TowerRedundantHorizontalType4.ToString)</v>
      </c>
      <c r="M43" s="11" t="str">
        <f t="shared" si="4"/>
        <v>Equals = If(Me.TowerRedundantHorizontalType4.CheckChange(otherToCompare.TowerRedundantHorizontalType4, changes, categoryName, "Tower Redundant Horizontal Type 4"), Equals, False)</v>
      </c>
      <c r="N43" s="12" t="str">
        <f t="shared" si="5"/>
        <v xml:space="preserve"> 	Case tnxVar.Equals("TowerRedundantHorizontalType4")
                            Try
                                Me.geometry.baseStructure(recIndex).TowerRedundantHorizontalType4 = tnxValue
                            Catch ex As Exception
                                Debug.Print("Error parsing TNX variable: " &amp; tnxVar)
                            End Try</v>
      </c>
      <c r="O43" s="11" t="str">
        <f t="shared" si="6"/>
        <v>newERIList.Add("TowerRedundantHorizontalType4=" &amp;  .TowerRedundantHorizontalType4)</v>
      </c>
      <c r="P43" s="11" t="str">
        <f t="shared" si="7"/>
        <v>SQLInsertValues = SQLInsertValues.AddtoDBString(Me.TowerRedundantHorizontalType4.NullableToString.FormatDBValue)</v>
      </c>
      <c r="Q43" s="11" t="str">
        <f t="shared" si="8"/>
        <v>SQLInsertFields = SQLInsertFields.AddtoDBString("TowerRedundantHorizontalType4")</v>
      </c>
      <c r="R43" s="11" t="str">
        <f t="shared" si="9"/>
        <v>SQLUpdateFieldsandValues = SQLUpdateFieldsandValues.AddtoDBString("TowerRedundantHorizontalType4 = " &amp; Me.TowerRedundantHorizontalType4.NullableToString.FormatDBValue)</v>
      </c>
      <c r="S43" s="10" t="s">
        <v>286</v>
      </c>
    </row>
    <row r="44" spans="1:19" ht="150" x14ac:dyDescent="0.25">
      <c r="A44" s="11" t="s">
        <v>430</v>
      </c>
      <c r="B44" s="11" t="str" cm="1">
        <f t="array" ref="B44">Addspaces(A44)</f>
        <v>Tower Redundant Diag Type 2</v>
      </c>
      <c r="C44" s="15" t="s">
        <v>1224</v>
      </c>
      <c r="D44" s="13" t="str">
        <f>VLOOKUP(C44,Sheet8!A:C,2,FALSE)</f>
        <v>varchar</v>
      </c>
      <c r="E44" s="15">
        <v>100</v>
      </c>
      <c r="F44" s="13" t="str">
        <f>VLOOKUP(C44,Sheet8!A:C,3,FALSE)</f>
        <v>String</v>
      </c>
      <c r="G44" s="15"/>
      <c r="H44" s="11" t="str">
        <f t="shared" si="0"/>
        <v>ADD TowerRedundantDiagType2 varchar(100),</v>
      </c>
      <c r="I44" s="11" t="str">
        <f t="shared" si="1"/>
        <v xml:space="preserve">Private _TowerRedundantDiagType2 As String </v>
      </c>
      <c r="J44" s="12" t="str">
        <f t="shared" si="2"/>
        <v xml:space="preserve">     		&lt;Category("TNX Tower Record"), Description(""), DisplayName("Tower Redundant Diag Type 2")&gt;
    		&lt;DataMember()&gt; Public Property TowerRedundantDiagType2() As String
        			Get
            				Return Me._TowerRedundantDiagType2
        			End Get
        			Set
            				Me._TowerRedundantDiagType2 = Value
        			End Set
    		End Property</v>
      </c>
      <c r="K44" s="11" t="str">
        <f>"Me."&amp;A44&amp; " = " &amp; VLOOKUP(C44,Sheet8!A:D,4,FALSE)&amp;"(recRow.Item("""&amp;A44 &amp;""")" &amp; IF(C44="Number",",6","")&amp;")"</f>
        <v>Me.TowerRedundantDiagType2 = DBtoStr(recRow.Item("TowerRedundantDiagType2"))</v>
      </c>
      <c r="L44" s="11" t="str">
        <f t="shared" si="3"/>
        <v>insertString = insertString.AddtoDBString(Me.TowerRedundantDiagType2.ToString)</v>
      </c>
      <c r="M44" s="11" t="str">
        <f t="shared" si="4"/>
        <v>Equals = If(Me.TowerRedundantDiagType2.CheckChange(otherToCompare.TowerRedundantDiagType2, changes, categoryName, "Tower Redundant Diag Type 2"), Equals, False)</v>
      </c>
      <c r="N44" s="12" t="str">
        <f t="shared" si="5"/>
        <v xml:space="preserve"> 	Case tnxVar.Equals("TowerRedundantDiagType2")
                            Try
                                Me.geometry.baseStructure(recIndex).TowerRedundantDiagType2 = tnxValue
                            Catch ex As Exception
                                Debug.Print("Error parsing TNX variable: " &amp; tnxVar)
                            End Try</v>
      </c>
      <c r="O44" s="11" t="str">
        <f t="shared" si="6"/>
        <v>newERIList.Add("TowerRedundantDiagType2=" &amp;  .TowerRedundantDiagType2)</v>
      </c>
      <c r="P44" s="11" t="str">
        <f t="shared" si="7"/>
        <v>SQLInsertValues = SQLInsertValues.AddtoDBString(Me.TowerRedundantDiagType2.NullableToString.FormatDBValue)</v>
      </c>
      <c r="Q44" s="11" t="str">
        <f t="shared" si="8"/>
        <v>SQLInsertFields = SQLInsertFields.AddtoDBString("TowerRedundantDiagType2")</v>
      </c>
      <c r="R44" s="11" t="str">
        <f t="shared" si="9"/>
        <v>SQLUpdateFieldsandValues = SQLUpdateFieldsandValues.AddtoDBString("TowerRedundantDiagType2 = " &amp; Me.TowerRedundantDiagType2.NullableToString.FormatDBValue)</v>
      </c>
      <c r="S44" s="10" t="s">
        <v>286</v>
      </c>
    </row>
    <row r="45" spans="1:19" ht="150" x14ac:dyDescent="0.25">
      <c r="A45" s="11" t="s">
        <v>431</v>
      </c>
      <c r="B45" s="11" t="str" cm="1">
        <f t="array" ref="B45">Addspaces(A45)</f>
        <v>Tower Redundant Diag Type 3</v>
      </c>
      <c r="C45" s="15" t="s">
        <v>1224</v>
      </c>
      <c r="D45" s="13" t="str">
        <f>VLOOKUP(C45,Sheet8!A:C,2,FALSE)</f>
        <v>varchar</v>
      </c>
      <c r="E45" s="15">
        <v>100</v>
      </c>
      <c r="F45" s="13" t="str">
        <f>VLOOKUP(C45,Sheet8!A:C,3,FALSE)</f>
        <v>String</v>
      </c>
      <c r="G45" s="15"/>
      <c r="H45" s="11" t="str">
        <f t="shared" si="0"/>
        <v>ADD TowerRedundantDiagType3 varchar(100),</v>
      </c>
      <c r="I45" s="11" t="str">
        <f t="shared" si="1"/>
        <v xml:space="preserve">Private _TowerRedundantDiagType3 As String </v>
      </c>
      <c r="J45" s="12" t="str">
        <f t="shared" si="2"/>
        <v xml:space="preserve">     		&lt;Category("TNX Tower Record"), Description(""), DisplayName("Tower Redundant Diag Type 3")&gt;
    		&lt;DataMember()&gt; Public Property TowerRedundantDiagType3() As String
        			Get
            				Return Me._TowerRedundantDiagType3
        			End Get
        			Set
            				Me._TowerRedundantDiagType3 = Value
        			End Set
    		End Property</v>
      </c>
      <c r="K45" s="11" t="str">
        <f>"Me."&amp;A45&amp; " = " &amp; VLOOKUP(C45,Sheet8!A:D,4,FALSE)&amp;"(recRow.Item("""&amp;A45 &amp;""")" &amp; IF(C45="Number",",6","")&amp;")"</f>
        <v>Me.TowerRedundantDiagType3 = DBtoStr(recRow.Item("TowerRedundantDiagType3"))</v>
      </c>
      <c r="L45" s="11" t="str">
        <f t="shared" si="3"/>
        <v>insertString = insertString.AddtoDBString(Me.TowerRedundantDiagType3.ToString)</v>
      </c>
      <c r="M45" s="11" t="str">
        <f t="shared" si="4"/>
        <v>Equals = If(Me.TowerRedundantDiagType3.CheckChange(otherToCompare.TowerRedundantDiagType3, changes, categoryName, "Tower Redundant Diag Type 3"), Equals, False)</v>
      </c>
      <c r="N45" s="12" t="str">
        <f t="shared" si="5"/>
        <v xml:space="preserve"> 	Case tnxVar.Equals("TowerRedundantDiagType3")
                            Try
                                Me.geometry.baseStructure(recIndex).TowerRedundantDiagType3 = tnxValue
                            Catch ex As Exception
                                Debug.Print("Error parsing TNX variable: " &amp; tnxVar)
                            End Try</v>
      </c>
      <c r="O45" s="11" t="str">
        <f t="shared" si="6"/>
        <v>newERIList.Add("TowerRedundantDiagType3=" &amp;  .TowerRedundantDiagType3)</v>
      </c>
      <c r="P45" s="11" t="str">
        <f t="shared" si="7"/>
        <v>SQLInsertValues = SQLInsertValues.AddtoDBString(Me.TowerRedundantDiagType3.NullableToString.FormatDBValue)</v>
      </c>
      <c r="Q45" s="11" t="str">
        <f t="shared" si="8"/>
        <v>SQLInsertFields = SQLInsertFields.AddtoDBString("TowerRedundantDiagType3")</v>
      </c>
      <c r="R45" s="11" t="str">
        <f t="shared" si="9"/>
        <v>SQLUpdateFieldsandValues = SQLUpdateFieldsandValues.AddtoDBString("TowerRedundantDiagType3 = " &amp; Me.TowerRedundantDiagType3.NullableToString.FormatDBValue)</v>
      </c>
      <c r="S45" s="10" t="s">
        <v>286</v>
      </c>
    </row>
    <row r="46" spans="1:19" ht="150" x14ac:dyDescent="0.25">
      <c r="A46" s="11" t="s">
        <v>432</v>
      </c>
      <c r="B46" s="11" t="str" cm="1">
        <f t="array" ref="B46">Addspaces(A46)</f>
        <v>Tower Redundant Diag Type 4</v>
      </c>
      <c r="C46" s="15" t="s">
        <v>1224</v>
      </c>
      <c r="D46" s="13" t="str">
        <f>VLOOKUP(C46,Sheet8!A:C,2,FALSE)</f>
        <v>varchar</v>
      </c>
      <c r="E46" s="15">
        <v>100</v>
      </c>
      <c r="F46" s="13" t="str">
        <f>VLOOKUP(C46,Sheet8!A:C,3,FALSE)</f>
        <v>String</v>
      </c>
      <c r="G46" s="15"/>
      <c r="H46" s="11" t="str">
        <f t="shared" si="0"/>
        <v>ADD TowerRedundantDiagType4 varchar(100),</v>
      </c>
      <c r="I46" s="11" t="str">
        <f t="shared" si="1"/>
        <v xml:space="preserve">Private _TowerRedundantDiagType4 As String </v>
      </c>
      <c r="J46" s="12" t="str">
        <f t="shared" si="2"/>
        <v xml:space="preserve">     		&lt;Category("TNX Tower Record"), Description(""), DisplayName("Tower Redundant Diag Type 4")&gt;
    		&lt;DataMember()&gt; Public Property TowerRedundantDiagType4() As String
        			Get
            				Return Me._TowerRedundantDiagType4
        			End Get
        			Set
            				Me._TowerRedundantDiagType4 = Value
        			End Set
    		End Property</v>
      </c>
      <c r="K46" s="11" t="str">
        <f>"Me."&amp;A46&amp; " = " &amp; VLOOKUP(C46,Sheet8!A:D,4,FALSE)&amp;"(recRow.Item("""&amp;A46 &amp;""")" &amp; IF(C46="Number",",6","")&amp;")"</f>
        <v>Me.TowerRedundantDiagType4 = DBtoStr(recRow.Item("TowerRedundantDiagType4"))</v>
      </c>
      <c r="L46" s="11" t="str">
        <f t="shared" si="3"/>
        <v>insertString = insertString.AddtoDBString(Me.TowerRedundantDiagType4.ToString)</v>
      </c>
      <c r="M46" s="11" t="str">
        <f t="shared" si="4"/>
        <v>Equals = If(Me.TowerRedundantDiagType4.CheckChange(otherToCompare.TowerRedundantDiagType4, changes, categoryName, "Tower Redundant Diag Type 4"), Equals, False)</v>
      </c>
      <c r="N46" s="12" t="str">
        <f t="shared" si="5"/>
        <v xml:space="preserve"> 	Case tnxVar.Equals("TowerRedundantDiagType4")
                            Try
                                Me.geometry.baseStructure(recIndex).TowerRedundantDiagType4 = tnxValue
                            Catch ex As Exception
                                Debug.Print("Error parsing TNX variable: " &amp; tnxVar)
                            End Try</v>
      </c>
      <c r="O46" s="11" t="str">
        <f t="shared" si="6"/>
        <v>newERIList.Add("TowerRedundantDiagType4=" &amp;  .TowerRedundantDiagType4)</v>
      </c>
      <c r="P46" s="11" t="str">
        <f t="shared" si="7"/>
        <v>SQLInsertValues = SQLInsertValues.AddtoDBString(Me.TowerRedundantDiagType4.NullableToString.FormatDBValue)</v>
      </c>
      <c r="Q46" s="11" t="str">
        <f t="shared" si="8"/>
        <v>SQLInsertFields = SQLInsertFields.AddtoDBString("TowerRedundantDiagType4")</v>
      </c>
      <c r="R46" s="11" t="str">
        <f t="shared" si="9"/>
        <v>SQLUpdateFieldsandValues = SQLUpdateFieldsandValues.AddtoDBString("TowerRedundantDiagType4 = " &amp; Me.TowerRedundantDiagType4.NullableToString.FormatDBValue)</v>
      </c>
      <c r="S46" s="10" t="s">
        <v>286</v>
      </c>
    </row>
    <row r="47" spans="1:19" ht="150" x14ac:dyDescent="0.25">
      <c r="A47" s="11" t="s">
        <v>438</v>
      </c>
      <c r="B47" s="11" t="str" cm="1">
        <f t="array" ref="B47">Addspaces(A47)</f>
        <v>Tower Redundant Hip Type 2</v>
      </c>
      <c r="C47" s="15" t="s">
        <v>1224</v>
      </c>
      <c r="D47" s="13" t="str">
        <f>VLOOKUP(C47,Sheet8!A:C,2,FALSE)</f>
        <v>varchar</v>
      </c>
      <c r="E47" s="15">
        <v>100</v>
      </c>
      <c r="F47" s="13" t="str">
        <f>VLOOKUP(C47,Sheet8!A:C,3,FALSE)</f>
        <v>String</v>
      </c>
      <c r="G47" s="15"/>
      <c r="H47" s="11" t="str">
        <f t="shared" si="0"/>
        <v>ADD TowerRedundantHipType2 varchar(100),</v>
      </c>
      <c r="I47" s="11" t="str">
        <f t="shared" si="1"/>
        <v xml:space="preserve">Private _TowerRedundantHipType2 As String </v>
      </c>
      <c r="J47" s="12" t="str">
        <f t="shared" si="2"/>
        <v xml:space="preserve">     		&lt;Category("TNX Tower Record"), Description(""), DisplayName("Tower Redundant Hip Type 2")&gt;
    		&lt;DataMember()&gt; Public Property TowerRedundantHipType2() As String
        			Get
            				Return Me._TowerRedundantHipType2
        			End Get
        			Set
            				Me._TowerRedundantHipType2 = Value
        			End Set
    		End Property</v>
      </c>
      <c r="K47" s="11" t="str">
        <f>"Me."&amp;A47&amp; " = " &amp; VLOOKUP(C47,Sheet8!A:D,4,FALSE)&amp;"(recRow.Item("""&amp;A47 &amp;""")" &amp; IF(C47="Number",",6","")&amp;")"</f>
        <v>Me.TowerRedundantHipType2 = DBtoStr(recRow.Item("TowerRedundantHipType2"))</v>
      </c>
      <c r="L47" s="11" t="str">
        <f t="shared" si="3"/>
        <v>insertString = insertString.AddtoDBString(Me.TowerRedundantHipType2.ToString)</v>
      </c>
      <c r="M47" s="11" t="str">
        <f t="shared" si="4"/>
        <v>Equals = If(Me.TowerRedundantHipType2.CheckChange(otherToCompare.TowerRedundantHipType2, changes, categoryName, "Tower Redundant Hip Type 2"), Equals, False)</v>
      </c>
      <c r="N47" s="12" t="str">
        <f t="shared" si="5"/>
        <v xml:space="preserve"> 	Case tnxVar.Equals("TowerRedundantHipType2")
                            Try
                                Me.geometry.baseStructure(recIndex).TowerRedundantHipType2 = tnxValue
                            Catch ex As Exception
                                Debug.Print("Error parsing TNX variable: " &amp; tnxVar)
                            End Try</v>
      </c>
      <c r="O47" s="11" t="str">
        <f t="shared" si="6"/>
        <v>newERIList.Add("TowerRedundantHipType2=" &amp;  .TowerRedundantHipType2)</v>
      </c>
      <c r="P47" s="11" t="str">
        <f t="shared" si="7"/>
        <v>SQLInsertValues = SQLInsertValues.AddtoDBString(Me.TowerRedundantHipType2.NullableToString.FormatDBValue)</v>
      </c>
      <c r="Q47" s="11" t="str">
        <f t="shared" si="8"/>
        <v>SQLInsertFields = SQLInsertFields.AddtoDBString("TowerRedundantHipType2")</v>
      </c>
      <c r="R47" s="11" t="str">
        <f t="shared" si="9"/>
        <v>SQLUpdateFieldsandValues = SQLUpdateFieldsandValues.AddtoDBString("TowerRedundantHipType2 = " &amp; Me.TowerRedundantHipType2.NullableToString.FormatDBValue)</v>
      </c>
      <c r="S47" s="10" t="s">
        <v>286</v>
      </c>
    </row>
    <row r="48" spans="1:19" ht="150" x14ac:dyDescent="0.25">
      <c r="A48" s="11" t="s">
        <v>439</v>
      </c>
      <c r="B48" s="11" t="str" cm="1">
        <f t="array" ref="B48">Addspaces(A48)</f>
        <v>Tower Redundant Hip Type 3</v>
      </c>
      <c r="C48" s="15" t="s">
        <v>1224</v>
      </c>
      <c r="D48" s="13" t="str">
        <f>VLOOKUP(C48,Sheet8!A:C,2,FALSE)</f>
        <v>varchar</v>
      </c>
      <c r="E48" s="15">
        <v>100</v>
      </c>
      <c r="F48" s="13" t="str">
        <f>VLOOKUP(C48,Sheet8!A:C,3,FALSE)</f>
        <v>String</v>
      </c>
      <c r="G48" s="15"/>
      <c r="H48" s="11" t="str">
        <f t="shared" si="0"/>
        <v>ADD TowerRedundantHipType3 varchar(100),</v>
      </c>
      <c r="I48" s="11" t="str">
        <f t="shared" si="1"/>
        <v xml:space="preserve">Private _TowerRedundantHipType3 As String </v>
      </c>
      <c r="J48" s="12" t="str">
        <f t="shared" si="2"/>
        <v xml:space="preserve">     		&lt;Category("TNX Tower Record"), Description(""), DisplayName("Tower Redundant Hip Type 3")&gt;
    		&lt;DataMember()&gt; Public Property TowerRedundantHipType3() As String
        			Get
            				Return Me._TowerRedundantHipType3
        			End Get
        			Set
            				Me._TowerRedundantHipType3 = Value
        			End Set
    		End Property</v>
      </c>
      <c r="K48" s="11" t="str">
        <f>"Me."&amp;A48&amp; " = " &amp; VLOOKUP(C48,Sheet8!A:D,4,FALSE)&amp;"(recRow.Item("""&amp;A48 &amp;""")" &amp; IF(C48="Number",",6","")&amp;")"</f>
        <v>Me.TowerRedundantHipType3 = DBtoStr(recRow.Item("TowerRedundantHipType3"))</v>
      </c>
      <c r="L48" s="11" t="str">
        <f t="shared" si="3"/>
        <v>insertString = insertString.AddtoDBString(Me.TowerRedundantHipType3.ToString)</v>
      </c>
      <c r="M48" s="11" t="str">
        <f t="shared" si="4"/>
        <v>Equals = If(Me.TowerRedundantHipType3.CheckChange(otherToCompare.TowerRedundantHipType3, changes, categoryName, "Tower Redundant Hip Type 3"), Equals, False)</v>
      </c>
      <c r="N48" s="12" t="str">
        <f t="shared" si="5"/>
        <v xml:space="preserve"> 	Case tnxVar.Equals("TowerRedundantHipType3")
                            Try
                                Me.geometry.baseStructure(recIndex).TowerRedundantHipType3 = tnxValue
                            Catch ex As Exception
                                Debug.Print("Error parsing TNX variable: " &amp; tnxVar)
                            End Try</v>
      </c>
      <c r="O48" s="11" t="str">
        <f t="shared" si="6"/>
        <v>newERIList.Add("TowerRedundantHipType3=" &amp;  .TowerRedundantHipType3)</v>
      </c>
      <c r="P48" s="11" t="str">
        <f t="shared" si="7"/>
        <v>SQLInsertValues = SQLInsertValues.AddtoDBString(Me.TowerRedundantHipType3.NullableToString.FormatDBValue)</v>
      </c>
      <c r="Q48" s="11" t="str">
        <f t="shared" si="8"/>
        <v>SQLInsertFields = SQLInsertFields.AddtoDBString("TowerRedundantHipType3")</v>
      </c>
      <c r="R48" s="11" t="str">
        <f t="shared" si="9"/>
        <v>SQLUpdateFieldsandValues = SQLUpdateFieldsandValues.AddtoDBString("TowerRedundantHipType3 = " &amp; Me.TowerRedundantHipType3.NullableToString.FormatDBValue)</v>
      </c>
      <c r="S48" s="10" t="s">
        <v>286</v>
      </c>
    </row>
    <row r="49" spans="1:19" ht="150" x14ac:dyDescent="0.25">
      <c r="A49" s="11" t="s">
        <v>440</v>
      </c>
      <c r="B49" s="11" t="str" cm="1">
        <f t="array" ref="B49">Addspaces(A49)</f>
        <v>Tower Redundant Hip Type 4</v>
      </c>
      <c r="C49" s="15" t="s">
        <v>1224</v>
      </c>
      <c r="D49" s="13" t="str">
        <f>VLOOKUP(C49,Sheet8!A:C,2,FALSE)</f>
        <v>varchar</v>
      </c>
      <c r="E49" s="15">
        <v>100</v>
      </c>
      <c r="F49" s="13" t="str">
        <f>VLOOKUP(C49,Sheet8!A:C,3,FALSE)</f>
        <v>String</v>
      </c>
      <c r="G49" s="15"/>
      <c r="H49" s="11" t="str">
        <f t="shared" si="0"/>
        <v>ADD TowerRedundantHipType4 varchar(100),</v>
      </c>
      <c r="I49" s="11" t="str">
        <f t="shared" si="1"/>
        <v xml:space="preserve">Private _TowerRedundantHipType4 As String </v>
      </c>
      <c r="J49" s="12" t="str">
        <f t="shared" si="2"/>
        <v xml:space="preserve">     		&lt;Category("TNX Tower Record"), Description(""), DisplayName("Tower Redundant Hip Type 4")&gt;
    		&lt;DataMember()&gt; Public Property TowerRedundantHipType4() As String
        			Get
            				Return Me._TowerRedundantHipType4
        			End Get
        			Set
            				Me._TowerRedundantHipType4 = Value
        			End Set
    		End Property</v>
      </c>
      <c r="K49" s="11" t="str">
        <f>"Me."&amp;A49&amp; " = " &amp; VLOOKUP(C49,Sheet8!A:D,4,FALSE)&amp;"(recRow.Item("""&amp;A49 &amp;""")" &amp; IF(C49="Number",",6","")&amp;")"</f>
        <v>Me.TowerRedundantHipType4 = DBtoStr(recRow.Item("TowerRedundantHipType4"))</v>
      </c>
      <c r="L49" s="11" t="str">
        <f t="shared" si="3"/>
        <v>insertString = insertString.AddtoDBString(Me.TowerRedundantHipType4.ToString)</v>
      </c>
      <c r="M49" s="11" t="str">
        <f t="shared" si="4"/>
        <v>Equals = If(Me.TowerRedundantHipType4.CheckChange(otherToCompare.TowerRedundantHipType4, changes, categoryName, "Tower Redundant Hip Type 4"), Equals, False)</v>
      </c>
      <c r="N49" s="12" t="str">
        <f t="shared" si="5"/>
        <v xml:space="preserve"> 	Case tnxVar.Equals("TowerRedundantHipType4")
                            Try
                                Me.geometry.baseStructure(recIndex).TowerRedundantHipType4 = tnxValue
                            Catch ex As Exception
                                Debug.Print("Error parsing TNX variable: " &amp; tnxVar)
                            End Try</v>
      </c>
      <c r="O49" s="11" t="str">
        <f t="shared" si="6"/>
        <v>newERIList.Add("TowerRedundantHipType4=" &amp;  .TowerRedundantHipType4)</v>
      </c>
      <c r="P49" s="11" t="str">
        <f t="shared" si="7"/>
        <v>SQLInsertValues = SQLInsertValues.AddtoDBString(Me.TowerRedundantHipType4.NullableToString.FormatDBValue)</v>
      </c>
      <c r="Q49" s="11" t="str">
        <f t="shared" si="8"/>
        <v>SQLInsertFields = SQLInsertFields.AddtoDBString("TowerRedundantHipType4")</v>
      </c>
      <c r="R49" s="11" t="str">
        <f t="shared" si="9"/>
        <v>SQLUpdateFieldsandValues = SQLUpdateFieldsandValues.AddtoDBString("TowerRedundantHipType4 = " &amp; Me.TowerRedundantHipType4.NullableToString.FormatDBValue)</v>
      </c>
      <c r="S49" s="10" t="s">
        <v>286</v>
      </c>
    </row>
    <row r="50" spans="1:19" ht="150" x14ac:dyDescent="0.25">
      <c r="A50" s="11" t="s">
        <v>442</v>
      </c>
      <c r="B50" s="11" t="str" cm="1">
        <f t="array" ref="B50">Addspaces(A50)</f>
        <v>Tower Redundant Hip Diagonal Type 2</v>
      </c>
      <c r="C50" s="15" t="s">
        <v>1224</v>
      </c>
      <c r="D50" s="13" t="str">
        <f>VLOOKUP(C50,Sheet8!A:C,2,FALSE)</f>
        <v>varchar</v>
      </c>
      <c r="E50" s="15">
        <v>100</v>
      </c>
      <c r="F50" s="13" t="str">
        <f>VLOOKUP(C50,Sheet8!A:C,3,FALSE)</f>
        <v>String</v>
      </c>
      <c r="G50" s="15"/>
      <c r="H50" s="11" t="str">
        <f t="shared" si="0"/>
        <v>ADD TowerRedundantHipDiagonalType2 varchar(100),</v>
      </c>
      <c r="I50" s="11" t="str">
        <f t="shared" si="1"/>
        <v xml:space="preserve">Private _TowerRedundantHipDiagonalType2 As String </v>
      </c>
      <c r="J50" s="12" t="str">
        <f t="shared" si="2"/>
        <v xml:space="preserve">     		&lt;Category("TNX Tower Record"), Description(""), DisplayName("Tower Redundant Hip Diagonal Type 2")&gt;
    		&lt;DataMember()&gt; Public Property TowerRedundantHipDiagonalType2() As String
        			Get
            				Return Me._TowerRedundantHipDiagonalType2
        			End Get
        			Set
            				Me._TowerRedundantHipDiagonalType2 = Value
        			End Set
    		End Property</v>
      </c>
      <c r="K50" s="11" t="str">
        <f>"Me."&amp;A50&amp; " = " &amp; VLOOKUP(C50,Sheet8!A:D,4,FALSE)&amp;"(recRow.Item("""&amp;A50 &amp;""")" &amp; IF(C50="Number",",6","")&amp;")"</f>
        <v>Me.TowerRedundantHipDiagonalType2 = DBtoStr(recRow.Item("TowerRedundantHipDiagonalType2"))</v>
      </c>
      <c r="L50" s="11" t="str">
        <f t="shared" si="3"/>
        <v>insertString = insertString.AddtoDBString(Me.TowerRedundantHipDiagonalType2.ToString)</v>
      </c>
      <c r="M50" s="11" t="str">
        <f t="shared" si="4"/>
        <v>Equals = If(Me.TowerRedundantHipDiagonalType2.CheckChange(otherToCompare.TowerRedundantHipDiagonalType2, changes, categoryName, "Tower Redundant Hip Diagonal Type 2"), Equals, False)</v>
      </c>
      <c r="N50" s="12" t="str">
        <f t="shared" si="5"/>
        <v xml:space="preserve"> 	Case tnxVar.Equals("TowerRedundantHipDiagonalType2")
                            Try
                                Me.geometry.baseStructure(recIndex).TowerRedundantHipDiagonalType2 = tnxValue
                            Catch ex As Exception
                                Debug.Print("Error parsing TNX variable: " &amp; tnxVar)
                            End Try</v>
      </c>
      <c r="O50" s="11" t="str">
        <f t="shared" si="6"/>
        <v>newERIList.Add("TowerRedundantHipDiagonalType2=" &amp;  .TowerRedundantHipDiagonalType2)</v>
      </c>
      <c r="P50" s="11" t="str">
        <f t="shared" si="7"/>
        <v>SQLInsertValues = SQLInsertValues.AddtoDBString(Me.TowerRedundantHipDiagonalType2.NullableToString.FormatDBValue)</v>
      </c>
      <c r="Q50" s="11" t="str">
        <f t="shared" si="8"/>
        <v>SQLInsertFields = SQLInsertFields.AddtoDBString("TowerRedundantHipDiagonalType2")</v>
      </c>
      <c r="R50" s="11" t="str">
        <f t="shared" si="9"/>
        <v>SQLUpdateFieldsandValues = SQLUpdateFieldsandValues.AddtoDBString("TowerRedundantHipDiagonalType2 = " &amp; Me.TowerRedundantHipDiagonalType2.NullableToString.FormatDBValue)</v>
      </c>
      <c r="S50" s="10" t="s">
        <v>286</v>
      </c>
    </row>
    <row r="51" spans="1:19" ht="150" x14ac:dyDescent="0.25">
      <c r="A51" s="11" t="s">
        <v>443</v>
      </c>
      <c r="B51" s="11" t="str" cm="1">
        <f t="array" ref="B51">Addspaces(A51)</f>
        <v>Tower Redundant Hip Diagonal Type 3</v>
      </c>
      <c r="C51" s="15" t="s">
        <v>1224</v>
      </c>
      <c r="D51" s="13" t="str">
        <f>VLOOKUP(C51,Sheet8!A:C,2,FALSE)</f>
        <v>varchar</v>
      </c>
      <c r="E51" s="15">
        <v>100</v>
      </c>
      <c r="F51" s="13" t="str">
        <f>VLOOKUP(C51,Sheet8!A:C,3,FALSE)</f>
        <v>String</v>
      </c>
      <c r="G51" s="15"/>
      <c r="H51" s="11" t="str">
        <f t="shared" si="0"/>
        <v>ADD TowerRedundantHipDiagonalType3 varchar(100),</v>
      </c>
      <c r="I51" s="11" t="str">
        <f t="shared" si="1"/>
        <v xml:space="preserve">Private _TowerRedundantHipDiagonalType3 As String </v>
      </c>
      <c r="J51" s="12" t="str">
        <f t="shared" si="2"/>
        <v xml:space="preserve">     		&lt;Category("TNX Tower Record"), Description(""), DisplayName("Tower Redundant Hip Diagonal Type 3")&gt;
    		&lt;DataMember()&gt; Public Property TowerRedundantHipDiagonalType3() As String
        			Get
            				Return Me._TowerRedundantHipDiagonalType3
        			End Get
        			Set
            				Me._TowerRedundantHipDiagonalType3 = Value
        			End Set
    		End Property</v>
      </c>
      <c r="K51" s="11" t="str">
        <f>"Me."&amp;A51&amp; " = " &amp; VLOOKUP(C51,Sheet8!A:D,4,FALSE)&amp;"(recRow.Item("""&amp;A51 &amp;""")" &amp; IF(C51="Number",",6","")&amp;")"</f>
        <v>Me.TowerRedundantHipDiagonalType3 = DBtoStr(recRow.Item("TowerRedundantHipDiagonalType3"))</v>
      </c>
      <c r="L51" s="11" t="str">
        <f t="shared" si="3"/>
        <v>insertString = insertString.AddtoDBString(Me.TowerRedundantHipDiagonalType3.ToString)</v>
      </c>
      <c r="M51" s="11" t="str">
        <f t="shared" si="4"/>
        <v>Equals = If(Me.TowerRedundantHipDiagonalType3.CheckChange(otherToCompare.TowerRedundantHipDiagonalType3, changes, categoryName, "Tower Redundant Hip Diagonal Type 3"), Equals, False)</v>
      </c>
      <c r="N51" s="12" t="str">
        <f t="shared" si="5"/>
        <v xml:space="preserve"> 	Case tnxVar.Equals("TowerRedundantHipDiagonalType3")
                            Try
                                Me.geometry.baseStructure(recIndex).TowerRedundantHipDiagonalType3 = tnxValue
                            Catch ex As Exception
                                Debug.Print("Error parsing TNX variable: " &amp; tnxVar)
                            End Try</v>
      </c>
      <c r="O51" s="11" t="str">
        <f t="shared" si="6"/>
        <v>newERIList.Add("TowerRedundantHipDiagonalType3=" &amp;  .TowerRedundantHipDiagonalType3)</v>
      </c>
      <c r="P51" s="11" t="str">
        <f t="shared" si="7"/>
        <v>SQLInsertValues = SQLInsertValues.AddtoDBString(Me.TowerRedundantHipDiagonalType3.NullableToString.FormatDBValue)</v>
      </c>
      <c r="Q51" s="11" t="str">
        <f t="shared" si="8"/>
        <v>SQLInsertFields = SQLInsertFields.AddtoDBString("TowerRedundantHipDiagonalType3")</v>
      </c>
      <c r="R51" s="11" t="str">
        <f t="shared" si="9"/>
        <v>SQLUpdateFieldsandValues = SQLUpdateFieldsandValues.AddtoDBString("TowerRedundantHipDiagonalType3 = " &amp; Me.TowerRedundantHipDiagonalType3.NullableToString.FormatDBValue)</v>
      </c>
      <c r="S51" s="10" t="s">
        <v>286</v>
      </c>
    </row>
    <row r="52" spans="1:19" ht="150" x14ac:dyDescent="0.25">
      <c r="A52" s="11" t="s">
        <v>444</v>
      </c>
      <c r="B52" s="11" t="str" cm="1">
        <f t="array" ref="B52">Addspaces(A52)</f>
        <v>Tower Redundant Hip Diagonal Type 4</v>
      </c>
      <c r="C52" s="15" t="s">
        <v>1224</v>
      </c>
      <c r="D52" s="13" t="str">
        <f>VLOOKUP(C52,Sheet8!A:C,2,FALSE)</f>
        <v>varchar</v>
      </c>
      <c r="E52" s="15">
        <v>100</v>
      </c>
      <c r="F52" s="13" t="str">
        <f>VLOOKUP(C52,Sheet8!A:C,3,FALSE)</f>
        <v>String</v>
      </c>
      <c r="G52" s="15"/>
      <c r="H52" s="11" t="str">
        <f t="shared" si="0"/>
        <v>ADD TowerRedundantHipDiagonalType4 varchar(100),</v>
      </c>
      <c r="I52" s="11" t="str">
        <f t="shared" si="1"/>
        <v xml:space="preserve">Private _TowerRedundantHipDiagonalType4 As String </v>
      </c>
      <c r="J52" s="12" t="str">
        <f t="shared" si="2"/>
        <v xml:space="preserve">     		&lt;Category("TNX Tower Record"), Description(""), DisplayName("Tower Redundant Hip Diagonal Type 4")&gt;
    		&lt;DataMember()&gt; Public Property TowerRedundantHipDiagonalType4() As String
        			Get
            				Return Me._TowerRedundantHipDiagonalType4
        			End Get
        			Set
            				Me._TowerRedundantHipDiagonalType4 = Value
        			End Set
    		End Property</v>
      </c>
      <c r="K52" s="11" t="str">
        <f>"Me."&amp;A52&amp; " = " &amp; VLOOKUP(C52,Sheet8!A:D,4,FALSE)&amp;"(recRow.Item("""&amp;A52 &amp;""")" &amp; IF(C52="Number",",6","")&amp;")"</f>
        <v>Me.TowerRedundantHipDiagonalType4 = DBtoStr(recRow.Item("TowerRedundantHipDiagonalType4"))</v>
      </c>
      <c r="L52" s="11" t="str">
        <f t="shared" si="3"/>
        <v>insertString = insertString.AddtoDBString(Me.TowerRedundantHipDiagonalType4.ToString)</v>
      </c>
      <c r="M52" s="11" t="str">
        <f t="shared" si="4"/>
        <v>Equals = If(Me.TowerRedundantHipDiagonalType4.CheckChange(otherToCompare.TowerRedundantHipDiagonalType4, changes, categoryName, "Tower Redundant Hip Diagonal Type 4"), Equals, False)</v>
      </c>
      <c r="N52" s="12" t="str">
        <f t="shared" si="5"/>
        <v xml:space="preserve"> 	Case tnxVar.Equals("TowerRedundantHipDiagonalType4")
                            Try
                                Me.geometry.baseStructure(recIndex).TowerRedundantHipDiagonalType4 = tnxValue
                            Catch ex As Exception
                                Debug.Print("Error parsing TNX variable: " &amp; tnxVar)
                            End Try</v>
      </c>
      <c r="O52" s="11" t="str">
        <f t="shared" si="6"/>
        <v>newERIList.Add("TowerRedundantHipDiagonalType4=" &amp;  .TowerRedundantHipDiagonalType4)</v>
      </c>
      <c r="P52" s="11" t="str">
        <f t="shared" si="7"/>
        <v>SQLInsertValues = SQLInsertValues.AddtoDBString(Me.TowerRedundantHipDiagonalType4.NullableToString.FormatDBValue)</v>
      </c>
      <c r="Q52" s="11" t="str">
        <f t="shared" si="8"/>
        <v>SQLInsertFields = SQLInsertFields.AddtoDBString("TowerRedundantHipDiagonalType4")</v>
      </c>
      <c r="R52" s="11" t="str">
        <f t="shared" si="9"/>
        <v>SQLUpdateFieldsandValues = SQLUpdateFieldsandValues.AddtoDBString("TowerRedundantHipDiagonalType4 = " &amp; Me.TowerRedundantHipDiagonalType4.NullableToString.FormatDBValue)</v>
      </c>
      <c r="S52" s="10" t="s">
        <v>286</v>
      </c>
    </row>
    <row r="53" spans="1:19" ht="150" x14ac:dyDescent="0.25">
      <c r="A53" s="11" t="s">
        <v>574</v>
      </c>
      <c r="B53" s="11" t="str" cm="1">
        <f t="array" ref="B53">Addspaces(A53)</f>
        <v>Tower Redundant Horizontal Bolt Grade 1</v>
      </c>
      <c r="C53" s="15" t="s">
        <v>1224</v>
      </c>
      <c r="D53" s="13" t="str">
        <f>VLOOKUP(C53,Sheet8!A:C,2,FALSE)</f>
        <v>varchar</v>
      </c>
      <c r="E53" s="15">
        <v>100</v>
      </c>
      <c r="F53" s="13" t="str">
        <f>VLOOKUP(C53,Sheet8!A:C,3,FALSE)</f>
        <v>String</v>
      </c>
      <c r="G53" s="15"/>
      <c r="H53" s="11" t="str">
        <f t="shared" si="0"/>
        <v>ADD TowerRedundantHorizontalBoltGrade1 varchar(100),</v>
      </c>
      <c r="I53" s="11" t="str">
        <f t="shared" si="1"/>
        <v xml:space="preserve">Private _TowerRedundantHorizontalBoltGrade1 As String </v>
      </c>
      <c r="J53" s="12" t="str">
        <f t="shared" si="2"/>
        <v xml:space="preserve">     		&lt;Category("TNX Tower Record"), Description(""), DisplayName("Tower Redundant Horizontal Bolt Grade 1")&gt;
    		&lt;DataMember()&gt; Public Property TowerRedundantHorizontalBoltGrade1() As String
        			Get
            				Return Me._TowerRedundantHorizontalBoltGrade1
        			End Get
        			Set
            				Me._TowerRedundantHorizontalBoltGrade1 = Value
        			End Set
    		End Property</v>
      </c>
      <c r="K53" s="11" t="str">
        <f>"Me."&amp;A53&amp; " = " &amp; VLOOKUP(C53,Sheet8!A:D,4,FALSE)&amp;"(recRow.Item("""&amp;A53 &amp;""")" &amp; IF(C53="Number",",6","")&amp;")"</f>
        <v>Me.TowerRedundantHorizontalBoltGrade1 = DBtoStr(recRow.Item("TowerRedundantHorizontalBoltGrade1"))</v>
      </c>
      <c r="L53" s="11" t="str">
        <f t="shared" si="3"/>
        <v>insertString = insertString.AddtoDBString(Me.TowerRedundantHorizontalBoltGrade1.ToString)</v>
      </c>
      <c r="M53" s="11" t="str">
        <f t="shared" si="4"/>
        <v>Equals = If(Me.TowerRedundantHorizontalBoltGrade1.CheckChange(otherToCompare.TowerRedundantHorizontalBoltGrade1, changes, categoryName, "Tower Redundant Horizontal Bolt Grade 1"), Equals, False)</v>
      </c>
      <c r="N53" s="12" t="str">
        <f t="shared" si="5"/>
        <v xml:space="preserve"> 	Case tnxVar.Equals("TowerRedundantHorizontalBoltGrade1")
                            Try
                                Me.geometry.baseStructure(recIndex).TowerRedundantHorizontalBoltGrade1 = tnxValue
                            Catch ex As Exception
                                Debug.Print("Error parsing TNX variable: " &amp; tnxVar)
                            End Try</v>
      </c>
      <c r="O53" s="11" t="str">
        <f t="shared" si="6"/>
        <v>newERIList.Add("TowerRedundantHorizontalBoltGrade1=" &amp;  .TowerRedundantHorizontalBoltGrade1)</v>
      </c>
      <c r="P53" s="11" t="str">
        <f t="shared" si="7"/>
        <v>SQLInsertValues = SQLInsertValues.AddtoDBString(Me.TowerRedundantHorizontalBoltGrade1.NullableToString.FormatDBValue)</v>
      </c>
      <c r="Q53" s="11" t="str">
        <f t="shared" si="8"/>
        <v>SQLInsertFields = SQLInsertFields.AddtoDBString("TowerRedundantHorizontalBoltGrade1")</v>
      </c>
      <c r="R53" s="11" t="str">
        <f t="shared" si="9"/>
        <v>SQLUpdateFieldsandValues = SQLUpdateFieldsandValues.AddtoDBString("TowerRedundantHorizontalBoltGrade1 = " &amp; Me.TowerRedundantHorizontalBoltGrade1.NullableToString.FormatDBValue)</v>
      </c>
      <c r="S53" s="10" t="s">
        <v>286</v>
      </c>
    </row>
    <row r="54" spans="1:19" ht="150" x14ac:dyDescent="0.25">
      <c r="A54" s="11" t="s">
        <v>575</v>
      </c>
      <c r="B54" s="11" t="str" cm="1">
        <f t="array" ref="B54">Addspaces(A54)</f>
        <v>Tower Redundant Horizontal Bolt Size 1</v>
      </c>
      <c r="C54" s="15" t="s">
        <v>1225</v>
      </c>
      <c r="D54" s="13" t="str">
        <f>VLOOKUP(C54,Sheet8!A:C,2,FALSE)</f>
        <v>decimal(18, 6)</v>
      </c>
      <c r="E54" s="15"/>
      <c r="F54" s="13" t="str">
        <f>VLOOKUP(C54,Sheet8!A:C,3,FALSE)</f>
        <v>Double?</v>
      </c>
      <c r="G54" s="15"/>
      <c r="H54" s="11" t="str">
        <f t="shared" si="0"/>
        <v>ADD TowerRedundantHorizontalBoltSize1 decimal(18, 6),</v>
      </c>
      <c r="I54" s="11" t="str">
        <f t="shared" si="1"/>
        <v xml:space="preserve">Private _TowerRedundantHorizontalBoltSize1 As Double? </v>
      </c>
      <c r="J54" s="12" t="str">
        <f t="shared" si="2"/>
        <v xml:space="preserve">     		&lt;Category("TNX Tower Record"), Description(""), DisplayName("Tower Redundant Horizontal Bolt Size 1")&gt;
    		&lt;DataMember()&gt; Public Property TowerRedundantHorizontalBoltSize1() As Double?
        			Get
            				Return Me._TowerRedundantHorizontalBoltSize1
        			End Get
        			Set
            				Me._TowerRedundantHorizontalBoltSize1 = Value
        			End Set
    		End Property</v>
      </c>
      <c r="K54" s="11" t="str">
        <f>"Me."&amp;A54&amp; " = " &amp; VLOOKUP(C54,Sheet8!A:D,4,FALSE)&amp;"(recRow.Item("""&amp;A54 &amp;""")" &amp; IF(C54="Number",",6","")&amp;")"</f>
        <v>Me.TowerRedundantHorizontalBoltSize1 = DBtoNullableDec(recRow.Item("TowerRedundantHorizontalBoltSize1"),6)</v>
      </c>
      <c r="L54" s="11" t="str">
        <f t="shared" si="3"/>
        <v>insertString = insertString.AddtoDBString(Me.TowerRedundantHorizontalBoltSize1.ToString)</v>
      </c>
      <c r="M54" s="11" t="str">
        <f t="shared" si="4"/>
        <v>Equals = If(Me.TowerRedundantHorizontalBoltSize1.CheckChange(otherToCompare.TowerRedundantHorizontalBoltSize1, changes, categoryName, "Tower Redundant Horizontal Bolt Size 1"), Equals, False)</v>
      </c>
      <c r="N54" s="12" t="str">
        <f t="shared" si="5"/>
        <v xml:space="preserve"> 	Case tnxVar.Equals("TowerRedundantHorizontalBoltSize1")
                            Try
                                Me.geometry.baseStructure(recIndex).TowerRedundantHorizontalBoltSize1 = tnxValue
                            Catch ex As Exception
                                Debug.Print("Error parsing TNX variable: " &amp; tnxVar)
                            End Try</v>
      </c>
      <c r="O54" s="11" t="str">
        <f t="shared" si="6"/>
        <v>newERIList.Add("TowerRedundantHorizontalBoltSize1=" &amp; Me.settings.USUnits.Properties.convertToERIUnits( .TowerRedundantHorizontalBoltSize1))</v>
      </c>
      <c r="P54" s="11" t="str">
        <f t="shared" si="7"/>
        <v>SQLInsertValues = SQLInsertValues.AddtoDBString(Me.TowerRedundantHorizontalBoltSize1.NullableToString.FormatDBValue)</v>
      </c>
      <c r="Q54" s="11" t="str">
        <f t="shared" si="8"/>
        <v>SQLInsertFields = SQLInsertFields.AddtoDBString("TowerRedundantHorizontalBoltSize1")</v>
      </c>
      <c r="R54" s="11" t="str">
        <f t="shared" si="9"/>
        <v>SQLUpdateFieldsandValues = SQLUpdateFieldsandValues.AddtoDBString("TowerRedundantHorizontalBoltSize1 = " &amp; Me.TowerRedundantHorizontalBoltSize1.NullableToString.FormatDBValue)</v>
      </c>
      <c r="S54" s="10" t="s">
        <v>286</v>
      </c>
    </row>
    <row r="55" spans="1:19" ht="150" x14ac:dyDescent="0.25">
      <c r="A55" s="11" t="s">
        <v>576</v>
      </c>
      <c r="B55" s="11" t="str" cm="1">
        <f t="array" ref="B55">Addspaces(A55)</f>
        <v>Tower Redundant Horizontal Num Bolts 1</v>
      </c>
      <c r="C55" s="15" t="s">
        <v>1234</v>
      </c>
      <c r="D55" s="13" t="str">
        <f>VLOOKUP(C55,Sheet8!A:C,2,FALSE)</f>
        <v>int</v>
      </c>
      <c r="E55" s="15"/>
      <c r="F55" s="13" t="str">
        <f>VLOOKUP(C55,Sheet8!A:C,3,FALSE)</f>
        <v>Integer?</v>
      </c>
      <c r="G55" s="15"/>
      <c r="H55" s="11" t="str">
        <f t="shared" si="0"/>
        <v>ADD TowerRedundantHorizontalNumBolts1 int,</v>
      </c>
      <c r="I55" s="11" t="str">
        <f t="shared" si="1"/>
        <v xml:space="preserve">Private _TowerRedundantHorizontalNumBolts1 As Integer? </v>
      </c>
      <c r="J55" s="12" t="str">
        <f t="shared" si="2"/>
        <v xml:space="preserve">     		&lt;Category("TNX Tower Record"), Description(""), DisplayName("Tower Redundant Horizontal Num Bolts 1")&gt;
    		&lt;DataMember()&gt; Public Property TowerRedundantHorizontalNumBolts1() As Integer?
        			Get
            				Return Me._TowerRedundantHorizontalNumBolts1
        			End Get
        			Set
            				Me._TowerRedundantHorizontalNumBolts1 = Value
        			End Set
    		End Property</v>
      </c>
      <c r="K55" s="11" t="str">
        <f>"Me."&amp;A55&amp; " = " &amp; VLOOKUP(C55,Sheet8!A:D,4,FALSE)&amp;"(recRow.Item("""&amp;A55 &amp;""")" &amp; IF(C55="Number",",6","")&amp;")"</f>
        <v>Me.TowerRedundantHorizontalNumBolts1 = DBtoNullableInt(recRow.Item("TowerRedundantHorizontalNumBolts1"))</v>
      </c>
      <c r="L55" s="11" t="str">
        <f t="shared" si="3"/>
        <v>insertString = insertString.AddtoDBString(Me.TowerRedundantHorizontalNumBolts1.ToString)</v>
      </c>
      <c r="M55" s="11" t="str">
        <f t="shared" si="4"/>
        <v>Equals = If(Me.TowerRedundantHorizontalNumBolts1.CheckChange(otherToCompare.TowerRedundantHorizontalNumBolts1, changes, categoryName, "Tower Redundant Horizontal Num Bolts 1"), Equals, False)</v>
      </c>
      <c r="N55" s="12" t="str">
        <f t="shared" si="5"/>
        <v xml:space="preserve"> 	Case tnxVar.Equals("TowerRedundantHorizontalNumBolts1")
                            Try
                                Me.geometry.baseStructure(recIndex).TowerRedundantHorizontalNumBolts1 = tnxValue
                            Catch ex As Exception
                                Debug.Print("Error parsing TNX variable: " &amp; tnxVar)
                            End Try</v>
      </c>
      <c r="O55" s="11" t="str">
        <f t="shared" si="6"/>
        <v>newERIList.Add("TowerRedundantHorizontalNumBolts1=" &amp;  .TowerRedundantHorizontalNumBolts1)</v>
      </c>
      <c r="P55" s="11" t="str">
        <f t="shared" si="7"/>
        <v>SQLInsertValues = SQLInsertValues.AddtoDBString(Me.TowerRedundantHorizontalNumBolts1.NullableToString.FormatDBValue)</v>
      </c>
      <c r="Q55" s="11" t="str">
        <f t="shared" si="8"/>
        <v>SQLInsertFields = SQLInsertFields.AddtoDBString("TowerRedundantHorizontalNumBolts1")</v>
      </c>
      <c r="R55" s="11" t="str">
        <f t="shared" si="9"/>
        <v>SQLUpdateFieldsandValues = SQLUpdateFieldsandValues.AddtoDBString("TowerRedundantHorizontalNumBolts1 = " &amp; Me.TowerRedundantHorizontalNumBolts1.NullableToString.FormatDBValue)</v>
      </c>
      <c r="S55" s="10" t="s">
        <v>286</v>
      </c>
    </row>
    <row r="56" spans="1:19" ht="165" x14ac:dyDescent="0.25">
      <c r="A56" s="11" t="s">
        <v>577</v>
      </c>
      <c r="B56" s="11" t="str" cm="1">
        <f t="array" ref="B56">Addspaces(A56)</f>
        <v>Tower Redundant Horizontal Bolt Edge Distance 1</v>
      </c>
      <c r="C56" s="15" t="s">
        <v>1225</v>
      </c>
      <c r="D56" s="13" t="str">
        <f>VLOOKUP(C56,Sheet8!A:C,2,FALSE)</f>
        <v>decimal(18, 6)</v>
      </c>
      <c r="E56" s="15"/>
      <c r="F56" s="13" t="str">
        <f>VLOOKUP(C56,Sheet8!A:C,3,FALSE)</f>
        <v>Double?</v>
      </c>
      <c r="G56" s="15"/>
      <c r="H56" s="11" t="str">
        <f t="shared" si="0"/>
        <v>ADD TowerRedundantHorizontalBoltEdgeDistance1 decimal(18, 6),</v>
      </c>
      <c r="I56" s="11" t="str">
        <f t="shared" si="1"/>
        <v xml:space="preserve">Private _TowerRedundantHorizontalBoltEdgeDistance1 As Double? </v>
      </c>
      <c r="J56" s="12" t="str">
        <f t="shared" si="2"/>
        <v xml:space="preserve">     		&lt;Category("TNX Tower Record"), Description(""), DisplayName("Tower Redundant Horizontal Bolt Edge Distance 1")&gt;
    		&lt;DataMember()&gt; Public Property TowerRedundantHorizontalBoltEdgeDistance1() As Double?
        			Get
            				Return Me._TowerRedundantHorizontalBoltEdgeDistance1
        			End Get
        			Set
            				Me._TowerRedundantHorizontalBoltEdgeDistance1 = Value
        			End Set
    		End Property</v>
      </c>
      <c r="K56" s="11" t="str">
        <f>"Me."&amp;A56&amp; " = " &amp; VLOOKUP(C56,Sheet8!A:D,4,FALSE)&amp;"(recRow.Item("""&amp;A56 &amp;""")" &amp; IF(C56="Number",",6","")&amp;")"</f>
        <v>Me.TowerRedundantHorizontalBoltEdgeDistance1 = DBtoNullableDec(recRow.Item("TowerRedundantHorizontalBoltEdgeDistance1"),6)</v>
      </c>
      <c r="L56" s="11" t="str">
        <f t="shared" si="3"/>
        <v>insertString = insertString.AddtoDBString(Me.TowerRedundantHorizontalBoltEdgeDistance1.ToString)</v>
      </c>
      <c r="M56" s="11" t="str">
        <f t="shared" si="4"/>
        <v>Equals = If(Me.TowerRedundantHorizontalBoltEdgeDistance1.CheckChange(otherToCompare.TowerRedundantHorizontalBoltEdgeDistance1, changes, categoryName, "Tower Redundant Horizontal Bolt Edge Distance 1"), Equals, False)</v>
      </c>
      <c r="N56" s="12" t="str">
        <f t="shared" si="5"/>
        <v xml:space="preserve"> 	Case tnxVar.Equals("TowerRedundantHorizontalBoltEdgeDistance1")
                            Try
                                Me.geometry.baseStructure(recIndex).TowerRedundantHorizontalBoltEdgeDistance1 = tnxValue
                            Catch ex As Exception
                                Debug.Print("Error parsing TNX variable: " &amp; tnxVar)
                            End Try</v>
      </c>
      <c r="O56" s="11" t="str">
        <f t="shared" si="6"/>
        <v>newERIList.Add("TowerRedundantHorizontalBoltEdgeDistance1=" &amp; Me.settings.USUnits.Properties.convertToERIUnits( .TowerRedundantHorizontalBoltEdgeDistance1))</v>
      </c>
      <c r="P56" s="11" t="str">
        <f t="shared" si="7"/>
        <v>SQLInsertValues = SQLInsertValues.AddtoDBString(Me.TowerRedundantHorizontalBoltEdgeDistance1.NullableToString.FormatDBValue)</v>
      </c>
      <c r="Q56" s="11" t="str">
        <f t="shared" si="8"/>
        <v>SQLInsertFields = SQLInsertFields.AddtoDBString("TowerRedundantHorizontalBoltEdgeDistance1")</v>
      </c>
      <c r="R56" s="11" t="str">
        <f t="shared" si="9"/>
        <v>SQLUpdateFieldsandValues = SQLUpdateFieldsandValues.AddtoDBString("TowerRedundantHorizontalBoltEdgeDistance1 = " &amp; Me.TowerRedundantHorizontalBoltEdgeDistance1.NullableToString.FormatDBValue)</v>
      </c>
      <c r="S56" s="10" t="s">
        <v>286</v>
      </c>
    </row>
    <row r="57" spans="1:19" ht="165" x14ac:dyDescent="0.25">
      <c r="A57" s="11" t="s">
        <v>578</v>
      </c>
      <c r="B57" s="11" t="str" cm="1">
        <f t="array" ref="B57">Addspaces(A57)</f>
        <v>Tower Redundant Horizontal Gage G 1 Distance 1</v>
      </c>
      <c r="C57" s="15" t="s">
        <v>1225</v>
      </c>
      <c r="D57" s="13" t="str">
        <f>VLOOKUP(C57,Sheet8!A:C,2,FALSE)</f>
        <v>decimal(18, 6)</v>
      </c>
      <c r="E57" s="15"/>
      <c r="F57" s="13" t="str">
        <f>VLOOKUP(C57,Sheet8!A:C,3,FALSE)</f>
        <v>Double?</v>
      </c>
      <c r="G57" s="15"/>
      <c r="H57" s="11" t="str">
        <f t="shared" si="0"/>
        <v>ADD TowerRedundantHorizontalGageG1Distance1 decimal(18, 6),</v>
      </c>
      <c r="I57" s="11" t="str">
        <f t="shared" si="1"/>
        <v xml:space="preserve">Private _TowerRedundantHorizontalGageG1Distance1 As Double? </v>
      </c>
      <c r="J57" s="12" t="str">
        <f t="shared" si="2"/>
        <v xml:space="preserve">     		&lt;Category("TNX Tower Record"), Description(""), DisplayName("Tower Redundant Horizontal Gage G 1 Distance 1")&gt;
    		&lt;DataMember()&gt; Public Property TowerRedundantHorizontalGageG1Distance1() As Double?
        			Get
            				Return Me._TowerRedundantHorizontalGageG1Distance1
        			End Get
        			Set
            				Me._TowerRedundantHorizontalGageG1Distance1 = Value
        			End Set
    		End Property</v>
      </c>
      <c r="K57" s="11" t="str">
        <f>"Me."&amp;A57&amp; " = " &amp; VLOOKUP(C57,Sheet8!A:D,4,FALSE)&amp;"(recRow.Item("""&amp;A57 &amp;""")" &amp; IF(C57="Number",",6","")&amp;")"</f>
        <v>Me.TowerRedundantHorizontalGageG1Distance1 = DBtoNullableDec(recRow.Item("TowerRedundantHorizontalGageG1Distance1"),6)</v>
      </c>
      <c r="L57" s="11" t="str">
        <f t="shared" si="3"/>
        <v>insertString = insertString.AddtoDBString(Me.TowerRedundantHorizontalGageG1Distance1.ToString)</v>
      </c>
      <c r="M57" s="11" t="str">
        <f t="shared" si="4"/>
        <v>Equals = If(Me.TowerRedundantHorizontalGageG1Distance1.CheckChange(otherToCompare.TowerRedundantHorizontalGageG1Distance1, changes, categoryName, "Tower Redundant Horizontal Gage G 1 Distance 1"), Equals, False)</v>
      </c>
      <c r="N57" s="12" t="str">
        <f t="shared" si="5"/>
        <v xml:space="preserve"> 	Case tnxVar.Equals("TowerRedundantHorizontalGageG1Distance1")
                            Try
                                Me.geometry.baseStructure(recIndex).TowerRedundantHorizontalGageG1Distance1 = tnxValue
                            Catch ex As Exception
                                Debug.Print("Error parsing TNX variable: " &amp; tnxVar)
                            End Try</v>
      </c>
      <c r="O57" s="11" t="str">
        <f t="shared" si="6"/>
        <v>newERIList.Add("TowerRedundantHorizontalGageG1Distance1=" &amp; Me.settings.USUnits.Properties.convertToERIUnits( .TowerRedundantHorizontalGageG1Distance1))</v>
      </c>
      <c r="P57" s="11" t="str">
        <f t="shared" si="7"/>
        <v>SQLInsertValues = SQLInsertValues.AddtoDBString(Me.TowerRedundantHorizontalGageG1Distance1.NullableToString.FormatDBValue)</v>
      </c>
      <c r="Q57" s="11" t="str">
        <f t="shared" si="8"/>
        <v>SQLInsertFields = SQLInsertFields.AddtoDBString("TowerRedundantHorizontalGageG1Distance1")</v>
      </c>
      <c r="R57" s="11" t="str">
        <f t="shared" si="9"/>
        <v>SQLUpdateFieldsandValues = SQLUpdateFieldsandValues.AddtoDBString("TowerRedundantHorizontalGageG1Distance1 = " &amp; Me.TowerRedundantHorizontalGageG1Distance1.NullableToString.FormatDBValue)</v>
      </c>
      <c r="S57" s="10" t="s">
        <v>286</v>
      </c>
    </row>
    <row r="58" spans="1:19" ht="165" x14ac:dyDescent="0.25">
      <c r="A58" s="11" t="s">
        <v>579</v>
      </c>
      <c r="B58" s="11" t="str" cm="1">
        <f t="array" ref="B58">Addspaces(A58)</f>
        <v>Tower Redundant Horizontal Net Width Deduct 1</v>
      </c>
      <c r="C58" s="15" t="s">
        <v>1225</v>
      </c>
      <c r="D58" s="13" t="str">
        <f>VLOOKUP(C58,Sheet8!A:C,2,FALSE)</f>
        <v>decimal(18, 6)</v>
      </c>
      <c r="E58" s="15"/>
      <c r="F58" s="13" t="str">
        <f>VLOOKUP(C58,Sheet8!A:C,3,FALSE)</f>
        <v>Double?</v>
      </c>
      <c r="G58" s="15"/>
      <c r="H58" s="11" t="str">
        <f t="shared" si="0"/>
        <v>ADD TowerRedundantHorizontalNetWidthDeduct1 decimal(18, 6),</v>
      </c>
      <c r="I58" s="11" t="str">
        <f t="shared" si="1"/>
        <v xml:space="preserve">Private _TowerRedundantHorizontalNetWidthDeduct1 As Double? </v>
      </c>
      <c r="J58" s="12" t="str">
        <f t="shared" si="2"/>
        <v xml:space="preserve">     		&lt;Category("TNX Tower Record"), Description(""), DisplayName("Tower Redundant Horizontal Net Width Deduct 1")&gt;
    		&lt;DataMember()&gt; Public Property TowerRedundantHorizontalNetWidthDeduct1() As Double?
        			Get
            				Return Me._TowerRedundantHorizontalNetWidthDeduct1
        			End Get
        			Set
            				Me._TowerRedundantHorizontalNetWidthDeduct1 = Value
        			End Set
    		End Property</v>
      </c>
      <c r="K58" s="11" t="str">
        <f>"Me."&amp;A58&amp; " = " &amp; VLOOKUP(C58,Sheet8!A:D,4,FALSE)&amp;"(recRow.Item("""&amp;A58 &amp;""")" &amp; IF(C58="Number",",6","")&amp;")"</f>
        <v>Me.TowerRedundantHorizontalNetWidthDeduct1 = DBtoNullableDec(recRow.Item("TowerRedundantHorizontalNetWidthDeduct1"),6)</v>
      </c>
      <c r="L58" s="11" t="str">
        <f t="shared" si="3"/>
        <v>insertString = insertString.AddtoDBString(Me.TowerRedundantHorizontalNetWidthDeduct1.ToString)</v>
      </c>
      <c r="M58" s="11" t="str">
        <f t="shared" si="4"/>
        <v>Equals = If(Me.TowerRedundantHorizontalNetWidthDeduct1.CheckChange(otherToCompare.TowerRedundantHorizontalNetWidthDeduct1, changes, categoryName, "Tower Redundant Horizontal Net Width Deduct 1"), Equals, False)</v>
      </c>
      <c r="N58" s="12" t="str">
        <f t="shared" si="5"/>
        <v xml:space="preserve"> 	Case tnxVar.Equals("TowerRedundantHorizontalNetWidthDeduct1")
                            Try
                                Me.geometry.baseStructure(recIndex).TowerRedundantHorizontalNetWidthDeduct1 = tnxValue
                            Catch ex As Exception
                                Debug.Print("Error parsing TNX variable: " &amp; tnxVar)
                            End Try</v>
      </c>
      <c r="O58" s="11" t="str">
        <f t="shared" si="6"/>
        <v>newERIList.Add("TowerRedundantHorizontalNetWidthDeduct1=" &amp; Me.settings.USUnits.Properties.convertToERIUnits( .TowerRedundantHorizontalNetWidthDeduct1))</v>
      </c>
      <c r="P58" s="11" t="str">
        <f t="shared" si="7"/>
        <v>SQLInsertValues = SQLInsertValues.AddtoDBString(Me.TowerRedundantHorizontalNetWidthDeduct1.NullableToString.FormatDBValue)</v>
      </c>
      <c r="Q58" s="11" t="str">
        <f t="shared" si="8"/>
        <v>SQLInsertFields = SQLInsertFields.AddtoDBString("TowerRedundantHorizontalNetWidthDeduct1")</v>
      </c>
      <c r="R58" s="11" t="str">
        <f t="shared" si="9"/>
        <v>SQLUpdateFieldsandValues = SQLUpdateFieldsandValues.AddtoDBString("TowerRedundantHorizontalNetWidthDeduct1 = " &amp; Me.TowerRedundantHorizontalNetWidthDeduct1.NullableToString.FormatDBValue)</v>
      </c>
      <c r="S58" s="10" t="s">
        <v>286</v>
      </c>
    </row>
    <row r="59" spans="1:19" ht="150" x14ac:dyDescent="0.25">
      <c r="A59" s="11" t="s">
        <v>580</v>
      </c>
      <c r="B59" s="11" t="str" cm="1">
        <f t="array" ref="B59">Addspaces(A59)</f>
        <v>Tower Redundant Horizontal U Factor 1</v>
      </c>
      <c r="C59" s="15" t="s">
        <v>1225</v>
      </c>
      <c r="D59" s="13" t="str">
        <f>VLOOKUP(C59,Sheet8!A:C,2,FALSE)</f>
        <v>decimal(18, 6)</v>
      </c>
      <c r="E59" s="15"/>
      <c r="F59" s="13" t="str">
        <f>VLOOKUP(C59,Sheet8!A:C,3,FALSE)</f>
        <v>Double?</v>
      </c>
      <c r="G59" s="15"/>
      <c r="H59" s="11" t="str">
        <f t="shared" si="0"/>
        <v>ADD TowerRedundantHorizontalUFactor1 decimal(18, 6),</v>
      </c>
      <c r="I59" s="11" t="str">
        <f t="shared" si="1"/>
        <v xml:space="preserve">Private _TowerRedundantHorizontalUFactor1 As Double? </v>
      </c>
      <c r="J59" s="12" t="str">
        <f t="shared" si="2"/>
        <v xml:space="preserve">     		&lt;Category("TNX Tower Record"), Description(""), DisplayName("Tower Redundant Horizontal U Factor 1")&gt;
    		&lt;DataMember()&gt; Public Property TowerRedundantHorizontalUFactor1() As Double?
        			Get
            				Return Me._TowerRedundantHorizontalUFactor1
        			End Get
        			Set
            				Me._TowerRedundantHorizontalUFactor1 = Value
        			End Set
    		End Property</v>
      </c>
      <c r="K59" s="11" t="str">
        <f>"Me."&amp;A59&amp; " = " &amp; VLOOKUP(C59,Sheet8!A:D,4,FALSE)&amp;"(recRow.Item("""&amp;A59 &amp;""")" &amp; IF(C59="Number",",6","")&amp;")"</f>
        <v>Me.TowerRedundantHorizontalUFactor1 = DBtoNullableDec(recRow.Item("TowerRedundantHorizontalUFactor1"),6)</v>
      </c>
      <c r="L59" s="11" t="str">
        <f t="shared" si="3"/>
        <v>insertString = insertString.AddtoDBString(Me.TowerRedundantHorizontalUFactor1.ToString)</v>
      </c>
      <c r="M59" s="11" t="str">
        <f t="shared" si="4"/>
        <v>Equals = If(Me.TowerRedundantHorizontalUFactor1.CheckChange(otherToCompare.TowerRedundantHorizontalUFactor1, changes, categoryName, "Tower Redundant Horizontal U Factor 1"), Equals, False)</v>
      </c>
      <c r="N59" s="12" t="str">
        <f t="shared" si="5"/>
        <v xml:space="preserve"> 	Case tnxVar.Equals("TowerRedundantHorizontalUFactor1")
                            Try
                                Me.geometry.baseStructure(recIndex).TowerRedundantHorizontalUFactor1 = tnxValue
                            Catch ex As Exception
                                Debug.Print("Error parsing TNX variable: " &amp; tnxVar)
                            End Try</v>
      </c>
      <c r="O59" s="11" t="str">
        <f t="shared" si="6"/>
        <v>newERIList.Add("TowerRedundantHorizontalUFactor1=" &amp; Me.settings.USUnits.Properties.convertToERIUnits( .TowerRedundantHorizontalUFactor1))</v>
      </c>
      <c r="P59" s="11" t="str">
        <f t="shared" si="7"/>
        <v>SQLInsertValues = SQLInsertValues.AddtoDBString(Me.TowerRedundantHorizontalUFactor1.NullableToString.FormatDBValue)</v>
      </c>
      <c r="Q59" s="11" t="str">
        <f t="shared" si="8"/>
        <v>SQLInsertFields = SQLInsertFields.AddtoDBString("TowerRedundantHorizontalUFactor1")</v>
      </c>
      <c r="R59" s="11" t="str">
        <f t="shared" si="9"/>
        <v>SQLUpdateFieldsandValues = SQLUpdateFieldsandValues.AddtoDBString("TowerRedundantHorizontalUFactor1 = " &amp; Me.TowerRedundantHorizontalUFactor1.NullableToString.FormatDBValue)</v>
      </c>
      <c r="S59" s="10" t="s">
        <v>286</v>
      </c>
    </row>
    <row r="60" spans="1:19" ht="150" x14ac:dyDescent="0.25">
      <c r="A60" s="11" t="s">
        <v>581</v>
      </c>
      <c r="B60" s="11" t="str" cm="1">
        <f t="array" ref="B60">Addspaces(A60)</f>
        <v>Tower Redundant Horizontal Bolt Grade 2</v>
      </c>
      <c r="C60" s="15" t="s">
        <v>1224</v>
      </c>
      <c r="D60" s="13" t="str">
        <f>VLOOKUP(C60,Sheet8!A:C,2,FALSE)</f>
        <v>varchar</v>
      </c>
      <c r="E60" s="15">
        <v>100</v>
      </c>
      <c r="F60" s="13" t="str">
        <f>VLOOKUP(C60,Sheet8!A:C,3,FALSE)</f>
        <v>String</v>
      </c>
      <c r="G60" s="15"/>
      <c r="H60" s="11" t="str">
        <f t="shared" si="0"/>
        <v>ADD TowerRedundantHorizontalBoltGrade2 varchar(100),</v>
      </c>
      <c r="I60" s="11" t="str">
        <f t="shared" si="1"/>
        <v xml:space="preserve">Private _TowerRedundantHorizontalBoltGrade2 As String </v>
      </c>
      <c r="J60" s="12" t="str">
        <f t="shared" si="2"/>
        <v xml:space="preserve">     		&lt;Category("TNX Tower Record"), Description(""), DisplayName("Tower Redundant Horizontal Bolt Grade 2")&gt;
    		&lt;DataMember()&gt; Public Property TowerRedundantHorizontalBoltGrade2() As String
        			Get
            				Return Me._TowerRedundantHorizontalBoltGrade2
        			End Get
        			Set
            				Me._TowerRedundantHorizontalBoltGrade2 = Value
        			End Set
    		End Property</v>
      </c>
      <c r="K60" s="11" t="str">
        <f>"Me."&amp;A60&amp; " = " &amp; VLOOKUP(C60,Sheet8!A:D,4,FALSE)&amp;"(recRow.Item("""&amp;A60 &amp;""")" &amp; IF(C60="Number",",6","")&amp;")"</f>
        <v>Me.TowerRedundantHorizontalBoltGrade2 = DBtoStr(recRow.Item("TowerRedundantHorizontalBoltGrade2"))</v>
      </c>
      <c r="L60" s="11" t="str">
        <f t="shared" si="3"/>
        <v>insertString = insertString.AddtoDBString(Me.TowerRedundantHorizontalBoltGrade2.ToString)</v>
      </c>
      <c r="M60" s="11" t="str">
        <f t="shared" si="4"/>
        <v>Equals = If(Me.TowerRedundantHorizontalBoltGrade2.CheckChange(otherToCompare.TowerRedundantHorizontalBoltGrade2, changes, categoryName, "Tower Redundant Horizontal Bolt Grade 2"), Equals, False)</v>
      </c>
      <c r="N60" s="12" t="str">
        <f t="shared" si="5"/>
        <v xml:space="preserve"> 	Case tnxVar.Equals("TowerRedundantHorizontalBoltGrade2")
                            Try
                                Me.geometry.baseStructure(recIndex).TowerRedundantHorizontalBoltGrade2 = tnxValue
                            Catch ex As Exception
                                Debug.Print("Error parsing TNX variable: " &amp; tnxVar)
                            End Try</v>
      </c>
      <c r="O60" s="11" t="str">
        <f t="shared" si="6"/>
        <v>newERIList.Add("TowerRedundantHorizontalBoltGrade2=" &amp;  .TowerRedundantHorizontalBoltGrade2)</v>
      </c>
      <c r="P60" s="11" t="str">
        <f t="shared" si="7"/>
        <v>SQLInsertValues = SQLInsertValues.AddtoDBString(Me.TowerRedundantHorizontalBoltGrade2.NullableToString.FormatDBValue)</v>
      </c>
      <c r="Q60" s="11" t="str">
        <f t="shared" si="8"/>
        <v>SQLInsertFields = SQLInsertFields.AddtoDBString("TowerRedundantHorizontalBoltGrade2")</v>
      </c>
      <c r="R60" s="11" t="str">
        <f t="shared" si="9"/>
        <v>SQLUpdateFieldsandValues = SQLUpdateFieldsandValues.AddtoDBString("TowerRedundantHorizontalBoltGrade2 = " &amp; Me.TowerRedundantHorizontalBoltGrade2.NullableToString.FormatDBValue)</v>
      </c>
      <c r="S60" s="10" t="s">
        <v>286</v>
      </c>
    </row>
    <row r="61" spans="1:19" ht="150" x14ac:dyDescent="0.25">
      <c r="A61" s="11" t="s">
        <v>582</v>
      </c>
      <c r="B61" s="11" t="str" cm="1">
        <f t="array" ref="B61">Addspaces(A61)</f>
        <v>Tower Redundant Horizontal Bolt Size 2</v>
      </c>
      <c r="C61" s="15" t="s">
        <v>1225</v>
      </c>
      <c r="D61" s="13" t="str">
        <f>VLOOKUP(C61,Sheet8!A:C,2,FALSE)</f>
        <v>decimal(18, 6)</v>
      </c>
      <c r="E61" s="15"/>
      <c r="F61" s="13" t="str">
        <f>VLOOKUP(C61,Sheet8!A:C,3,FALSE)</f>
        <v>Double?</v>
      </c>
      <c r="G61" s="15"/>
      <c r="H61" s="11" t="str">
        <f t="shared" si="0"/>
        <v>ADD TowerRedundantHorizontalBoltSize2 decimal(18, 6),</v>
      </c>
      <c r="I61" s="11" t="str">
        <f t="shared" si="1"/>
        <v xml:space="preserve">Private _TowerRedundantHorizontalBoltSize2 As Double? </v>
      </c>
      <c r="J61" s="12" t="str">
        <f t="shared" si="2"/>
        <v xml:space="preserve">     		&lt;Category("TNX Tower Record"), Description(""), DisplayName("Tower Redundant Horizontal Bolt Size 2")&gt;
    		&lt;DataMember()&gt; Public Property TowerRedundantHorizontalBoltSize2() As Double?
        			Get
            				Return Me._TowerRedundantHorizontalBoltSize2
        			End Get
        			Set
            				Me._TowerRedundantHorizontalBoltSize2 = Value
        			End Set
    		End Property</v>
      </c>
      <c r="K61" s="11" t="str">
        <f>"Me."&amp;A61&amp; " = " &amp; VLOOKUP(C61,Sheet8!A:D,4,FALSE)&amp;"(recRow.Item("""&amp;A61 &amp;""")" &amp; IF(C61="Number",",6","")&amp;")"</f>
        <v>Me.TowerRedundantHorizontalBoltSize2 = DBtoNullableDec(recRow.Item("TowerRedundantHorizontalBoltSize2"),6)</v>
      </c>
      <c r="L61" s="11" t="str">
        <f t="shared" si="3"/>
        <v>insertString = insertString.AddtoDBString(Me.TowerRedundantHorizontalBoltSize2.ToString)</v>
      </c>
      <c r="M61" s="11" t="str">
        <f t="shared" si="4"/>
        <v>Equals = If(Me.TowerRedundantHorizontalBoltSize2.CheckChange(otherToCompare.TowerRedundantHorizontalBoltSize2, changes, categoryName, "Tower Redundant Horizontal Bolt Size 2"), Equals, False)</v>
      </c>
      <c r="N61" s="12" t="str">
        <f t="shared" si="5"/>
        <v xml:space="preserve"> 	Case tnxVar.Equals("TowerRedundantHorizontalBoltSize2")
                            Try
                                Me.geometry.baseStructure(recIndex).TowerRedundantHorizontalBoltSize2 = tnxValue
                            Catch ex As Exception
                                Debug.Print("Error parsing TNX variable: " &amp; tnxVar)
                            End Try</v>
      </c>
      <c r="O61" s="11" t="str">
        <f t="shared" si="6"/>
        <v>newERIList.Add("TowerRedundantHorizontalBoltSize2=" &amp; Me.settings.USUnits.Properties.convertToERIUnits( .TowerRedundantHorizontalBoltSize2))</v>
      </c>
      <c r="P61" s="11" t="str">
        <f t="shared" si="7"/>
        <v>SQLInsertValues = SQLInsertValues.AddtoDBString(Me.TowerRedundantHorizontalBoltSize2.NullableToString.FormatDBValue)</v>
      </c>
      <c r="Q61" s="11" t="str">
        <f t="shared" si="8"/>
        <v>SQLInsertFields = SQLInsertFields.AddtoDBString("TowerRedundantHorizontalBoltSize2")</v>
      </c>
      <c r="R61" s="11" t="str">
        <f t="shared" si="9"/>
        <v>SQLUpdateFieldsandValues = SQLUpdateFieldsandValues.AddtoDBString("TowerRedundantHorizontalBoltSize2 = " &amp; Me.TowerRedundantHorizontalBoltSize2.NullableToString.FormatDBValue)</v>
      </c>
      <c r="S61" s="10" t="s">
        <v>286</v>
      </c>
    </row>
    <row r="62" spans="1:19" ht="150" x14ac:dyDescent="0.25">
      <c r="A62" s="11" t="s">
        <v>583</v>
      </c>
      <c r="B62" s="11" t="str" cm="1">
        <f t="array" ref="B62">Addspaces(A62)</f>
        <v>Tower Redundant Horizontal Num Bolts 2</v>
      </c>
      <c r="C62" s="15" t="s">
        <v>1234</v>
      </c>
      <c r="D62" s="13" t="str">
        <f>VLOOKUP(C62,Sheet8!A:C,2,FALSE)</f>
        <v>int</v>
      </c>
      <c r="E62" s="15"/>
      <c r="F62" s="13" t="str">
        <f>VLOOKUP(C62,Sheet8!A:C,3,FALSE)</f>
        <v>Integer?</v>
      </c>
      <c r="G62" s="15"/>
      <c r="H62" s="11" t="str">
        <f t="shared" si="0"/>
        <v>ADD TowerRedundantHorizontalNumBolts2 int,</v>
      </c>
      <c r="I62" s="11" t="str">
        <f t="shared" si="1"/>
        <v xml:space="preserve">Private _TowerRedundantHorizontalNumBolts2 As Integer? </v>
      </c>
      <c r="J62" s="12" t="str">
        <f t="shared" si="2"/>
        <v xml:space="preserve">     		&lt;Category("TNX Tower Record"), Description(""), DisplayName("Tower Redundant Horizontal Num Bolts 2")&gt;
    		&lt;DataMember()&gt; Public Property TowerRedundantHorizontalNumBolts2() As Integer?
        			Get
            				Return Me._TowerRedundantHorizontalNumBolts2
        			End Get
        			Set
            				Me._TowerRedundantHorizontalNumBolts2 = Value
        			End Set
    		End Property</v>
      </c>
      <c r="K62" s="11" t="str">
        <f>"Me."&amp;A62&amp; " = " &amp; VLOOKUP(C62,Sheet8!A:D,4,FALSE)&amp;"(recRow.Item("""&amp;A62 &amp;""")" &amp; IF(C62="Number",",6","")&amp;")"</f>
        <v>Me.TowerRedundantHorizontalNumBolts2 = DBtoNullableInt(recRow.Item("TowerRedundantHorizontalNumBolts2"))</v>
      </c>
      <c r="L62" s="11" t="str">
        <f t="shared" si="3"/>
        <v>insertString = insertString.AddtoDBString(Me.TowerRedundantHorizontalNumBolts2.ToString)</v>
      </c>
      <c r="M62" s="11" t="str">
        <f t="shared" si="4"/>
        <v>Equals = If(Me.TowerRedundantHorizontalNumBolts2.CheckChange(otherToCompare.TowerRedundantHorizontalNumBolts2, changes, categoryName, "Tower Redundant Horizontal Num Bolts 2"), Equals, False)</v>
      </c>
      <c r="N62" s="12" t="str">
        <f t="shared" si="5"/>
        <v xml:space="preserve"> 	Case tnxVar.Equals("TowerRedundantHorizontalNumBolts2")
                            Try
                                Me.geometry.baseStructure(recIndex).TowerRedundantHorizontalNumBolts2 = tnxValue
                            Catch ex As Exception
                                Debug.Print("Error parsing TNX variable: " &amp; tnxVar)
                            End Try</v>
      </c>
      <c r="O62" s="11" t="str">
        <f t="shared" si="6"/>
        <v>newERIList.Add("TowerRedundantHorizontalNumBolts2=" &amp;  .TowerRedundantHorizontalNumBolts2)</v>
      </c>
      <c r="P62" s="11" t="str">
        <f t="shared" si="7"/>
        <v>SQLInsertValues = SQLInsertValues.AddtoDBString(Me.TowerRedundantHorizontalNumBolts2.NullableToString.FormatDBValue)</v>
      </c>
      <c r="Q62" s="11" t="str">
        <f t="shared" si="8"/>
        <v>SQLInsertFields = SQLInsertFields.AddtoDBString("TowerRedundantHorizontalNumBolts2")</v>
      </c>
      <c r="R62" s="11" t="str">
        <f t="shared" si="9"/>
        <v>SQLUpdateFieldsandValues = SQLUpdateFieldsandValues.AddtoDBString("TowerRedundantHorizontalNumBolts2 = " &amp; Me.TowerRedundantHorizontalNumBolts2.NullableToString.FormatDBValue)</v>
      </c>
      <c r="S62" s="10" t="s">
        <v>286</v>
      </c>
    </row>
    <row r="63" spans="1:19" ht="165" x14ac:dyDescent="0.25">
      <c r="A63" s="11" t="s">
        <v>584</v>
      </c>
      <c r="B63" s="11" t="str" cm="1">
        <f t="array" ref="B63">Addspaces(A63)</f>
        <v>Tower Redundant Horizontal Bolt Edge Distance 2</v>
      </c>
      <c r="C63" s="15" t="s">
        <v>1225</v>
      </c>
      <c r="D63" s="13" t="str">
        <f>VLOOKUP(C63,Sheet8!A:C,2,FALSE)</f>
        <v>decimal(18, 6)</v>
      </c>
      <c r="E63" s="15"/>
      <c r="F63" s="13" t="str">
        <f>VLOOKUP(C63,Sheet8!A:C,3,FALSE)</f>
        <v>Double?</v>
      </c>
      <c r="G63" s="15"/>
      <c r="H63" s="11" t="str">
        <f t="shared" si="0"/>
        <v>ADD TowerRedundantHorizontalBoltEdgeDistance2 decimal(18, 6),</v>
      </c>
      <c r="I63" s="11" t="str">
        <f t="shared" si="1"/>
        <v xml:space="preserve">Private _TowerRedundantHorizontalBoltEdgeDistance2 As Double? </v>
      </c>
      <c r="J63" s="12" t="str">
        <f t="shared" si="2"/>
        <v xml:space="preserve">     		&lt;Category("TNX Tower Record"), Description(""), DisplayName("Tower Redundant Horizontal Bolt Edge Distance 2")&gt;
    		&lt;DataMember()&gt; Public Property TowerRedundantHorizontalBoltEdgeDistance2() As Double?
        			Get
            				Return Me._TowerRedundantHorizontalBoltEdgeDistance2
        			End Get
        			Set
            				Me._TowerRedundantHorizontalBoltEdgeDistance2 = Value
        			End Set
    		End Property</v>
      </c>
      <c r="K63" s="11" t="str">
        <f>"Me."&amp;A63&amp; " = " &amp; VLOOKUP(C63,Sheet8!A:D,4,FALSE)&amp;"(recRow.Item("""&amp;A63 &amp;""")" &amp; IF(C63="Number",",6","")&amp;")"</f>
        <v>Me.TowerRedundantHorizontalBoltEdgeDistance2 = DBtoNullableDec(recRow.Item("TowerRedundantHorizontalBoltEdgeDistance2"),6)</v>
      </c>
      <c r="L63" s="11" t="str">
        <f t="shared" si="3"/>
        <v>insertString = insertString.AddtoDBString(Me.TowerRedundantHorizontalBoltEdgeDistance2.ToString)</v>
      </c>
      <c r="M63" s="11" t="str">
        <f t="shared" si="4"/>
        <v>Equals = If(Me.TowerRedundantHorizontalBoltEdgeDistance2.CheckChange(otherToCompare.TowerRedundantHorizontalBoltEdgeDistance2, changes, categoryName, "Tower Redundant Horizontal Bolt Edge Distance 2"), Equals, False)</v>
      </c>
      <c r="N63" s="12" t="str">
        <f t="shared" si="5"/>
        <v xml:space="preserve"> 	Case tnxVar.Equals("TowerRedundantHorizontalBoltEdgeDistance2")
                            Try
                                Me.geometry.baseStructure(recIndex).TowerRedundantHorizontalBoltEdgeDistance2 = tnxValue
                            Catch ex As Exception
                                Debug.Print("Error parsing TNX variable: " &amp; tnxVar)
                            End Try</v>
      </c>
      <c r="O63" s="11" t="str">
        <f t="shared" si="6"/>
        <v>newERIList.Add("TowerRedundantHorizontalBoltEdgeDistance2=" &amp; Me.settings.USUnits.Properties.convertToERIUnits( .TowerRedundantHorizontalBoltEdgeDistance2))</v>
      </c>
      <c r="P63" s="11" t="str">
        <f t="shared" si="7"/>
        <v>SQLInsertValues = SQLInsertValues.AddtoDBString(Me.TowerRedundantHorizontalBoltEdgeDistance2.NullableToString.FormatDBValue)</v>
      </c>
      <c r="Q63" s="11" t="str">
        <f t="shared" si="8"/>
        <v>SQLInsertFields = SQLInsertFields.AddtoDBString("TowerRedundantHorizontalBoltEdgeDistance2")</v>
      </c>
      <c r="R63" s="11" t="str">
        <f t="shared" si="9"/>
        <v>SQLUpdateFieldsandValues = SQLUpdateFieldsandValues.AddtoDBString("TowerRedundantHorizontalBoltEdgeDistance2 = " &amp; Me.TowerRedundantHorizontalBoltEdgeDistance2.NullableToString.FormatDBValue)</v>
      </c>
      <c r="S63" s="10" t="s">
        <v>286</v>
      </c>
    </row>
    <row r="64" spans="1:19" ht="165" x14ac:dyDescent="0.25">
      <c r="A64" s="11" t="s">
        <v>585</v>
      </c>
      <c r="B64" s="11" t="str" cm="1">
        <f t="array" ref="B64">Addspaces(A64)</f>
        <v>Tower Redundant Horizontal Gage G 1 Distance 2</v>
      </c>
      <c r="C64" s="15" t="s">
        <v>1225</v>
      </c>
      <c r="D64" s="13" t="str">
        <f>VLOOKUP(C64,Sheet8!A:C,2,FALSE)</f>
        <v>decimal(18, 6)</v>
      </c>
      <c r="E64" s="15"/>
      <c r="F64" s="13" t="str">
        <f>VLOOKUP(C64,Sheet8!A:C,3,FALSE)</f>
        <v>Double?</v>
      </c>
      <c r="G64" s="15"/>
      <c r="H64" s="11" t="str">
        <f t="shared" si="0"/>
        <v>ADD TowerRedundantHorizontalGageG1Distance2 decimal(18, 6),</v>
      </c>
      <c r="I64" s="11" t="str">
        <f t="shared" si="1"/>
        <v xml:space="preserve">Private _TowerRedundantHorizontalGageG1Distance2 As Double? </v>
      </c>
      <c r="J64" s="12" t="str">
        <f t="shared" si="2"/>
        <v xml:space="preserve">     		&lt;Category("TNX Tower Record"), Description(""), DisplayName("Tower Redundant Horizontal Gage G 1 Distance 2")&gt;
    		&lt;DataMember()&gt; Public Property TowerRedundantHorizontalGageG1Distance2() As Double?
        			Get
            				Return Me._TowerRedundantHorizontalGageG1Distance2
        			End Get
        			Set
            				Me._TowerRedundantHorizontalGageG1Distance2 = Value
        			End Set
    		End Property</v>
      </c>
      <c r="K64" s="11" t="str">
        <f>"Me."&amp;A64&amp; " = " &amp; VLOOKUP(C64,Sheet8!A:D,4,FALSE)&amp;"(recRow.Item("""&amp;A64 &amp;""")" &amp; IF(C64="Number",",6","")&amp;")"</f>
        <v>Me.TowerRedundantHorizontalGageG1Distance2 = DBtoNullableDec(recRow.Item("TowerRedundantHorizontalGageG1Distance2"),6)</v>
      </c>
      <c r="L64" s="11" t="str">
        <f t="shared" si="3"/>
        <v>insertString = insertString.AddtoDBString(Me.TowerRedundantHorizontalGageG1Distance2.ToString)</v>
      </c>
      <c r="M64" s="11" t="str">
        <f t="shared" si="4"/>
        <v>Equals = If(Me.TowerRedundantHorizontalGageG1Distance2.CheckChange(otherToCompare.TowerRedundantHorizontalGageG1Distance2, changes, categoryName, "Tower Redundant Horizontal Gage G 1 Distance 2"), Equals, False)</v>
      </c>
      <c r="N64" s="12" t="str">
        <f t="shared" si="5"/>
        <v xml:space="preserve"> 	Case tnxVar.Equals("TowerRedundantHorizontalGageG1Distance2")
                            Try
                                Me.geometry.baseStructure(recIndex).TowerRedundantHorizontalGageG1Distance2 = tnxValue
                            Catch ex As Exception
                                Debug.Print("Error parsing TNX variable: " &amp; tnxVar)
                            End Try</v>
      </c>
      <c r="O64" s="11" t="str">
        <f t="shared" si="6"/>
        <v>newERIList.Add("TowerRedundantHorizontalGageG1Distance2=" &amp; Me.settings.USUnits.Properties.convertToERIUnits( .TowerRedundantHorizontalGageG1Distance2))</v>
      </c>
      <c r="P64" s="11" t="str">
        <f t="shared" si="7"/>
        <v>SQLInsertValues = SQLInsertValues.AddtoDBString(Me.TowerRedundantHorizontalGageG1Distance2.NullableToString.FormatDBValue)</v>
      </c>
      <c r="Q64" s="11" t="str">
        <f t="shared" si="8"/>
        <v>SQLInsertFields = SQLInsertFields.AddtoDBString("TowerRedundantHorizontalGageG1Distance2")</v>
      </c>
      <c r="R64" s="11" t="str">
        <f t="shared" si="9"/>
        <v>SQLUpdateFieldsandValues = SQLUpdateFieldsandValues.AddtoDBString("TowerRedundantHorizontalGageG1Distance2 = " &amp; Me.TowerRedundantHorizontalGageG1Distance2.NullableToString.FormatDBValue)</v>
      </c>
      <c r="S64" s="10" t="s">
        <v>286</v>
      </c>
    </row>
    <row r="65" spans="1:19" ht="165" x14ac:dyDescent="0.25">
      <c r="A65" s="11" t="s">
        <v>586</v>
      </c>
      <c r="B65" s="11" t="str" cm="1">
        <f t="array" ref="B65">Addspaces(A65)</f>
        <v>Tower Redundant Horizontal Net Width Deduct 2</v>
      </c>
      <c r="C65" s="15" t="s">
        <v>1225</v>
      </c>
      <c r="D65" s="13" t="str">
        <f>VLOOKUP(C65,Sheet8!A:C,2,FALSE)</f>
        <v>decimal(18, 6)</v>
      </c>
      <c r="E65" s="15"/>
      <c r="F65" s="13" t="str">
        <f>VLOOKUP(C65,Sheet8!A:C,3,FALSE)</f>
        <v>Double?</v>
      </c>
      <c r="G65" s="15"/>
      <c r="H65" s="11" t="str">
        <f t="shared" si="0"/>
        <v>ADD TowerRedundantHorizontalNetWidthDeduct2 decimal(18, 6),</v>
      </c>
      <c r="I65" s="11" t="str">
        <f t="shared" si="1"/>
        <v xml:space="preserve">Private _TowerRedundantHorizontalNetWidthDeduct2 As Double? </v>
      </c>
      <c r="J65" s="12" t="str">
        <f t="shared" si="2"/>
        <v xml:space="preserve">     		&lt;Category("TNX Tower Record"), Description(""), DisplayName("Tower Redundant Horizontal Net Width Deduct 2")&gt;
    		&lt;DataMember()&gt; Public Property TowerRedundantHorizontalNetWidthDeduct2() As Double?
        			Get
            				Return Me._TowerRedundantHorizontalNetWidthDeduct2
        			End Get
        			Set
            				Me._TowerRedundantHorizontalNetWidthDeduct2 = Value
        			End Set
    		End Property</v>
      </c>
      <c r="K65" s="11" t="str">
        <f>"Me."&amp;A65&amp; " = " &amp; VLOOKUP(C65,Sheet8!A:D,4,FALSE)&amp;"(recRow.Item("""&amp;A65 &amp;""")" &amp; IF(C65="Number",",6","")&amp;")"</f>
        <v>Me.TowerRedundantHorizontalNetWidthDeduct2 = DBtoNullableDec(recRow.Item("TowerRedundantHorizontalNetWidthDeduct2"),6)</v>
      </c>
      <c r="L65" s="11" t="str">
        <f t="shared" si="3"/>
        <v>insertString = insertString.AddtoDBString(Me.TowerRedundantHorizontalNetWidthDeduct2.ToString)</v>
      </c>
      <c r="M65" s="11" t="str">
        <f t="shared" si="4"/>
        <v>Equals = If(Me.TowerRedundantHorizontalNetWidthDeduct2.CheckChange(otherToCompare.TowerRedundantHorizontalNetWidthDeduct2, changes, categoryName, "Tower Redundant Horizontal Net Width Deduct 2"), Equals, False)</v>
      </c>
      <c r="N65" s="12" t="str">
        <f t="shared" si="5"/>
        <v xml:space="preserve"> 	Case tnxVar.Equals("TowerRedundantHorizontalNetWidthDeduct2")
                            Try
                                Me.geometry.baseStructure(recIndex).TowerRedundantHorizontalNetWidthDeduct2 = tnxValue
                            Catch ex As Exception
                                Debug.Print("Error parsing TNX variable: " &amp; tnxVar)
                            End Try</v>
      </c>
      <c r="O65" s="11" t="str">
        <f t="shared" si="6"/>
        <v>newERIList.Add("TowerRedundantHorizontalNetWidthDeduct2=" &amp; Me.settings.USUnits.Properties.convertToERIUnits( .TowerRedundantHorizontalNetWidthDeduct2))</v>
      </c>
      <c r="P65" s="11" t="str">
        <f t="shared" si="7"/>
        <v>SQLInsertValues = SQLInsertValues.AddtoDBString(Me.TowerRedundantHorizontalNetWidthDeduct2.NullableToString.FormatDBValue)</v>
      </c>
      <c r="Q65" s="11" t="str">
        <f t="shared" si="8"/>
        <v>SQLInsertFields = SQLInsertFields.AddtoDBString("TowerRedundantHorizontalNetWidthDeduct2")</v>
      </c>
      <c r="R65" s="11" t="str">
        <f t="shared" si="9"/>
        <v>SQLUpdateFieldsandValues = SQLUpdateFieldsandValues.AddtoDBString("TowerRedundantHorizontalNetWidthDeduct2 = " &amp; Me.TowerRedundantHorizontalNetWidthDeduct2.NullableToString.FormatDBValue)</v>
      </c>
      <c r="S65" s="10" t="s">
        <v>286</v>
      </c>
    </row>
    <row r="66" spans="1:19" ht="150" x14ac:dyDescent="0.25">
      <c r="A66" s="11" t="s">
        <v>587</v>
      </c>
      <c r="B66" s="11" t="str" cm="1">
        <f t="array" ref="B66">Addspaces(A66)</f>
        <v>Tower Redundant Horizontal U Factor 2</v>
      </c>
      <c r="C66" s="15" t="s">
        <v>1225</v>
      </c>
      <c r="D66" s="13" t="str">
        <f>VLOOKUP(C66,Sheet8!A:C,2,FALSE)</f>
        <v>decimal(18, 6)</v>
      </c>
      <c r="E66" s="15"/>
      <c r="F66" s="13" t="str">
        <f>VLOOKUP(C66,Sheet8!A:C,3,FALSE)</f>
        <v>Double?</v>
      </c>
      <c r="G66" s="15"/>
      <c r="H66" s="11" t="str">
        <f t="shared" si="0"/>
        <v>ADD TowerRedundantHorizontalUFactor2 decimal(18, 6),</v>
      </c>
      <c r="I66" s="11" t="str">
        <f t="shared" si="1"/>
        <v xml:space="preserve">Private _TowerRedundantHorizontalUFactor2 As Double? </v>
      </c>
      <c r="J66" s="12" t="str">
        <f t="shared" si="2"/>
        <v xml:space="preserve">     		&lt;Category("TNX Tower Record"), Description(""), DisplayName("Tower Redundant Horizontal U Factor 2")&gt;
    		&lt;DataMember()&gt; Public Property TowerRedundantHorizontalUFactor2() As Double?
        			Get
            				Return Me._TowerRedundantHorizontalUFactor2
        			End Get
        			Set
            				Me._TowerRedundantHorizontalUFactor2 = Value
        			End Set
    		End Property</v>
      </c>
      <c r="K66" s="11" t="str">
        <f>"Me."&amp;A66&amp; " = " &amp; VLOOKUP(C66,Sheet8!A:D,4,FALSE)&amp;"(recRow.Item("""&amp;A66 &amp;""")" &amp; IF(C66="Number",",6","")&amp;")"</f>
        <v>Me.TowerRedundantHorizontalUFactor2 = DBtoNullableDec(recRow.Item("TowerRedundantHorizontalUFactor2"),6)</v>
      </c>
      <c r="L66" s="11" t="str">
        <f t="shared" si="3"/>
        <v>insertString = insertString.AddtoDBString(Me.TowerRedundantHorizontalUFactor2.ToString)</v>
      </c>
      <c r="M66" s="11" t="str">
        <f t="shared" si="4"/>
        <v>Equals = If(Me.TowerRedundantHorizontalUFactor2.CheckChange(otherToCompare.TowerRedundantHorizontalUFactor2, changes, categoryName, "Tower Redundant Horizontal U Factor 2"), Equals, False)</v>
      </c>
      <c r="N66" s="12" t="str">
        <f t="shared" si="5"/>
        <v xml:space="preserve"> 	Case tnxVar.Equals("TowerRedundantHorizontalUFactor2")
                            Try
                                Me.geometry.baseStructure(recIndex).TowerRedundantHorizontalUFactor2 = tnxValue
                            Catch ex As Exception
                                Debug.Print("Error parsing TNX variable: " &amp; tnxVar)
                            End Try</v>
      </c>
      <c r="O66" s="11" t="str">
        <f t="shared" si="6"/>
        <v>newERIList.Add("TowerRedundantHorizontalUFactor2=" &amp; Me.settings.USUnits.Properties.convertToERIUnits( .TowerRedundantHorizontalUFactor2))</v>
      </c>
      <c r="P66" s="11" t="str">
        <f t="shared" si="7"/>
        <v>SQLInsertValues = SQLInsertValues.AddtoDBString(Me.TowerRedundantHorizontalUFactor2.NullableToString.FormatDBValue)</v>
      </c>
      <c r="Q66" s="11" t="str">
        <f t="shared" si="8"/>
        <v>SQLInsertFields = SQLInsertFields.AddtoDBString("TowerRedundantHorizontalUFactor2")</v>
      </c>
      <c r="R66" s="11" t="str">
        <f t="shared" si="9"/>
        <v>SQLUpdateFieldsandValues = SQLUpdateFieldsandValues.AddtoDBString("TowerRedundantHorizontalUFactor2 = " &amp; Me.TowerRedundantHorizontalUFactor2.NullableToString.FormatDBValue)</v>
      </c>
      <c r="S66" s="10" t="s">
        <v>286</v>
      </c>
    </row>
    <row r="67" spans="1:19" ht="150" x14ac:dyDescent="0.25">
      <c r="A67" s="11" t="s">
        <v>588</v>
      </c>
      <c r="B67" s="11" t="str" cm="1">
        <f t="array" ref="B67">Addspaces(A67)</f>
        <v>Tower Redundant Horizontal Bolt Grade 3</v>
      </c>
      <c r="C67" s="15" t="s">
        <v>1224</v>
      </c>
      <c r="D67" s="13" t="str">
        <f>VLOOKUP(C67,Sheet8!A:C,2,FALSE)</f>
        <v>varchar</v>
      </c>
      <c r="E67" s="15">
        <v>100</v>
      </c>
      <c r="F67" s="13" t="str">
        <f>VLOOKUP(C67,Sheet8!A:C,3,FALSE)</f>
        <v>String</v>
      </c>
      <c r="G67" s="15"/>
      <c r="H67" s="11" t="str">
        <f t="shared" ref="H67:H130" si="10">"ADD " &amp; A67&amp;" "&amp;D67&amp;IF(E67="","","("&amp;E67&amp;")") &amp; ","</f>
        <v>ADD TowerRedundantHorizontalBoltGrade3 varchar(100),</v>
      </c>
      <c r="I67" s="11" t="str">
        <f t="shared" ref="I67:I130" si="11">"Private _"&amp;A67&amp;" As "&amp;F67&amp;" "</f>
        <v xml:space="preserve">Private _TowerRedundantHorizontalBoltGrade3 As String </v>
      </c>
      <c r="J67" s="12" t="str">
        <f t="shared" ref="J67:J130" si="12">"     		&lt;Category(""TNX Tower Record""), Description(""""), DisplayName("""&amp;B67&amp;""")&gt;
    		&lt;DataMember()&gt; Public Property "&amp;A67&amp;"() As "&amp;F67 &amp;IF(G67,"?","") &amp;"
        			Get
            				Return Me._"&amp;A67&amp;"
        			End Get
        			Set
            				Me._"&amp;A67&amp;" = Value
        			End Set
    		End Property"</f>
        <v xml:space="preserve">     		&lt;Category("TNX Tower Record"), Description(""), DisplayName("Tower Redundant Horizontal Bolt Grade 3")&gt;
    		&lt;DataMember()&gt; Public Property TowerRedundantHorizontalBoltGrade3() As String
        			Get
            				Return Me._TowerRedundantHorizontalBoltGrade3
        			End Get
        			Set
            				Me._TowerRedundantHorizontalBoltGrade3 = Value
        			End Set
    		End Property</v>
      </c>
      <c r="K67" s="11" t="str">
        <f>"Me."&amp;A67&amp; " = " &amp; VLOOKUP(C67,Sheet8!A:D,4,FALSE)&amp;"(recRow.Item("""&amp;A67 &amp;""")" &amp; IF(C67="Number",",6","")&amp;")"</f>
        <v>Me.TowerRedundantHorizontalBoltGrade3 = DBtoStr(recRow.Item("TowerRedundantHorizontalBoltGrade3"))</v>
      </c>
      <c r="L67" s="11" t="str">
        <f t="shared" ref="L67:L130" si="13">"insertString = insertString.AddtoDBString(Me."&amp;A67&amp;".ToString)"</f>
        <v>insertString = insertString.AddtoDBString(Me.TowerRedundantHorizontalBoltGrade3.ToString)</v>
      </c>
      <c r="M67" s="11" t="str">
        <f t="shared" ref="M67:M130" si="14">"Equals = If(Me."&amp;A67&amp;".CheckChange(otherToCompare."&amp;A67&amp;", changes, categoryName, """&amp;B67&amp;"""), Equals, False)"</f>
        <v>Equals = If(Me.TowerRedundantHorizontalBoltGrade3.CheckChange(otherToCompare.TowerRedundantHorizontalBoltGrade3, changes, categoryName, "Tower Redundant Horizontal Bolt Grade 3"), Equals, False)</v>
      </c>
      <c r="N67" s="12" t="str">
        <f t="shared" ref="N67:N130" si="15">" 	Case tnxVar.Equals("""&amp;A67&amp;""")
                            Try
                                Me.geometry.baseStructure(recIndex)."&amp;A67&amp;" = tnxValue
                            Catch ex As Exception
                                Debug.Print(""Error parsing TNX variable: "" &amp; tnxVar)
                            End Try"</f>
        <v xml:space="preserve"> 	Case tnxVar.Equals("TowerRedundantHorizontalBoltGrade3")
                            Try
                                Me.geometry.baseStructure(recIndex).TowerRedundantHorizontalBoltGrade3 = tnxValue
                            Catch ex As Exception
                                Debug.Print("Error parsing TNX variable: " &amp; tnxVar)
                            End Try</v>
      </c>
      <c r="O67" s="11" t="str">
        <f t="shared" ref="O67:O130" si="16">"newERIList.Add("""&amp;A67&amp;"="" &amp; " &amp; IF(C67="Number","Me.settings.USUnits.Properties.convertToERIUnits(","") &amp; " ."&amp;A67&amp;")"&amp; IF(C67="Number",")","")</f>
        <v>newERIList.Add("TowerRedundantHorizontalBoltGrade3=" &amp;  .TowerRedundantHorizontalBoltGrade3)</v>
      </c>
      <c r="P67" s="11" t="str">
        <f t="shared" ref="P67:P130" si="17">"SQLInsertValues = SQLInsertValues.AddtoDBString(Me."&amp;A67&amp;".NullableToString.FormatDBValue)"</f>
        <v>SQLInsertValues = SQLInsertValues.AddtoDBString(Me.TowerRedundantHorizontalBoltGrade3.NullableToString.FormatDBValue)</v>
      </c>
      <c r="Q67" s="11" t="str">
        <f t="shared" ref="Q67:Q130" si="18">"SQLInsertFields = SQLInsertFields.AddtoDBString("""&amp;A67&amp;""")"</f>
        <v>SQLInsertFields = SQLInsertFields.AddtoDBString("TowerRedundantHorizontalBoltGrade3")</v>
      </c>
      <c r="R67" s="11" t="str">
        <f t="shared" ref="R67:R130" si="19">"SQLUpdateFieldsandValues = SQLUpdateFieldsandValues.AddtoDBString("""&amp;A67&amp;" = "" &amp; Me."&amp;A67&amp;".NullableToString.FormatDBValue)"</f>
        <v>SQLUpdateFieldsandValues = SQLUpdateFieldsandValues.AddtoDBString("TowerRedundantHorizontalBoltGrade3 = " &amp; Me.TowerRedundantHorizontalBoltGrade3.NullableToString.FormatDBValue)</v>
      </c>
      <c r="S67" s="10" t="s">
        <v>286</v>
      </c>
    </row>
    <row r="68" spans="1:19" ht="150" x14ac:dyDescent="0.25">
      <c r="A68" s="11" t="s">
        <v>589</v>
      </c>
      <c r="B68" s="11" t="str" cm="1">
        <f t="array" ref="B68">Addspaces(A68)</f>
        <v>Tower Redundant Horizontal Bolt Size 3</v>
      </c>
      <c r="C68" s="15" t="s">
        <v>1225</v>
      </c>
      <c r="D68" s="13" t="str">
        <f>VLOOKUP(C68,Sheet8!A:C,2,FALSE)</f>
        <v>decimal(18, 6)</v>
      </c>
      <c r="E68" s="15"/>
      <c r="F68" s="13" t="str">
        <f>VLOOKUP(C68,Sheet8!A:C,3,FALSE)</f>
        <v>Double?</v>
      </c>
      <c r="G68" s="15"/>
      <c r="H68" s="11" t="str">
        <f t="shared" si="10"/>
        <v>ADD TowerRedundantHorizontalBoltSize3 decimal(18, 6),</v>
      </c>
      <c r="I68" s="11" t="str">
        <f t="shared" si="11"/>
        <v xml:space="preserve">Private _TowerRedundantHorizontalBoltSize3 As Double? </v>
      </c>
      <c r="J68" s="12" t="str">
        <f t="shared" si="12"/>
        <v xml:space="preserve">     		&lt;Category("TNX Tower Record"), Description(""), DisplayName("Tower Redundant Horizontal Bolt Size 3")&gt;
    		&lt;DataMember()&gt; Public Property TowerRedundantHorizontalBoltSize3() As Double?
        			Get
            				Return Me._TowerRedundantHorizontalBoltSize3
        			End Get
        			Set
            				Me._TowerRedundantHorizontalBoltSize3 = Value
        			End Set
    		End Property</v>
      </c>
      <c r="K68" s="11" t="str">
        <f>"Me."&amp;A68&amp; " = " &amp; VLOOKUP(C68,Sheet8!A:D,4,FALSE)&amp;"(recRow.Item("""&amp;A68 &amp;""")" &amp; IF(C68="Number",",6","")&amp;")"</f>
        <v>Me.TowerRedundantHorizontalBoltSize3 = DBtoNullableDec(recRow.Item("TowerRedundantHorizontalBoltSize3"),6)</v>
      </c>
      <c r="L68" s="11" t="str">
        <f t="shared" si="13"/>
        <v>insertString = insertString.AddtoDBString(Me.TowerRedundantHorizontalBoltSize3.ToString)</v>
      </c>
      <c r="M68" s="11" t="str">
        <f t="shared" si="14"/>
        <v>Equals = If(Me.TowerRedundantHorizontalBoltSize3.CheckChange(otherToCompare.TowerRedundantHorizontalBoltSize3, changes, categoryName, "Tower Redundant Horizontal Bolt Size 3"), Equals, False)</v>
      </c>
      <c r="N68" s="12" t="str">
        <f t="shared" si="15"/>
        <v xml:space="preserve"> 	Case tnxVar.Equals("TowerRedundantHorizontalBoltSize3")
                            Try
                                Me.geometry.baseStructure(recIndex).TowerRedundantHorizontalBoltSize3 = tnxValue
                            Catch ex As Exception
                                Debug.Print("Error parsing TNX variable: " &amp; tnxVar)
                            End Try</v>
      </c>
      <c r="O68" s="11" t="str">
        <f t="shared" si="16"/>
        <v>newERIList.Add("TowerRedundantHorizontalBoltSize3=" &amp; Me.settings.USUnits.Properties.convertToERIUnits( .TowerRedundantHorizontalBoltSize3))</v>
      </c>
      <c r="P68" s="11" t="str">
        <f t="shared" si="17"/>
        <v>SQLInsertValues = SQLInsertValues.AddtoDBString(Me.TowerRedundantHorizontalBoltSize3.NullableToString.FormatDBValue)</v>
      </c>
      <c r="Q68" s="11" t="str">
        <f t="shared" si="18"/>
        <v>SQLInsertFields = SQLInsertFields.AddtoDBString("TowerRedundantHorizontalBoltSize3")</v>
      </c>
      <c r="R68" s="11" t="str">
        <f t="shared" si="19"/>
        <v>SQLUpdateFieldsandValues = SQLUpdateFieldsandValues.AddtoDBString("TowerRedundantHorizontalBoltSize3 = " &amp; Me.TowerRedundantHorizontalBoltSize3.NullableToString.FormatDBValue)</v>
      </c>
      <c r="S68" s="10" t="s">
        <v>286</v>
      </c>
    </row>
    <row r="69" spans="1:19" ht="150" x14ac:dyDescent="0.25">
      <c r="A69" s="11" t="s">
        <v>590</v>
      </c>
      <c r="B69" s="11" t="str" cm="1">
        <f t="array" ref="B69">Addspaces(A69)</f>
        <v>Tower Redundant Horizontal Num Bolts 3</v>
      </c>
      <c r="C69" s="15" t="s">
        <v>1234</v>
      </c>
      <c r="D69" s="13" t="str">
        <f>VLOOKUP(C69,Sheet8!A:C,2,FALSE)</f>
        <v>int</v>
      </c>
      <c r="E69" s="15"/>
      <c r="F69" s="13" t="str">
        <f>VLOOKUP(C69,Sheet8!A:C,3,FALSE)</f>
        <v>Integer?</v>
      </c>
      <c r="G69" s="15"/>
      <c r="H69" s="11" t="str">
        <f t="shared" si="10"/>
        <v>ADD TowerRedundantHorizontalNumBolts3 int,</v>
      </c>
      <c r="I69" s="11" t="str">
        <f t="shared" si="11"/>
        <v xml:space="preserve">Private _TowerRedundantHorizontalNumBolts3 As Integer? </v>
      </c>
      <c r="J69" s="12" t="str">
        <f t="shared" si="12"/>
        <v xml:space="preserve">     		&lt;Category("TNX Tower Record"), Description(""), DisplayName("Tower Redundant Horizontal Num Bolts 3")&gt;
    		&lt;DataMember()&gt; Public Property TowerRedundantHorizontalNumBolts3() As Integer?
        			Get
            				Return Me._TowerRedundantHorizontalNumBolts3
        			End Get
        			Set
            				Me._TowerRedundantHorizontalNumBolts3 = Value
        			End Set
    		End Property</v>
      </c>
      <c r="K69" s="11" t="str">
        <f>"Me."&amp;A69&amp; " = " &amp; VLOOKUP(C69,Sheet8!A:D,4,FALSE)&amp;"(recRow.Item("""&amp;A69 &amp;""")" &amp; IF(C69="Number",",6","")&amp;")"</f>
        <v>Me.TowerRedundantHorizontalNumBolts3 = DBtoNullableInt(recRow.Item("TowerRedundantHorizontalNumBolts3"))</v>
      </c>
      <c r="L69" s="11" t="str">
        <f t="shared" si="13"/>
        <v>insertString = insertString.AddtoDBString(Me.TowerRedundantHorizontalNumBolts3.ToString)</v>
      </c>
      <c r="M69" s="11" t="str">
        <f t="shared" si="14"/>
        <v>Equals = If(Me.TowerRedundantHorizontalNumBolts3.CheckChange(otherToCompare.TowerRedundantHorizontalNumBolts3, changes, categoryName, "Tower Redundant Horizontal Num Bolts 3"), Equals, False)</v>
      </c>
      <c r="N69" s="12" t="str">
        <f t="shared" si="15"/>
        <v xml:space="preserve"> 	Case tnxVar.Equals("TowerRedundantHorizontalNumBolts3")
                            Try
                                Me.geometry.baseStructure(recIndex).TowerRedundantHorizontalNumBolts3 = tnxValue
                            Catch ex As Exception
                                Debug.Print("Error parsing TNX variable: " &amp; tnxVar)
                            End Try</v>
      </c>
      <c r="O69" s="11" t="str">
        <f t="shared" si="16"/>
        <v>newERIList.Add("TowerRedundantHorizontalNumBolts3=" &amp;  .TowerRedundantHorizontalNumBolts3)</v>
      </c>
      <c r="P69" s="11" t="str">
        <f t="shared" si="17"/>
        <v>SQLInsertValues = SQLInsertValues.AddtoDBString(Me.TowerRedundantHorizontalNumBolts3.NullableToString.FormatDBValue)</v>
      </c>
      <c r="Q69" s="11" t="str">
        <f t="shared" si="18"/>
        <v>SQLInsertFields = SQLInsertFields.AddtoDBString("TowerRedundantHorizontalNumBolts3")</v>
      </c>
      <c r="R69" s="11" t="str">
        <f t="shared" si="19"/>
        <v>SQLUpdateFieldsandValues = SQLUpdateFieldsandValues.AddtoDBString("TowerRedundantHorizontalNumBolts3 = " &amp; Me.TowerRedundantHorizontalNumBolts3.NullableToString.FormatDBValue)</v>
      </c>
      <c r="S69" s="10" t="s">
        <v>286</v>
      </c>
    </row>
    <row r="70" spans="1:19" ht="165" x14ac:dyDescent="0.25">
      <c r="A70" s="11" t="s">
        <v>591</v>
      </c>
      <c r="B70" s="11" t="str" cm="1">
        <f t="array" ref="B70">Addspaces(A70)</f>
        <v>Tower Redundant Horizontal Bolt Edge Distance 3</v>
      </c>
      <c r="C70" s="15" t="s">
        <v>1225</v>
      </c>
      <c r="D70" s="13" t="str">
        <f>VLOOKUP(C70,Sheet8!A:C,2,FALSE)</f>
        <v>decimal(18, 6)</v>
      </c>
      <c r="E70" s="15"/>
      <c r="F70" s="13" t="str">
        <f>VLOOKUP(C70,Sheet8!A:C,3,FALSE)</f>
        <v>Double?</v>
      </c>
      <c r="G70" s="15"/>
      <c r="H70" s="11" t="str">
        <f t="shared" si="10"/>
        <v>ADD TowerRedundantHorizontalBoltEdgeDistance3 decimal(18, 6),</v>
      </c>
      <c r="I70" s="11" t="str">
        <f t="shared" si="11"/>
        <v xml:space="preserve">Private _TowerRedundantHorizontalBoltEdgeDistance3 As Double? </v>
      </c>
      <c r="J70" s="12" t="str">
        <f t="shared" si="12"/>
        <v xml:space="preserve">     		&lt;Category("TNX Tower Record"), Description(""), DisplayName("Tower Redundant Horizontal Bolt Edge Distance 3")&gt;
    		&lt;DataMember()&gt; Public Property TowerRedundantHorizontalBoltEdgeDistance3() As Double?
        			Get
            				Return Me._TowerRedundantHorizontalBoltEdgeDistance3
        			End Get
        			Set
            				Me._TowerRedundantHorizontalBoltEdgeDistance3 = Value
        			End Set
    		End Property</v>
      </c>
      <c r="K70" s="11" t="str">
        <f>"Me."&amp;A70&amp; " = " &amp; VLOOKUP(C70,Sheet8!A:D,4,FALSE)&amp;"(recRow.Item("""&amp;A70 &amp;""")" &amp; IF(C70="Number",",6","")&amp;")"</f>
        <v>Me.TowerRedundantHorizontalBoltEdgeDistance3 = DBtoNullableDec(recRow.Item("TowerRedundantHorizontalBoltEdgeDistance3"),6)</v>
      </c>
      <c r="L70" s="11" t="str">
        <f t="shared" si="13"/>
        <v>insertString = insertString.AddtoDBString(Me.TowerRedundantHorizontalBoltEdgeDistance3.ToString)</v>
      </c>
      <c r="M70" s="11" t="str">
        <f t="shared" si="14"/>
        <v>Equals = If(Me.TowerRedundantHorizontalBoltEdgeDistance3.CheckChange(otherToCompare.TowerRedundantHorizontalBoltEdgeDistance3, changes, categoryName, "Tower Redundant Horizontal Bolt Edge Distance 3"), Equals, False)</v>
      </c>
      <c r="N70" s="12" t="str">
        <f t="shared" si="15"/>
        <v xml:space="preserve"> 	Case tnxVar.Equals("TowerRedundantHorizontalBoltEdgeDistance3")
                            Try
                                Me.geometry.baseStructure(recIndex).TowerRedundantHorizontalBoltEdgeDistance3 = tnxValue
                            Catch ex As Exception
                                Debug.Print("Error parsing TNX variable: " &amp; tnxVar)
                            End Try</v>
      </c>
      <c r="O70" s="11" t="str">
        <f t="shared" si="16"/>
        <v>newERIList.Add("TowerRedundantHorizontalBoltEdgeDistance3=" &amp; Me.settings.USUnits.Properties.convertToERIUnits( .TowerRedundantHorizontalBoltEdgeDistance3))</v>
      </c>
      <c r="P70" s="11" t="str">
        <f t="shared" si="17"/>
        <v>SQLInsertValues = SQLInsertValues.AddtoDBString(Me.TowerRedundantHorizontalBoltEdgeDistance3.NullableToString.FormatDBValue)</v>
      </c>
      <c r="Q70" s="11" t="str">
        <f t="shared" si="18"/>
        <v>SQLInsertFields = SQLInsertFields.AddtoDBString("TowerRedundantHorizontalBoltEdgeDistance3")</v>
      </c>
      <c r="R70" s="11" t="str">
        <f t="shared" si="19"/>
        <v>SQLUpdateFieldsandValues = SQLUpdateFieldsandValues.AddtoDBString("TowerRedundantHorizontalBoltEdgeDistance3 = " &amp; Me.TowerRedundantHorizontalBoltEdgeDistance3.NullableToString.FormatDBValue)</v>
      </c>
      <c r="S70" s="10" t="s">
        <v>286</v>
      </c>
    </row>
    <row r="71" spans="1:19" ht="165" x14ac:dyDescent="0.25">
      <c r="A71" s="11" t="s">
        <v>592</v>
      </c>
      <c r="B71" s="11" t="str" cm="1">
        <f t="array" ref="B71">Addspaces(A71)</f>
        <v>Tower Redundant Horizontal Gage G 1 Distance 3</v>
      </c>
      <c r="C71" s="15" t="s">
        <v>1225</v>
      </c>
      <c r="D71" s="13" t="str">
        <f>VLOOKUP(C71,Sheet8!A:C,2,FALSE)</f>
        <v>decimal(18, 6)</v>
      </c>
      <c r="E71" s="15"/>
      <c r="F71" s="13" t="str">
        <f>VLOOKUP(C71,Sheet8!A:C,3,FALSE)</f>
        <v>Double?</v>
      </c>
      <c r="G71" s="15"/>
      <c r="H71" s="11" t="str">
        <f t="shared" si="10"/>
        <v>ADD TowerRedundantHorizontalGageG1Distance3 decimal(18, 6),</v>
      </c>
      <c r="I71" s="11" t="str">
        <f t="shared" si="11"/>
        <v xml:space="preserve">Private _TowerRedundantHorizontalGageG1Distance3 As Double? </v>
      </c>
      <c r="J71" s="12" t="str">
        <f t="shared" si="12"/>
        <v xml:space="preserve">     		&lt;Category("TNX Tower Record"), Description(""), DisplayName("Tower Redundant Horizontal Gage G 1 Distance 3")&gt;
    		&lt;DataMember()&gt; Public Property TowerRedundantHorizontalGageG1Distance3() As Double?
        			Get
            				Return Me._TowerRedundantHorizontalGageG1Distance3
        			End Get
        			Set
            				Me._TowerRedundantHorizontalGageG1Distance3 = Value
        			End Set
    		End Property</v>
      </c>
      <c r="K71" s="11" t="str">
        <f>"Me."&amp;A71&amp; " = " &amp; VLOOKUP(C71,Sheet8!A:D,4,FALSE)&amp;"(recRow.Item("""&amp;A71 &amp;""")" &amp; IF(C71="Number",",6","")&amp;")"</f>
        <v>Me.TowerRedundantHorizontalGageG1Distance3 = DBtoNullableDec(recRow.Item("TowerRedundantHorizontalGageG1Distance3"),6)</v>
      </c>
      <c r="L71" s="11" t="str">
        <f t="shared" si="13"/>
        <v>insertString = insertString.AddtoDBString(Me.TowerRedundantHorizontalGageG1Distance3.ToString)</v>
      </c>
      <c r="M71" s="11" t="str">
        <f t="shared" si="14"/>
        <v>Equals = If(Me.TowerRedundantHorizontalGageG1Distance3.CheckChange(otherToCompare.TowerRedundantHorizontalGageG1Distance3, changes, categoryName, "Tower Redundant Horizontal Gage G 1 Distance 3"), Equals, False)</v>
      </c>
      <c r="N71" s="12" t="str">
        <f t="shared" si="15"/>
        <v xml:space="preserve"> 	Case tnxVar.Equals("TowerRedundantHorizontalGageG1Distance3")
                            Try
                                Me.geometry.baseStructure(recIndex).TowerRedundantHorizontalGageG1Distance3 = tnxValue
                            Catch ex As Exception
                                Debug.Print("Error parsing TNX variable: " &amp; tnxVar)
                            End Try</v>
      </c>
      <c r="O71" s="11" t="str">
        <f t="shared" si="16"/>
        <v>newERIList.Add("TowerRedundantHorizontalGageG1Distance3=" &amp; Me.settings.USUnits.Properties.convertToERIUnits( .TowerRedundantHorizontalGageG1Distance3))</v>
      </c>
      <c r="P71" s="11" t="str">
        <f t="shared" si="17"/>
        <v>SQLInsertValues = SQLInsertValues.AddtoDBString(Me.TowerRedundantHorizontalGageG1Distance3.NullableToString.FormatDBValue)</v>
      </c>
      <c r="Q71" s="11" t="str">
        <f t="shared" si="18"/>
        <v>SQLInsertFields = SQLInsertFields.AddtoDBString("TowerRedundantHorizontalGageG1Distance3")</v>
      </c>
      <c r="R71" s="11" t="str">
        <f t="shared" si="19"/>
        <v>SQLUpdateFieldsandValues = SQLUpdateFieldsandValues.AddtoDBString("TowerRedundantHorizontalGageG1Distance3 = " &amp; Me.TowerRedundantHorizontalGageG1Distance3.NullableToString.FormatDBValue)</v>
      </c>
      <c r="S71" s="10" t="s">
        <v>286</v>
      </c>
    </row>
    <row r="72" spans="1:19" ht="165" x14ac:dyDescent="0.25">
      <c r="A72" s="11" t="s">
        <v>593</v>
      </c>
      <c r="B72" s="11" t="str" cm="1">
        <f t="array" ref="B72">Addspaces(A72)</f>
        <v>Tower Redundant Horizontal Net Width Deduct 3</v>
      </c>
      <c r="C72" s="15" t="s">
        <v>1225</v>
      </c>
      <c r="D72" s="13" t="str">
        <f>VLOOKUP(C72,Sheet8!A:C,2,FALSE)</f>
        <v>decimal(18, 6)</v>
      </c>
      <c r="E72" s="15"/>
      <c r="F72" s="13" t="str">
        <f>VLOOKUP(C72,Sheet8!A:C,3,FALSE)</f>
        <v>Double?</v>
      </c>
      <c r="G72" s="15"/>
      <c r="H72" s="11" t="str">
        <f t="shared" si="10"/>
        <v>ADD TowerRedundantHorizontalNetWidthDeduct3 decimal(18, 6),</v>
      </c>
      <c r="I72" s="11" t="str">
        <f t="shared" si="11"/>
        <v xml:space="preserve">Private _TowerRedundantHorizontalNetWidthDeduct3 As Double? </v>
      </c>
      <c r="J72" s="12" t="str">
        <f t="shared" si="12"/>
        <v xml:space="preserve">     		&lt;Category("TNX Tower Record"), Description(""), DisplayName("Tower Redundant Horizontal Net Width Deduct 3")&gt;
    		&lt;DataMember()&gt; Public Property TowerRedundantHorizontalNetWidthDeduct3() As Double?
        			Get
            				Return Me._TowerRedundantHorizontalNetWidthDeduct3
        			End Get
        			Set
            				Me._TowerRedundantHorizontalNetWidthDeduct3 = Value
        			End Set
    		End Property</v>
      </c>
      <c r="K72" s="11" t="str">
        <f>"Me."&amp;A72&amp; " = " &amp; VLOOKUP(C72,Sheet8!A:D,4,FALSE)&amp;"(recRow.Item("""&amp;A72 &amp;""")" &amp; IF(C72="Number",",6","")&amp;")"</f>
        <v>Me.TowerRedundantHorizontalNetWidthDeduct3 = DBtoNullableDec(recRow.Item("TowerRedundantHorizontalNetWidthDeduct3"),6)</v>
      </c>
      <c r="L72" s="11" t="str">
        <f t="shared" si="13"/>
        <v>insertString = insertString.AddtoDBString(Me.TowerRedundantHorizontalNetWidthDeduct3.ToString)</v>
      </c>
      <c r="M72" s="11" t="str">
        <f t="shared" si="14"/>
        <v>Equals = If(Me.TowerRedundantHorizontalNetWidthDeduct3.CheckChange(otherToCompare.TowerRedundantHorizontalNetWidthDeduct3, changes, categoryName, "Tower Redundant Horizontal Net Width Deduct 3"), Equals, False)</v>
      </c>
      <c r="N72" s="12" t="str">
        <f t="shared" si="15"/>
        <v xml:space="preserve"> 	Case tnxVar.Equals("TowerRedundantHorizontalNetWidthDeduct3")
                            Try
                                Me.geometry.baseStructure(recIndex).TowerRedundantHorizontalNetWidthDeduct3 = tnxValue
                            Catch ex As Exception
                                Debug.Print("Error parsing TNX variable: " &amp; tnxVar)
                            End Try</v>
      </c>
      <c r="O72" s="11" t="str">
        <f t="shared" si="16"/>
        <v>newERIList.Add("TowerRedundantHorizontalNetWidthDeduct3=" &amp; Me.settings.USUnits.Properties.convertToERIUnits( .TowerRedundantHorizontalNetWidthDeduct3))</v>
      </c>
      <c r="P72" s="11" t="str">
        <f t="shared" si="17"/>
        <v>SQLInsertValues = SQLInsertValues.AddtoDBString(Me.TowerRedundantHorizontalNetWidthDeduct3.NullableToString.FormatDBValue)</v>
      </c>
      <c r="Q72" s="11" t="str">
        <f t="shared" si="18"/>
        <v>SQLInsertFields = SQLInsertFields.AddtoDBString("TowerRedundantHorizontalNetWidthDeduct3")</v>
      </c>
      <c r="R72" s="11" t="str">
        <f t="shared" si="19"/>
        <v>SQLUpdateFieldsandValues = SQLUpdateFieldsandValues.AddtoDBString("TowerRedundantHorizontalNetWidthDeduct3 = " &amp; Me.TowerRedundantHorizontalNetWidthDeduct3.NullableToString.FormatDBValue)</v>
      </c>
      <c r="S72" s="10" t="s">
        <v>286</v>
      </c>
    </row>
    <row r="73" spans="1:19" ht="150" x14ac:dyDescent="0.25">
      <c r="A73" s="11" t="s">
        <v>594</v>
      </c>
      <c r="B73" s="11" t="str" cm="1">
        <f t="array" ref="B73">Addspaces(A73)</f>
        <v>Tower Redundant Horizontal U Factor 3</v>
      </c>
      <c r="C73" s="15" t="s">
        <v>1225</v>
      </c>
      <c r="D73" s="13" t="str">
        <f>VLOOKUP(C73,Sheet8!A:C,2,FALSE)</f>
        <v>decimal(18, 6)</v>
      </c>
      <c r="E73" s="15"/>
      <c r="F73" s="13" t="str">
        <f>VLOOKUP(C73,Sheet8!A:C,3,FALSE)</f>
        <v>Double?</v>
      </c>
      <c r="G73" s="15"/>
      <c r="H73" s="11" t="str">
        <f t="shared" si="10"/>
        <v>ADD TowerRedundantHorizontalUFactor3 decimal(18, 6),</v>
      </c>
      <c r="I73" s="11" t="str">
        <f t="shared" si="11"/>
        <v xml:space="preserve">Private _TowerRedundantHorizontalUFactor3 As Double? </v>
      </c>
      <c r="J73" s="12" t="str">
        <f t="shared" si="12"/>
        <v xml:space="preserve">     		&lt;Category("TNX Tower Record"), Description(""), DisplayName("Tower Redundant Horizontal U Factor 3")&gt;
    		&lt;DataMember()&gt; Public Property TowerRedundantHorizontalUFactor3() As Double?
        			Get
            				Return Me._TowerRedundantHorizontalUFactor3
        			End Get
        			Set
            				Me._TowerRedundantHorizontalUFactor3 = Value
        			End Set
    		End Property</v>
      </c>
      <c r="K73" s="11" t="str">
        <f>"Me."&amp;A73&amp; " = " &amp; VLOOKUP(C73,Sheet8!A:D,4,FALSE)&amp;"(recRow.Item("""&amp;A73 &amp;""")" &amp; IF(C73="Number",",6","")&amp;")"</f>
        <v>Me.TowerRedundantHorizontalUFactor3 = DBtoNullableDec(recRow.Item("TowerRedundantHorizontalUFactor3"),6)</v>
      </c>
      <c r="L73" s="11" t="str">
        <f t="shared" si="13"/>
        <v>insertString = insertString.AddtoDBString(Me.TowerRedundantHorizontalUFactor3.ToString)</v>
      </c>
      <c r="M73" s="11" t="str">
        <f t="shared" si="14"/>
        <v>Equals = If(Me.TowerRedundantHorizontalUFactor3.CheckChange(otherToCompare.TowerRedundantHorizontalUFactor3, changes, categoryName, "Tower Redundant Horizontal U Factor 3"), Equals, False)</v>
      </c>
      <c r="N73" s="12" t="str">
        <f t="shared" si="15"/>
        <v xml:space="preserve"> 	Case tnxVar.Equals("TowerRedundantHorizontalUFactor3")
                            Try
                                Me.geometry.baseStructure(recIndex).TowerRedundantHorizontalUFactor3 = tnxValue
                            Catch ex As Exception
                                Debug.Print("Error parsing TNX variable: " &amp; tnxVar)
                            End Try</v>
      </c>
      <c r="O73" s="11" t="str">
        <f t="shared" si="16"/>
        <v>newERIList.Add("TowerRedundantHorizontalUFactor3=" &amp; Me.settings.USUnits.Properties.convertToERIUnits( .TowerRedundantHorizontalUFactor3))</v>
      </c>
      <c r="P73" s="11" t="str">
        <f t="shared" si="17"/>
        <v>SQLInsertValues = SQLInsertValues.AddtoDBString(Me.TowerRedundantHorizontalUFactor3.NullableToString.FormatDBValue)</v>
      </c>
      <c r="Q73" s="11" t="str">
        <f t="shared" si="18"/>
        <v>SQLInsertFields = SQLInsertFields.AddtoDBString("TowerRedundantHorizontalUFactor3")</v>
      </c>
      <c r="R73" s="11" t="str">
        <f t="shared" si="19"/>
        <v>SQLUpdateFieldsandValues = SQLUpdateFieldsandValues.AddtoDBString("TowerRedundantHorizontalUFactor3 = " &amp; Me.TowerRedundantHorizontalUFactor3.NullableToString.FormatDBValue)</v>
      </c>
      <c r="S73" s="10" t="s">
        <v>286</v>
      </c>
    </row>
    <row r="74" spans="1:19" ht="150" x14ac:dyDescent="0.25">
      <c r="A74" s="11" t="s">
        <v>595</v>
      </c>
      <c r="B74" s="11" t="str" cm="1">
        <f t="array" ref="B74">Addspaces(A74)</f>
        <v>Tower Redundant Horizontal Bolt Grade 4</v>
      </c>
      <c r="C74" s="15" t="s">
        <v>1224</v>
      </c>
      <c r="D74" s="13" t="str">
        <f>VLOOKUP(C74,Sheet8!A:C,2,FALSE)</f>
        <v>varchar</v>
      </c>
      <c r="E74" s="15">
        <v>100</v>
      </c>
      <c r="F74" s="13" t="str">
        <f>VLOOKUP(C74,Sheet8!A:C,3,FALSE)</f>
        <v>String</v>
      </c>
      <c r="G74" s="15"/>
      <c r="H74" s="11" t="str">
        <f t="shared" si="10"/>
        <v>ADD TowerRedundantHorizontalBoltGrade4 varchar(100),</v>
      </c>
      <c r="I74" s="11" t="str">
        <f t="shared" si="11"/>
        <v xml:space="preserve">Private _TowerRedundantHorizontalBoltGrade4 As String </v>
      </c>
      <c r="J74" s="12" t="str">
        <f t="shared" si="12"/>
        <v xml:space="preserve">     		&lt;Category("TNX Tower Record"), Description(""), DisplayName("Tower Redundant Horizontal Bolt Grade 4")&gt;
    		&lt;DataMember()&gt; Public Property TowerRedundantHorizontalBoltGrade4() As String
        			Get
            				Return Me._TowerRedundantHorizontalBoltGrade4
        			End Get
        			Set
            				Me._TowerRedundantHorizontalBoltGrade4 = Value
        			End Set
    		End Property</v>
      </c>
      <c r="K74" s="11" t="str">
        <f>"Me."&amp;A74&amp; " = " &amp; VLOOKUP(C74,Sheet8!A:D,4,FALSE)&amp;"(recRow.Item("""&amp;A74 &amp;""")" &amp; IF(C74="Number",",6","")&amp;")"</f>
        <v>Me.TowerRedundantHorizontalBoltGrade4 = DBtoStr(recRow.Item("TowerRedundantHorizontalBoltGrade4"))</v>
      </c>
      <c r="L74" s="11" t="str">
        <f t="shared" si="13"/>
        <v>insertString = insertString.AddtoDBString(Me.TowerRedundantHorizontalBoltGrade4.ToString)</v>
      </c>
      <c r="M74" s="11" t="str">
        <f t="shared" si="14"/>
        <v>Equals = If(Me.TowerRedundantHorizontalBoltGrade4.CheckChange(otherToCompare.TowerRedundantHorizontalBoltGrade4, changes, categoryName, "Tower Redundant Horizontal Bolt Grade 4"), Equals, False)</v>
      </c>
      <c r="N74" s="12" t="str">
        <f t="shared" si="15"/>
        <v xml:space="preserve"> 	Case tnxVar.Equals("TowerRedundantHorizontalBoltGrade4")
                            Try
                                Me.geometry.baseStructure(recIndex).TowerRedundantHorizontalBoltGrade4 = tnxValue
                            Catch ex As Exception
                                Debug.Print("Error parsing TNX variable: " &amp; tnxVar)
                            End Try</v>
      </c>
      <c r="O74" s="11" t="str">
        <f t="shared" si="16"/>
        <v>newERIList.Add("TowerRedundantHorizontalBoltGrade4=" &amp;  .TowerRedundantHorizontalBoltGrade4)</v>
      </c>
      <c r="P74" s="11" t="str">
        <f t="shared" si="17"/>
        <v>SQLInsertValues = SQLInsertValues.AddtoDBString(Me.TowerRedundantHorizontalBoltGrade4.NullableToString.FormatDBValue)</v>
      </c>
      <c r="Q74" s="11" t="str">
        <f t="shared" si="18"/>
        <v>SQLInsertFields = SQLInsertFields.AddtoDBString("TowerRedundantHorizontalBoltGrade4")</v>
      </c>
      <c r="R74" s="11" t="str">
        <f t="shared" si="19"/>
        <v>SQLUpdateFieldsandValues = SQLUpdateFieldsandValues.AddtoDBString("TowerRedundantHorizontalBoltGrade4 = " &amp; Me.TowerRedundantHorizontalBoltGrade4.NullableToString.FormatDBValue)</v>
      </c>
      <c r="S74" s="10" t="s">
        <v>286</v>
      </c>
    </row>
    <row r="75" spans="1:19" ht="150" x14ac:dyDescent="0.25">
      <c r="A75" s="11" t="s">
        <v>596</v>
      </c>
      <c r="B75" s="11" t="str" cm="1">
        <f t="array" ref="B75">Addspaces(A75)</f>
        <v>Tower Redundant Horizontal Bolt Size 4</v>
      </c>
      <c r="C75" s="15" t="s">
        <v>1225</v>
      </c>
      <c r="D75" s="13" t="str">
        <f>VLOOKUP(C75,Sheet8!A:C,2,FALSE)</f>
        <v>decimal(18, 6)</v>
      </c>
      <c r="E75" s="15"/>
      <c r="F75" s="13" t="str">
        <f>VLOOKUP(C75,Sheet8!A:C,3,FALSE)</f>
        <v>Double?</v>
      </c>
      <c r="G75" s="15"/>
      <c r="H75" s="11" t="str">
        <f t="shared" si="10"/>
        <v>ADD TowerRedundantHorizontalBoltSize4 decimal(18, 6),</v>
      </c>
      <c r="I75" s="11" t="str">
        <f t="shared" si="11"/>
        <v xml:space="preserve">Private _TowerRedundantHorizontalBoltSize4 As Double? </v>
      </c>
      <c r="J75" s="12" t="str">
        <f t="shared" si="12"/>
        <v xml:space="preserve">     		&lt;Category("TNX Tower Record"), Description(""), DisplayName("Tower Redundant Horizontal Bolt Size 4")&gt;
    		&lt;DataMember()&gt; Public Property TowerRedundantHorizontalBoltSize4() As Double?
        			Get
            				Return Me._TowerRedundantHorizontalBoltSize4
        			End Get
        			Set
            				Me._TowerRedundantHorizontalBoltSize4 = Value
        			End Set
    		End Property</v>
      </c>
      <c r="K75" s="11" t="str">
        <f>"Me."&amp;A75&amp; " = " &amp; VLOOKUP(C75,Sheet8!A:D,4,FALSE)&amp;"(recRow.Item("""&amp;A75 &amp;""")" &amp; IF(C75="Number",",6","")&amp;")"</f>
        <v>Me.TowerRedundantHorizontalBoltSize4 = DBtoNullableDec(recRow.Item("TowerRedundantHorizontalBoltSize4"),6)</v>
      </c>
      <c r="L75" s="11" t="str">
        <f t="shared" si="13"/>
        <v>insertString = insertString.AddtoDBString(Me.TowerRedundantHorizontalBoltSize4.ToString)</v>
      </c>
      <c r="M75" s="11" t="str">
        <f t="shared" si="14"/>
        <v>Equals = If(Me.TowerRedundantHorizontalBoltSize4.CheckChange(otherToCompare.TowerRedundantHorizontalBoltSize4, changes, categoryName, "Tower Redundant Horizontal Bolt Size 4"), Equals, False)</v>
      </c>
      <c r="N75" s="12" t="str">
        <f t="shared" si="15"/>
        <v xml:space="preserve"> 	Case tnxVar.Equals("TowerRedundantHorizontalBoltSize4")
                            Try
                                Me.geometry.baseStructure(recIndex).TowerRedundantHorizontalBoltSize4 = tnxValue
                            Catch ex As Exception
                                Debug.Print("Error parsing TNX variable: " &amp; tnxVar)
                            End Try</v>
      </c>
      <c r="O75" s="11" t="str">
        <f t="shared" si="16"/>
        <v>newERIList.Add("TowerRedundantHorizontalBoltSize4=" &amp; Me.settings.USUnits.Properties.convertToERIUnits( .TowerRedundantHorizontalBoltSize4))</v>
      </c>
      <c r="P75" s="11" t="str">
        <f t="shared" si="17"/>
        <v>SQLInsertValues = SQLInsertValues.AddtoDBString(Me.TowerRedundantHorizontalBoltSize4.NullableToString.FormatDBValue)</v>
      </c>
      <c r="Q75" s="11" t="str">
        <f t="shared" si="18"/>
        <v>SQLInsertFields = SQLInsertFields.AddtoDBString("TowerRedundantHorizontalBoltSize4")</v>
      </c>
      <c r="R75" s="11" t="str">
        <f t="shared" si="19"/>
        <v>SQLUpdateFieldsandValues = SQLUpdateFieldsandValues.AddtoDBString("TowerRedundantHorizontalBoltSize4 = " &amp; Me.TowerRedundantHorizontalBoltSize4.NullableToString.FormatDBValue)</v>
      </c>
      <c r="S75" s="10" t="s">
        <v>286</v>
      </c>
    </row>
    <row r="76" spans="1:19" ht="150" x14ac:dyDescent="0.25">
      <c r="A76" s="11" t="s">
        <v>597</v>
      </c>
      <c r="B76" s="11" t="str" cm="1">
        <f t="array" ref="B76">Addspaces(A76)</f>
        <v>Tower Redundant Horizontal Num Bolts 4</v>
      </c>
      <c r="C76" s="15" t="s">
        <v>1234</v>
      </c>
      <c r="D76" s="13" t="str">
        <f>VLOOKUP(C76,Sheet8!A:C,2,FALSE)</f>
        <v>int</v>
      </c>
      <c r="E76" s="15"/>
      <c r="F76" s="13" t="str">
        <f>VLOOKUP(C76,Sheet8!A:C,3,FALSE)</f>
        <v>Integer?</v>
      </c>
      <c r="G76" s="15"/>
      <c r="H76" s="11" t="str">
        <f t="shared" si="10"/>
        <v>ADD TowerRedundantHorizontalNumBolts4 int,</v>
      </c>
      <c r="I76" s="11" t="str">
        <f t="shared" si="11"/>
        <v xml:space="preserve">Private _TowerRedundantHorizontalNumBolts4 As Integer? </v>
      </c>
      <c r="J76" s="12" t="str">
        <f t="shared" si="12"/>
        <v xml:space="preserve">     		&lt;Category("TNX Tower Record"), Description(""), DisplayName("Tower Redundant Horizontal Num Bolts 4")&gt;
    		&lt;DataMember()&gt; Public Property TowerRedundantHorizontalNumBolts4() As Integer?
        			Get
            				Return Me._TowerRedundantHorizontalNumBolts4
        			End Get
        			Set
            				Me._TowerRedundantHorizontalNumBolts4 = Value
        			End Set
    		End Property</v>
      </c>
      <c r="K76" s="11" t="str">
        <f>"Me."&amp;A76&amp; " = " &amp; VLOOKUP(C76,Sheet8!A:D,4,FALSE)&amp;"(recRow.Item("""&amp;A76 &amp;""")" &amp; IF(C76="Number",",6","")&amp;")"</f>
        <v>Me.TowerRedundantHorizontalNumBolts4 = DBtoNullableInt(recRow.Item("TowerRedundantHorizontalNumBolts4"))</v>
      </c>
      <c r="L76" s="11" t="str">
        <f t="shared" si="13"/>
        <v>insertString = insertString.AddtoDBString(Me.TowerRedundantHorizontalNumBolts4.ToString)</v>
      </c>
      <c r="M76" s="11" t="str">
        <f t="shared" si="14"/>
        <v>Equals = If(Me.TowerRedundantHorizontalNumBolts4.CheckChange(otherToCompare.TowerRedundantHorizontalNumBolts4, changes, categoryName, "Tower Redundant Horizontal Num Bolts 4"), Equals, False)</v>
      </c>
      <c r="N76" s="12" t="str">
        <f t="shared" si="15"/>
        <v xml:space="preserve"> 	Case tnxVar.Equals("TowerRedundantHorizontalNumBolts4")
                            Try
                                Me.geometry.baseStructure(recIndex).TowerRedundantHorizontalNumBolts4 = tnxValue
                            Catch ex As Exception
                                Debug.Print("Error parsing TNX variable: " &amp; tnxVar)
                            End Try</v>
      </c>
      <c r="O76" s="11" t="str">
        <f t="shared" si="16"/>
        <v>newERIList.Add("TowerRedundantHorizontalNumBolts4=" &amp;  .TowerRedundantHorizontalNumBolts4)</v>
      </c>
      <c r="P76" s="11" t="str">
        <f t="shared" si="17"/>
        <v>SQLInsertValues = SQLInsertValues.AddtoDBString(Me.TowerRedundantHorizontalNumBolts4.NullableToString.FormatDBValue)</v>
      </c>
      <c r="Q76" s="11" t="str">
        <f t="shared" si="18"/>
        <v>SQLInsertFields = SQLInsertFields.AddtoDBString("TowerRedundantHorizontalNumBolts4")</v>
      </c>
      <c r="R76" s="11" t="str">
        <f t="shared" si="19"/>
        <v>SQLUpdateFieldsandValues = SQLUpdateFieldsandValues.AddtoDBString("TowerRedundantHorizontalNumBolts4 = " &amp; Me.TowerRedundantHorizontalNumBolts4.NullableToString.FormatDBValue)</v>
      </c>
      <c r="S76" s="10" t="s">
        <v>286</v>
      </c>
    </row>
    <row r="77" spans="1:19" ht="165" x14ac:dyDescent="0.25">
      <c r="A77" s="11" t="s">
        <v>598</v>
      </c>
      <c r="B77" s="11" t="str" cm="1">
        <f t="array" ref="B77">Addspaces(A77)</f>
        <v>Tower Redundant Horizontal Bolt Edge Distance 4</v>
      </c>
      <c r="C77" s="15" t="s">
        <v>1225</v>
      </c>
      <c r="D77" s="13" t="str">
        <f>VLOOKUP(C77,Sheet8!A:C,2,FALSE)</f>
        <v>decimal(18, 6)</v>
      </c>
      <c r="E77" s="15"/>
      <c r="F77" s="13" t="str">
        <f>VLOOKUP(C77,Sheet8!A:C,3,FALSE)</f>
        <v>Double?</v>
      </c>
      <c r="G77" s="15"/>
      <c r="H77" s="11" t="str">
        <f t="shared" si="10"/>
        <v>ADD TowerRedundantHorizontalBoltEdgeDistance4 decimal(18, 6),</v>
      </c>
      <c r="I77" s="11" t="str">
        <f t="shared" si="11"/>
        <v xml:space="preserve">Private _TowerRedundantHorizontalBoltEdgeDistance4 As Double? </v>
      </c>
      <c r="J77" s="12" t="str">
        <f t="shared" si="12"/>
        <v xml:space="preserve">     		&lt;Category("TNX Tower Record"), Description(""), DisplayName("Tower Redundant Horizontal Bolt Edge Distance 4")&gt;
    		&lt;DataMember()&gt; Public Property TowerRedundantHorizontalBoltEdgeDistance4() As Double?
        			Get
            				Return Me._TowerRedundantHorizontalBoltEdgeDistance4
        			End Get
        			Set
            				Me._TowerRedundantHorizontalBoltEdgeDistance4 = Value
        			End Set
    		End Property</v>
      </c>
      <c r="K77" s="11" t="str">
        <f>"Me."&amp;A77&amp; " = " &amp; VLOOKUP(C77,Sheet8!A:D,4,FALSE)&amp;"(recRow.Item("""&amp;A77 &amp;""")" &amp; IF(C77="Number",",6","")&amp;")"</f>
        <v>Me.TowerRedundantHorizontalBoltEdgeDistance4 = DBtoNullableDec(recRow.Item("TowerRedundantHorizontalBoltEdgeDistance4"),6)</v>
      </c>
      <c r="L77" s="11" t="str">
        <f t="shared" si="13"/>
        <v>insertString = insertString.AddtoDBString(Me.TowerRedundantHorizontalBoltEdgeDistance4.ToString)</v>
      </c>
      <c r="M77" s="11" t="str">
        <f t="shared" si="14"/>
        <v>Equals = If(Me.TowerRedundantHorizontalBoltEdgeDistance4.CheckChange(otherToCompare.TowerRedundantHorizontalBoltEdgeDistance4, changes, categoryName, "Tower Redundant Horizontal Bolt Edge Distance 4"), Equals, False)</v>
      </c>
      <c r="N77" s="12" t="str">
        <f t="shared" si="15"/>
        <v xml:space="preserve"> 	Case tnxVar.Equals("TowerRedundantHorizontalBoltEdgeDistance4")
                            Try
                                Me.geometry.baseStructure(recIndex).TowerRedundantHorizontalBoltEdgeDistance4 = tnxValue
                            Catch ex As Exception
                                Debug.Print("Error parsing TNX variable: " &amp; tnxVar)
                            End Try</v>
      </c>
      <c r="O77" s="11" t="str">
        <f t="shared" si="16"/>
        <v>newERIList.Add("TowerRedundantHorizontalBoltEdgeDistance4=" &amp; Me.settings.USUnits.Properties.convertToERIUnits( .TowerRedundantHorizontalBoltEdgeDistance4))</v>
      </c>
      <c r="P77" s="11" t="str">
        <f t="shared" si="17"/>
        <v>SQLInsertValues = SQLInsertValues.AddtoDBString(Me.TowerRedundantHorizontalBoltEdgeDistance4.NullableToString.FormatDBValue)</v>
      </c>
      <c r="Q77" s="11" t="str">
        <f t="shared" si="18"/>
        <v>SQLInsertFields = SQLInsertFields.AddtoDBString("TowerRedundantHorizontalBoltEdgeDistance4")</v>
      </c>
      <c r="R77" s="11" t="str">
        <f t="shared" si="19"/>
        <v>SQLUpdateFieldsandValues = SQLUpdateFieldsandValues.AddtoDBString("TowerRedundantHorizontalBoltEdgeDistance4 = " &amp; Me.TowerRedundantHorizontalBoltEdgeDistance4.NullableToString.FormatDBValue)</v>
      </c>
      <c r="S77" s="10" t="s">
        <v>286</v>
      </c>
    </row>
    <row r="78" spans="1:19" ht="165" x14ac:dyDescent="0.25">
      <c r="A78" s="11" t="s">
        <v>599</v>
      </c>
      <c r="B78" s="11" t="str" cm="1">
        <f t="array" ref="B78">Addspaces(A78)</f>
        <v>Tower Redundant Horizontal Gage G 1 Distance 4</v>
      </c>
      <c r="C78" s="15" t="s">
        <v>1225</v>
      </c>
      <c r="D78" s="13" t="str">
        <f>VLOOKUP(C78,Sheet8!A:C,2,FALSE)</f>
        <v>decimal(18, 6)</v>
      </c>
      <c r="E78" s="15"/>
      <c r="F78" s="13" t="str">
        <f>VLOOKUP(C78,Sheet8!A:C,3,FALSE)</f>
        <v>Double?</v>
      </c>
      <c r="G78" s="15"/>
      <c r="H78" s="11" t="str">
        <f t="shared" si="10"/>
        <v>ADD TowerRedundantHorizontalGageG1Distance4 decimal(18, 6),</v>
      </c>
      <c r="I78" s="11" t="str">
        <f t="shared" si="11"/>
        <v xml:space="preserve">Private _TowerRedundantHorizontalGageG1Distance4 As Double? </v>
      </c>
      <c r="J78" s="12" t="str">
        <f t="shared" si="12"/>
        <v xml:space="preserve">     		&lt;Category("TNX Tower Record"), Description(""), DisplayName("Tower Redundant Horizontal Gage G 1 Distance 4")&gt;
    		&lt;DataMember()&gt; Public Property TowerRedundantHorizontalGageG1Distance4() As Double?
        			Get
            				Return Me._TowerRedundantHorizontalGageG1Distance4
        			End Get
        			Set
            				Me._TowerRedundantHorizontalGageG1Distance4 = Value
        			End Set
    		End Property</v>
      </c>
      <c r="K78" s="11" t="str">
        <f>"Me."&amp;A78&amp; " = " &amp; VLOOKUP(C78,Sheet8!A:D,4,FALSE)&amp;"(recRow.Item("""&amp;A78 &amp;""")" &amp; IF(C78="Number",",6","")&amp;")"</f>
        <v>Me.TowerRedundantHorizontalGageG1Distance4 = DBtoNullableDec(recRow.Item("TowerRedundantHorizontalGageG1Distance4"),6)</v>
      </c>
      <c r="L78" s="11" t="str">
        <f t="shared" si="13"/>
        <v>insertString = insertString.AddtoDBString(Me.TowerRedundantHorizontalGageG1Distance4.ToString)</v>
      </c>
      <c r="M78" s="11" t="str">
        <f t="shared" si="14"/>
        <v>Equals = If(Me.TowerRedundantHorizontalGageG1Distance4.CheckChange(otherToCompare.TowerRedundantHorizontalGageG1Distance4, changes, categoryName, "Tower Redundant Horizontal Gage G 1 Distance 4"), Equals, False)</v>
      </c>
      <c r="N78" s="12" t="str">
        <f t="shared" si="15"/>
        <v xml:space="preserve"> 	Case tnxVar.Equals("TowerRedundantHorizontalGageG1Distance4")
                            Try
                                Me.geometry.baseStructure(recIndex).TowerRedundantHorizontalGageG1Distance4 = tnxValue
                            Catch ex As Exception
                                Debug.Print("Error parsing TNX variable: " &amp; tnxVar)
                            End Try</v>
      </c>
      <c r="O78" s="11" t="str">
        <f t="shared" si="16"/>
        <v>newERIList.Add("TowerRedundantHorizontalGageG1Distance4=" &amp; Me.settings.USUnits.Properties.convertToERIUnits( .TowerRedundantHorizontalGageG1Distance4))</v>
      </c>
      <c r="P78" s="11" t="str">
        <f t="shared" si="17"/>
        <v>SQLInsertValues = SQLInsertValues.AddtoDBString(Me.TowerRedundantHorizontalGageG1Distance4.NullableToString.FormatDBValue)</v>
      </c>
      <c r="Q78" s="11" t="str">
        <f t="shared" si="18"/>
        <v>SQLInsertFields = SQLInsertFields.AddtoDBString("TowerRedundantHorizontalGageG1Distance4")</v>
      </c>
      <c r="R78" s="11" t="str">
        <f t="shared" si="19"/>
        <v>SQLUpdateFieldsandValues = SQLUpdateFieldsandValues.AddtoDBString("TowerRedundantHorizontalGageG1Distance4 = " &amp; Me.TowerRedundantHorizontalGageG1Distance4.NullableToString.FormatDBValue)</v>
      </c>
      <c r="S78" s="10" t="s">
        <v>286</v>
      </c>
    </row>
    <row r="79" spans="1:19" ht="165" x14ac:dyDescent="0.25">
      <c r="A79" s="11" t="s">
        <v>600</v>
      </c>
      <c r="B79" s="11" t="str" cm="1">
        <f t="array" ref="B79">Addspaces(A79)</f>
        <v>Tower Redundant Horizontal Net Width Deduct 4</v>
      </c>
      <c r="C79" s="15" t="s">
        <v>1225</v>
      </c>
      <c r="D79" s="13" t="str">
        <f>VLOOKUP(C79,Sheet8!A:C,2,FALSE)</f>
        <v>decimal(18, 6)</v>
      </c>
      <c r="E79" s="15"/>
      <c r="F79" s="13" t="str">
        <f>VLOOKUP(C79,Sheet8!A:C,3,FALSE)</f>
        <v>Double?</v>
      </c>
      <c r="G79" s="15"/>
      <c r="H79" s="11" t="str">
        <f t="shared" si="10"/>
        <v>ADD TowerRedundantHorizontalNetWidthDeduct4 decimal(18, 6),</v>
      </c>
      <c r="I79" s="11" t="str">
        <f t="shared" si="11"/>
        <v xml:space="preserve">Private _TowerRedundantHorizontalNetWidthDeduct4 As Double? </v>
      </c>
      <c r="J79" s="12" t="str">
        <f t="shared" si="12"/>
        <v xml:space="preserve">     		&lt;Category("TNX Tower Record"), Description(""), DisplayName("Tower Redundant Horizontal Net Width Deduct 4")&gt;
    		&lt;DataMember()&gt; Public Property TowerRedundantHorizontalNetWidthDeduct4() As Double?
        			Get
            				Return Me._TowerRedundantHorizontalNetWidthDeduct4
        			End Get
        			Set
            				Me._TowerRedundantHorizontalNetWidthDeduct4 = Value
        			End Set
    		End Property</v>
      </c>
      <c r="K79" s="11" t="str">
        <f>"Me."&amp;A79&amp; " = " &amp; VLOOKUP(C79,Sheet8!A:D,4,FALSE)&amp;"(recRow.Item("""&amp;A79 &amp;""")" &amp; IF(C79="Number",",6","")&amp;")"</f>
        <v>Me.TowerRedundantHorizontalNetWidthDeduct4 = DBtoNullableDec(recRow.Item("TowerRedundantHorizontalNetWidthDeduct4"),6)</v>
      </c>
      <c r="L79" s="11" t="str">
        <f t="shared" si="13"/>
        <v>insertString = insertString.AddtoDBString(Me.TowerRedundantHorizontalNetWidthDeduct4.ToString)</v>
      </c>
      <c r="M79" s="11" t="str">
        <f t="shared" si="14"/>
        <v>Equals = If(Me.TowerRedundantHorizontalNetWidthDeduct4.CheckChange(otherToCompare.TowerRedundantHorizontalNetWidthDeduct4, changes, categoryName, "Tower Redundant Horizontal Net Width Deduct 4"), Equals, False)</v>
      </c>
      <c r="N79" s="12" t="str">
        <f t="shared" si="15"/>
        <v xml:space="preserve"> 	Case tnxVar.Equals("TowerRedundantHorizontalNetWidthDeduct4")
                            Try
                                Me.geometry.baseStructure(recIndex).TowerRedundantHorizontalNetWidthDeduct4 = tnxValue
                            Catch ex As Exception
                                Debug.Print("Error parsing TNX variable: " &amp; tnxVar)
                            End Try</v>
      </c>
      <c r="O79" s="11" t="str">
        <f t="shared" si="16"/>
        <v>newERIList.Add("TowerRedundantHorizontalNetWidthDeduct4=" &amp; Me.settings.USUnits.Properties.convertToERIUnits( .TowerRedundantHorizontalNetWidthDeduct4))</v>
      </c>
      <c r="P79" s="11" t="str">
        <f t="shared" si="17"/>
        <v>SQLInsertValues = SQLInsertValues.AddtoDBString(Me.TowerRedundantHorizontalNetWidthDeduct4.NullableToString.FormatDBValue)</v>
      </c>
      <c r="Q79" s="11" t="str">
        <f t="shared" si="18"/>
        <v>SQLInsertFields = SQLInsertFields.AddtoDBString("TowerRedundantHorizontalNetWidthDeduct4")</v>
      </c>
      <c r="R79" s="11" t="str">
        <f t="shared" si="19"/>
        <v>SQLUpdateFieldsandValues = SQLUpdateFieldsandValues.AddtoDBString("TowerRedundantHorizontalNetWidthDeduct4 = " &amp; Me.TowerRedundantHorizontalNetWidthDeduct4.NullableToString.FormatDBValue)</v>
      </c>
      <c r="S79" s="10" t="s">
        <v>286</v>
      </c>
    </row>
    <row r="80" spans="1:19" ht="150" x14ac:dyDescent="0.25">
      <c r="A80" s="11" t="s">
        <v>601</v>
      </c>
      <c r="B80" s="11" t="str" cm="1">
        <f t="array" ref="B80">Addspaces(A80)</f>
        <v>Tower Redundant Horizontal U Factor 4</v>
      </c>
      <c r="C80" s="15" t="s">
        <v>1225</v>
      </c>
      <c r="D80" s="13" t="str">
        <f>VLOOKUP(C80,Sheet8!A:C,2,FALSE)</f>
        <v>decimal(18, 6)</v>
      </c>
      <c r="E80" s="15"/>
      <c r="F80" s="13" t="str">
        <f>VLOOKUP(C80,Sheet8!A:C,3,FALSE)</f>
        <v>Double?</v>
      </c>
      <c r="G80" s="15"/>
      <c r="H80" s="11" t="str">
        <f t="shared" si="10"/>
        <v>ADD TowerRedundantHorizontalUFactor4 decimal(18, 6),</v>
      </c>
      <c r="I80" s="11" t="str">
        <f t="shared" si="11"/>
        <v xml:space="preserve">Private _TowerRedundantHorizontalUFactor4 As Double? </v>
      </c>
      <c r="J80" s="12" t="str">
        <f t="shared" si="12"/>
        <v xml:space="preserve">     		&lt;Category("TNX Tower Record"), Description(""), DisplayName("Tower Redundant Horizontal U Factor 4")&gt;
    		&lt;DataMember()&gt; Public Property TowerRedundantHorizontalUFactor4() As Double?
        			Get
            				Return Me._TowerRedundantHorizontalUFactor4
        			End Get
        			Set
            				Me._TowerRedundantHorizontalUFactor4 = Value
        			End Set
    		End Property</v>
      </c>
      <c r="K80" s="11" t="str">
        <f>"Me."&amp;A80&amp; " = " &amp; VLOOKUP(C80,Sheet8!A:D,4,FALSE)&amp;"(recRow.Item("""&amp;A80 &amp;""")" &amp; IF(C80="Number",",6","")&amp;")"</f>
        <v>Me.TowerRedundantHorizontalUFactor4 = DBtoNullableDec(recRow.Item("TowerRedundantHorizontalUFactor4"),6)</v>
      </c>
      <c r="L80" s="11" t="str">
        <f t="shared" si="13"/>
        <v>insertString = insertString.AddtoDBString(Me.TowerRedundantHorizontalUFactor4.ToString)</v>
      </c>
      <c r="M80" s="11" t="str">
        <f t="shared" si="14"/>
        <v>Equals = If(Me.TowerRedundantHorizontalUFactor4.CheckChange(otherToCompare.TowerRedundantHorizontalUFactor4, changes, categoryName, "Tower Redundant Horizontal U Factor 4"), Equals, False)</v>
      </c>
      <c r="N80" s="12" t="str">
        <f t="shared" si="15"/>
        <v xml:space="preserve"> 	Case tnxVar.Equals("TowerRedundantHorizontalUFactor4")
                            Try
                                Me.geometry.baseStructure(recIndex).TowerRedundantHorizontalUFactor4 = tnxValue
                            Catch ex As Exception
                                Debug.Print("Error parsing TNX variable: " &amp; tnxVar)
                            End Try</v>
      </c>
      <c r="O80" s="11" t="str">
        <f t="shared" si="16"/>
        <v>newERIList.Add("TowerRedundantHorizontalUFactor4=" &amp; Me.settings.USUnits.Properties.convertToERIUnits( .TowerRedundantHorizontalUFactor4))</v>
      </c>
      <c r="P80" s="11" t="str">
        <f t="shared" si="17"/>
        <v>SQLInsertValues = SQLInsertValues.AddtoDBString(Me.TowerRedundantHorizontalUFactor4.NullableToString.FormatDBValue)</v>
      </c>
      <c r="Q80" s="11" t="str">
        <f t="shared" si="18"/>
        <v>SQLInsertFields = SQLInsertFields.AddtoDBString("TowerRedundantHorizontalUFactor4")</v>
      </c>
      <c r="R80" s="11" t="str">
        <f t="shared" si="19"/>
        <v>SQLUpdateFieldsandValues = SQLUpdateFieldsandValues.AddtoDBString("TowerRedundantHorizontalUFactor4 = " &amp; Me.TowerRedundantHorizontalUFactor4.NullableToString.FormatDBValue)</v>
      </c>
      <c r="S80" s="10" t="s">
        <v>286</v>
      </c>
    </row>
    <row r="81" spans="1:19" ht="150" x14ac:dyDescent="0.25">
      <c r="A81" s="11" t="s">
        <v>602</v>
      </c>
      <c r="B81" s="11" t="str" cm="1">
        <f t="array" ref="B81">Addspaces(A81)</f>
        <v>Tower Redundant Diagonal Bolt Grade 1</v>
      </c>
      <c r="C81" s="15" t="s">
        <v>1224</v>
      </c>
      <c r="D81" s="13" t="str">
        <f>VLOOKUP(C81,Sheet8!A:C,2,FALSE)</f>
        <v>varchar</v>
      </c>
      <c r="E81" s="15">
        <v>100</v>
      </c>
      <c r="F81" s="13" t="str">
        <f>VLOOKUP(C81,Sheet8!A:C,3,FALSE)</f>
        <v>String</v>
      </c>
      <c r="G81" s="15"/>
      <c r="H81" s="11" t="str">
        <f t="shared" si="10"/>
        <v>ADD TowerRedundantDiagonalBoltGrade1 varchar(100),</v>
      </c>
      <c r="I81" s="11" t="str">
        <f t="shared" si="11"/>
        <v xml:space="preserve">Private _TowerRedundantDiagonalBoltGrade1 As String </v>
      </c>
      <c r="J81" s="12" t="str">
        <f t="shared" si="12"/>
        <v xml:space="preserve">     		&lt;Category("TNX Tower Record"), Description(""), DisplayName("Tower Redundant Diagonal Bolt Grade 1")&gt;
    		&lt;DataMember()&gt; Public Property TowerRedundantDiagonalBoltGrade1() As String
        			Get
            				Return Me._TowerRedundantDiagonalBoltGrade1
        			End Get
        			Set
            				Me._TowerRedundantDiagonalBoltGrade1 = Value
        			End Set
    		End Property</v>
      </c>
      <c r="K81" s="11" t="str">
        <f>"Me."&amp;A81&amp; " = " &amp; VLOOKUP(C81,Sheet8!A:D,4,FALSE)&amp;"(recRow.Item("""&amp;A81 &amp;""")" &amp; IF(C81="Number",",6","")&amp;")"</f>
        <v>Me.TowerRedundantDiagonalBoltGrade1 = DBtoStr(recRow.Item("TowerRedundantDiagonalBoltGrade1"))</v>
      </c>
      <c r="L81" s="11" t="str">
        <f t="shared" si="13"/>
        <v>insertString = insertString.AddtoDBString(Me.TowerRedundantDiagonalBoltGrade1.ToString)</v>
      </c>
      <c r="M81" s="11" t="str">
        <f t="shared" si="14"/>
        <v>Equals = If(Me.TowerRedundantDiagonalBoltGrade1.CheckChange(otherToCompare.TowerRedundantDiagonalBoltGrade1, changes, categoryName, "Tower Redundant Diagonal Bolt Grade 1"), Equals, False)</v>
      </c>
      <c r="N81" s="12" t="str">
        <f t="shared" si="15"/>
        <v xml:space="preserve"> 	Case tnxVar.Equals("TowerRedundantDiagonalBoltGrade1")
                            Try
                                Me.geometry.baseStructure(recIndex).TowerRedundantDiagonalBoltGrade1 = tnxValue
                            Catch ex As Exception
                                Debug.Print("Error parsing TNX variable: " &amp; tnxVar)
                            End Try</v>
      </c>
      <c r="O81" s="11" t="str">
        <f t="shared" si="16"/>
        <v>newERIList.Add("TowerRedundantDiagonalBoltGrade1=" &amp;  .TowerRedundantDiagonalBoltGrade1)</v>
      </c>
      <c r="P81" s="11" t="str">
        <f t="shared" si="17"/>
        <v>SQLInsertValues = SQLInsertValues.AddtoDBString(Me.TowerRedundantDiagonalBoltGrade1.NullableToString.FormatDBValue)</v>
      </c>
      <c r="Q81" s="11" t="str">
        <f t="shared" si="18"/>
        <v>SQLInsertFields = SQLInsertFields.AddtoDBString("TowerRedundantDiagonalBoltGrade1")</v>
      </c>
      <c r="R81" s="11" t="str">
        <f t="shared" si="19"/>
        <v>SQLUpdateFieldsandValues = SQLUpdateFieldsandValues.AddtoDBString("TowerRedundantDiagonalBoltGrade1 = " &amp; Me.TowerRedundantDiagonalBoltGrade1.NullableToString.FormatDBValue)</v>
      </c>
      <c r="S81" s="10" t="s">
        <v>286</v>
      </c>
    </row>
    <row r="82" spans="1:19" ht="150" x14ac:dyDescent="0.25">
      <c r="A82" s="11" t="s">
        <v>603</v>
      </c>
      <c r="B82" s="11" t="str" cm="1">
        <f t="array" ref="B82">Addspaces(A82)</f>
        <v>Tower Redundant Diagonal Bolt Size 1</v>
      </c>
      <c r="C82" s="15" t="s">
        <v>1225</v>
      </c>
      <c r="D82" s="13" t="str">
        <f>VLOOKUP(C82,Sheet8!A:C,2,FALSE)</f>
        <v>decimal(18, 6)</v>
      </c>
      <c r="E82" s="15"/>
      <c r="F82" s="13" t="str">
        <f>VLOOKUP(C82,Sheet8!A:C,3,FALSE)</f>
        <v>Double?</v>
      </c>
      <c r="G82" s="15"/>
      <c r="H82" s="11" t="str">
        <f t="shared" si="10"/>
        <v>ADD TowerRedundantDiagonalBoltSize1 decimal(18, 6),</v>
      </c>
      <c r="I82" s="11" t="str">
        <f t="shared" si="11"/>
        <v xml:space="preserve">Private _TowerRedundantDiagonalBoltSize1 As Double? </v>
      </c>
      <c r="J82" s="12" t="str">
        <f t="shared" si="12"/>
        <v xml:space="preserve">     		&lt;Category("TNX Tower Record"), Description(""), DisplayName("Tower Redundant Diagonal Bolt Size 1")&gt;
    		&lt;DataMember()&gt; Public Property TowerRedundantDiagonalBoltSize1() As Double?
        			Get
            				Return Me._TowerRedundantDiagonalBoltSize1
        			End Get
        			Set
            				Me._TowerRedundantDiagonalBoltSize1 = Value
        			End Set
    		End Property</v>
      </c>
      <c r="K82" s="11" t="str">
        <f>"Me."&amp;A82&amp; " = " &amp; VLOOKUP(C82,Sheet8!A:D,4,FALSE)&amp;"(recRow.Item("""&amp;A82 &amp;""")" &amp; IF(C82="Number",",6","")&amp;")"</f>
        <v>Me.TowerRedundantDiagonalBoltSize1 = DBtoNullableDec(recRow.Item("TowerRedundantDiagonalBoltSize1"),6)</v>
      </c>
      <c r="L82" s="11" t="str">
        <f t="shared" si="13"/>
        <v>insertString = insertString.AddtoDBString(Me.TowerRedundantDiagonalBoltSize1.ToString)</v>
      </c>
      <c r="M82" s="11" t="str">
        <f t="shared" si="14"/>
        <v>Equals = If(Me.TowerRedundantDiagonalBoltSize1.CheckChange(otherToCompare.TowerRedundantDiagonalBoltSize1, changes, categoryName, "Tower Redundant Diagonal Bolt Size 1"), Equals, False)</v>
      </c>
      <c r="N82" s="12" t="str">
        <f t="shared" si="15"/>
        <v xml:space="preserve"> 	Case tnxVar.Equals("TowerRedundantDiagonalBoltSize1")
                            Try
                                Me.geometry.baseStructure(recIndex).TowerRedundantDiagonalBoltSize1 = tnxValue
                            Catch ex As Exception
                                Debug.Print("Error parsing TNX variable: " &amp; tnxVar)
                            End Try</v>
      </c>
      <c r="O82" s="11" t="str">
        <f t="shared" si="16"/>
        <v>newERIList.Add("TowerRedundantDiagonalBoltSize1=" &amp; Me.settings.USUnits.Properties.convertToERIUnits( .TowerRedundantDiagonalBoltSize1))</v>
      </c>
      <c r="P82" s="11" t="str">
        <f t="shared" si="17"/>
        <v>SQLInsertValues = SQLInsertValues.AddtoDBString(Me.TowerRedundantDiagonalBoltSize1.NullableToString.FormatDBValue)</v>
      </c>
      <c r="Q82" s="11" t="str">
        <f t="shared" si="18"/>
        <v>SQLInsertFields = SQLInsertFields.AddtoDBString("TowerRedundantDiagonalBoltSize1")</v>
      </c>
      <c r="R82" s="11" t="str">
        <f t="shared" si="19"/>
        <v>SQLUpdateFieldsandValues = SQLUpdateFieldsandValues.AddtoDBString("TowerRedundantDiagonalBoltSize1 = " &amp; Me.TowerRedundantDiagonalBoltSize1.NullableToString.FormatDBValue)</v>
      </c>
      <c r="S82" s="10" t="s">
        <v>286</v>
      </c>
    </row>
    <row r="83" spans="1:19" ht="150" x14ac:dyDescent="0.25">
      <c r="A83" s="11" t="s">
        <v>604</v>
      </c>
      <c r="B83" s="11" t="str" cm="1">
        <f t="array" ref="B83">Addspaces(A83)</f>
        <v>Tower Redundant Diagonal Num Bolts 1</v>
      </c>
      <c r="C83" s="15" t="s">
        <v>1234</v>
      </c>
      <c r="D83" s="13" t="str">
        <f>VLOOKUP(C83,Sheet8!A:C,2,FALSE)</f>
        <v>int</v>
      </c>
      <c r="E83" s="15"/>
      <c r="F83" s="13" t="str">
        <f>VLOOKUP(C83,Sheet8!A:C,3,FALSE)</f>
        <v>Integer?</v>
      </c>
      <c r="G83" s="15"/>
      <c r="H83" s="11" t="str">
        <f t="shared" si="10"/>
        <v>ADD TowerRedundantDiagonalNumBolts1 int,</v>
      </c>
      <c r="I83" s="11" t="str">
        <f t="shared" si="11"/>
        <v xml:space="preserve">Private _TowerRedundantDiagonalNumBolts1 As Integer? </v>
      </c>
      <c r="J83" s="12" t="str">
        <f t="shared" si="12"/>
        <v xml:space="preserve">     		&lt;Category("TNX Tower Record"), Description(""), DisplayName("Tower Redundant Diagonal Num Bolts 1")&gt;
    		&lt;DataMember()&gt; Public Property TowerRedundantDiagonalNumBolts1() As Integer?
        			Get
            				Return Me._TowerRedundantDiagonalNumBolts1
        			End Get
        			Set
            				Me._TowerRedundantDiagonalNumBolts1 = Value
        			End Set
    		End Property</v>
      </c>
      <c r="K83" s="11" t="str">
        <f>"Me."&amp;A83&amp; " = " &amp; VLOOKUP(C83,Sheet8!A:D,4,FALSE)&amp;"(recRow.Item("""&amp;A83 &amp;""")" &amp; IF(C83="Number",",6","")&amp;")"</f>
        <v>Me.TowerRedundantDiagonalNumBolts1 = DBtoNullableInt(recRow.Item("TowerRedundantDiagonalNumBolts1"))</v>
      </c>
      <c r="L83" s="11" t="str">
        <f t="shared" si="13"/>
        <v>insertString = insertString.AddtoDBString(Me.TowerRedundantDiagonalNumBolts1.ToString)</v>
      </c>
      <c r="M83" s="11" t="str">
        <f t="shared" si="14"/>
        <v>Equals = If(Me.TowerRedundantDiagonalNumBolts1.CheckChange(otherToCompare.TowerRedundantDiagonalNumBolts1, changes, categoryName, "Tower Redundant Diagonal Num Bolts 1"), Equals, False)</v>
      </c>
      <c r="N83" s="12" t="str">
        <f t="shared" si="15"/>
        <v xml:space="preserve"> 	Case tnxVar.Equals("TowerRedundantDiagonalNumBolts1")
                            Try
                                Me.geometry.baseStructure(recIndex).TowerRedundantDiagonalNumBolts1 = tnxValue
                            Catch ex As Exception
                                Debug.Print("Error parsing TNX variable: " &amp; tnxVar)
                            End Try</v>
      </c>
      <c r="O83" s="11" t="str">
        <f t="shared" si="16"/>
        <v>newERIList.Add("TowerRedundantDiagonalNumBolts1=" &amp;  .TowerRedundantDiagonalNumBolts1)</v>
      </c>
      <c r="P83" s="11" t="str">
        <f t="shared" si="17"/>
        <v>SQLInsertValues = SQLInsertValues.AddtoDBString(Me.TowerRedundantDiagonalNumBolts1.NullableToString.FormatDBValue)</v>
      </c>
      <c r="Q83" s="11" t="str">
        <f t="shared" si="18"/>
        <v>SQLInsertFields = SQLInsertFields.AddtoDBString("TowerRedundantDiagonalNumBolts1")</v>
      </c>
      <c r="R83" s="11" t="str">
        <f t="shared" si="19"/>
        <v>SQLUpdateFieldsandValues = SQLUpdateFieldsandValues.AddtoDBString("TowerRedundantDiagonalNumBolts1 = " &amp; Me.TowerRedundantDiagonalNumBolts1.NullableToString.FormatDBValue)</v>
      </c>
      <c r="S83" s="10" t="s">
        <v>286</v>
      </c>
    </row>
    <row r="84" spans="1:19" ht="165" x14ac:dyDescent="0.25">
      <c r="A84" s="11" t="s">
        <v>605</v>
      </c>
      <c r="B84" s="11" t="str" cm="1">
        <f t="array" ref="B84">Addspaces(A84)</f>
        <v>Tower Redundant Diagonal Bolt Edge Distance 1</v>
      </c>
      <c r="C84" s="15" t="s">
        <v>1225</v>
      </c>
      <c r="D84" s="13" t="str">
        <f>VLOOKUP(C84,Sheet8!A:C,2,FALSE)</f>
        <v>decimal(18, 6)</v>
      </c>
      <c r="E84" s="15"/>
      <c r="F84" s="13" t="str">
        <f>VLOOKUP(C84,Sheet8!A:C,3,FALSE)</f>
        <v>Double?</v>
      </c>
      <c r="G84" s="15"/>
      <c r="H84" s="11" t="str">
        <f t="shared" si="10"/>
        <v>ADD TowerRedundantDiagonalBoltEdgeDistance1 decimal(18, 6),</v>
      </c>
      <c r="I84" s="11" t="str">
        <f t="shared" si="11"/>
        <v xml:space="preserve">Private _TowerRedundantDiagonalBoltEdgeDistance1 As Double? </v>
      </c>
      <c r="J84" s="12" t="str">
        <f t="shared" si="12"/>
        <v xml:space="preserve">     		&lt;Category("TNX Tower Record"), Description(""), DisplayName("Tower Redundant Diagonal Bolt Edge Distance 1")&gt;
    		&lt;DataMember()&gt; Public Property TowerRedundantDiagonalBoltEdgeDistance1() As Double?
        			Get
            				Return Me._TowerRedundantDiagonalBoltEdgeDistance1
        			End Get
        			Set
            				Me._TowerRedundantDiagonalBoltEdgeDistance1 = Value
        			End Set
    		End Property</v>
      </c>
      <c r="K84" s="11" t="str">
        <f>"Me."&amp;A84&amp; " = " &amp; VLOOKUP(C84,Sheet8!A:D,4,FALSE)&amp;"(recRow.Item("""&amp;A84 &amp;""")" &amp; IF(C84="Number",",6","")&amp;")"</f>
        <v>Me.TowerRedundantDiagonalBoltEdgeDistance1 = DBtoNullableDec(recRow.Item("TowerRedundantDiagonalBoltEdgeDistance1"),6)</v>
      </c>
      <c r="L84" s="11" t="str">
        <f t="shared" si="13"/>
        <v>insertString = insertString.AddtoDBString(Me.TowerRedundantDiagonalBoltEdgeDistance1.ToString)</v>
      </c>
      <c r="M84" s="11" t="str">
        <f t="shared" si="14"/>
        <v>Equals = If(Me.TowerRedundantDiagonalBoltEdgeDistance1.CheckChange(otherToCompare.TowerRedundantDiagonalBoltEdgeDistance1, changes, categoryName, "Tower Redundant Diagonal Bolt Edge Distance 1"), Equals, False)</v>
      </c>
      <c r="N84" s="12" t="str">
        <f t="shared" si="15"/>
        <v xml:space="preserve"> 	Case tnxVar.Equals("TowerRedundantDiagonalBoltEdgeDistance1")
                            Try
                                Me.geometry.baseStructure(recIndex).TowerRedundantDiagonalBoltEdgeDistance1 = tnxValue
                            Catch ex As Exception
                                Debug.Print("Error parsing TNX variable: " &amp; tnxVar)
                            End Try</v>
      </c>
      <c r="O84" s="11" t="str">
        <f t="shared" si="16"/>
        <v>newERIList.Add("TowerRedundantDiagonalBoltEdgeDistance1=" &amp; Me.settings.USUnits.Properties.convertToERIUnits( .TowerRedundantDiagonalBoltEdgeDistance1))</v>
      </c>
      <c r="P84" s="11" t="str">
        <f t="shared" si="17"/>
        <v>SQLInsertValues = SQLInsertValues.AddtoDBString(Me.TowerRedundantDiagonalBoltEdgeDistance1.NullableToString.FormatDBValue)</v>
      </c>
      <c r="Q84" s="11" t="str">
        <f t="shared" si="18"/>
        <v>SQLInsertFields = SQLInsertFields.AddtoDBString("TowerRedundantDiagonalBoltEdgeDistance1")</v>
      </c>
      <c r="R84" s="11" t="str">
        <f t="shared" si="19"/>
        <v>SQLUpdateFieldsandValues = SQLUpdateFieldsandValues.AddtoDBString("TowerRedundantDiagonalBoltEdgeDistance1 = " &amp; Me.TowerRedundantDiagonalBoltEdgeDistance1.NullableToString.FormatDBValue)</v>
      </c>
      <c r="S84" s="10" t="s">
        <v>286</v>
      </c>
    </row>
    <row r="85" spans="1:19" ht="165" x14ac:dyDescent="0.25">
      <c r="A85" s="11" t="s">
        <v>606</v>
      </c>
      <c r="B85" s="11" t="str" cm="1">
        <f t="array" ref="B85">Addspaces(A85)</f>
        <v>Tower Redundant Diagonal Gage G 1 Distance 1</v>
      </c>
      <c r="C85" s="15" t="s">
        <v>1225</v>
      </c>
      <c r="D85" s="13" t="str">
        <f>VLOOKUP(C85,Sheet8!A:C,2,FALSE)</f>
        <v>decimal(18, 6)</v>
      </c>
      <c r="E85" s="15"/>
      <c r="F85" s="13" t="str">
        <f>VLOOKUP(C85,Sheet8!A:C,3,FALSE)</f>
        <v>Double?</v>
      </c>
      <c r="G85" s="15"/>
      <c r="H85" s="11" t="str">
        <f t="shared" si="10"/>
        <v>ADD TowerRedundantDiagonalGageG1Distance1 decimal(18, 6),</v>
      </c>
      <c r="I85" s="11" t="str">
        <f t="shared" si="11"/>
        <v xml:space="preserve">Private _TowerRedundantDiagonalGageG1Distance1 As Double? </v>
      </c>
      <c r="J85" s="12" t="str">
        <f t="shared" si="12"/>
        <v xml:space="preserve">     		&lt;Category("TNX Tower Record"), Description(""), DisplayName("Tower Redundant Diagonal Gage G 1 Distance 1")&gt;
    		&lt;DataMember()&gt; Public Property TowerRedundantDiagonalGageG1Distance1() As Double?
        			Get
            				Return Me._TowerRedundantDiagonalGageG1Distance1
        			End Get
        			Set
            				Me._TowerRedundantDiagonalGageG1Distance1 = Value
        			End Set
    		End Property</v>
      </c>
      <c r="K85" s="11" t="str">
        <f>"Me."&amp;A85&amp; " = " &amp; VLOOKUP(C85,Sheet8!A:D,4,FALSE)&amp;"(recRow.Item("""&amp;A85 &amp;""")" &amp; IF(C85="Number",",6","")&amp;")"</f>
        <v>Me.TowerRedundantDiagonalGageG1Distance1 = DBtoNullableDec(recRow.Item("TowerRedundantDiagonalGageG1Distance1"),6)</v>
      </c>
      <c r="L85" s="11" t="str">
        <f t="shared" si="13"/>
        <v>insertString = insertString.AddtoDBString(Me.TowerRedundantDiagonalGageG1Distance1.ToString)</v>
      </c>
      <c r="M85" s="11" t="str">
        <f t="shared" si="14"/>
        <v>Equals = If(Me.TowerRedundantDiagonalGageG1Distance1.CheckChange(otherToCompare.TowerRedundantDiagonalGageG1Distance1, changes, categoryName, "Tower Redundant Diagonal Gage G 1 Distance 1"), Equals, False)</v>
      </c>
      <c r="N85" s="12" t="str">
        <f t="shared" si="15"/>
        <v xml:space="preserve"> 	Case tnxVar.Equals("TowerRedundantDiagonalGageG1Distance1")
                            Try
                                Me.geometry.baseStructure(recIndex).TowerRedundantDiagonalGageG1Distance1 = tnxValue
                            Catch ex As Exception
                                Debug.Print("Error parsing TNX variable: " &amp; tnxVar)
                            End Try</v>
      </c>
      <c r="O85" s="11" t="str">
        <f t="shared" si="16"/>
        <v>newERIList.Add("TowerRedundantDiagonalGageG1Distance1=" &amp; Me.settings.USUnits.Properties.convertToERIUnits( .TowerRedundantDiagonalGageG1Distance1))</v>
      </c>
      <c r="P85" s="11" t="str">
        <f t="shared" si="17"/>
        <v>SQLInsertValues = SQLInsertValues.AddtoDBString(Me.TowerRedundantDiagonalGageG1Distance1.NullableToString.FormatDBValue)</v>
      </c>
      <c r="Q85" s="11" t="str">
        <f t="shared" si="18"/>
        <v>SQLInsertFields = SQLInsertFields.AddtoDBString("TowerRedundantDiagonalGageG1Distance1")</v>
      </c>
      <c r="R85" s="11" t="str">
        <f t="shared" si="19"/>
        <v>SQLUpdateFieldsandValues = SQLUpdateFieldsandValues.AddtoDBString("TowerRedundantDiagonalGageG1Distance1 = " &amp; Me.TowerRedundantDiagonalGageG1Distance1.NullableToString.FormatDBValue)</v>
      </c>
      <c r="S85" s="10" t="s">
        <v>286</v>
      </c>
    </row>
    <row r="86" spans="1:19" ht="165" x14ac:dyDescent="0.25">
      <c r="A86" s="11" t="s">
        <v>607</v>
      </c>
      <c r="B86" s="11" t="str" cm="1">
        <f t="array" ref="B86">Addspaces(A86)</f>
        <v>Tower Redundant Diagonal Net Width Deduct 1</v>
      </c>
      <c r="C86" s="15" t="s">
        <v>1225</v>
      </c>
      <c r="D86" s="13" t="str">
        <f>VLOOKUP(C86,Sheet8!A:C,2,FALSE)</f>
        <v>decimal(18, 6)</v>
      </c>
      <c r="E86" s="15"/>
      <c r="F86" s="13" t="str">
        <f>VLOOKUP(C86,Sheet8!A:C,3,FALSE)</f>
        <v>Double?</v>
      </c>
      <c r="G86" s="15"/>
      <c r="H86" s="11" t="str">
        <f t="shared" si="10"/>
        <v>ADD TowerRedundantDiagonalNetWidthDeduct1 decimal(18, 6),</v>
      </c>
      <c r="I86" s="11" t="str">
        <f t="shared" si="11"/>
        <v xml:space="preserve">Private _TowerRedundantDiagonalNetWidthDeduct1 As Double? </v>
      </c>
      <c r="J86" s="12" t="str">
        <f t="shared" si="12"/>
        <v xml:space="preserve">     		&lt;Category("TNX Tower Record"), Description(""), DisplayName("Tower Redundant Diagonal Net Width Deduct 1")&gt;
    		&lt;DataMember()&gt; Public Property TowerRedundantDiagonalNetWidthDeduct1() As Double?
        			Get
            				Return Me._TowerRedundantDiagonalNetWidthDeduct1
        			End Get
        			Set
            				Me._TowerRedundantDiagonalNetWidthDeduct1 = Value
        			End Set
    		End Property</v>
      </c>
      <c r="K86" s="11" t="str">
        <f>"Me."&amp;A86&amp; " = " &amp; VLOOKUP(C86,Sheet8!A:D,4,FALSE)&amp;"(recRow.Item("""&amp;A86 &amp;""")" &amp; IF(C86="Number",",6","")&amp;")"</f>
        <v>Me.TowerRedundantDiagonalNetWidthDeduct1 = DBtoNullableDec(recRow.Item("TowerRedundantDiagonalNetWidthDeduct1"),6)</v>
      </c>
      <c r="L86" s="11" t="str">
        <f t="shared" si="13"/>
        <v>insertString = insertString.AddtoDBString(Me.TowerRedundantDiagonalNetWidthDeduct1.ToString)</v>
      </c>
      <c r="M86" s="11" t="str">
        <f t="shared" si="14"/>
        <v>Equals = If(Me.TowerRedundantDiagonalNetWidthDeduct1.CheckChange(otherToCompare.TowerRedundantDiagonalNetWidthDeduct1, changes, categoryName, "Tower Redundant Diagonal Net Width Deduct 1"), Equals, False)</v>
      </c>
      <c r="N86" s="12" t="str">
        <f t="shared" si="15"/>
        <v xml:space="preserve"> 	Case tnxVar.Equals("TowerRedundantDiagonalNetWidthDeduct1")
                            Try
                                Me.geometry.baseStructure(recIndex).TowerRedundantDiagonalNetWidthDeduct1 = tnxValue
                            Catch ex As Exception
                                Debug.Print("Error parsing TNX variable: " &amp; tnxVar)
                            End Try</v>
      </c>
      <c r="O86" s="11" t="str">
        <f t="shared" si="16"/>
        <v>newERIList.Add("TowerRedundantDiagonalNetWidthDeduct1=" &amp; Me.settings.USUnits.Properties.convertToERIUnits( .TowerRedundantDiagonalNetWidthDeduct1))</v>
      </c>
      <c r="P86" s="11" t="str">
        <f t="shared" si="17"/>
        <v>SQLInsertValues = SQLInsertValues.AddtoDBString(Me.TowerRedundantDiagonalNetWidthDeduct1.NullableToString.FormatDBValue)</v>
      </c>
      <c r="Q86" s="11" t="str">
        <f t="shared" si="18"/>
        <v>SQLInsertFields = SQLInsertFields.AddtoDBString("TowerRedundantDiagonalNetWidthDeduct1")</v>
      </c>
      <c r="R86" s="11" t="str">
        <f t="shared" si="19"/>
        <v>SQLUpdateFieldsandValues = SQLUpdateFieldsandValues.AddtoDBString("TowerRedundantDiagonalNetWidthDeduct1 = " &amp; Me.TowerRedundantDiagonalNetWidthDeduct1.NullableToString.FormatDBValue)</v>
      </c>
      <c r="S86" s="10" t="s">
        <v>286</v>
      </c>
    </row>
    <row r="87" spans="1:19" ht="150" x14ac:dyDescent="0.25">
      <c r="A87" s="11" t="s">
        <v>608</v>
      </c>
      <c r="B87" s="11" t="str" cm="1">
        <f t="array" ref="B87">Addspaces(A87)</f>
        <v>Tower Redundant Diagonal U Factor 1</v>
      </c>
      <c r="C87" s="15" t="s">
        <v>1225</v>
      </c>
      <c r="D87" s="13" t="str">
        <f>VLOOKUP(C87,Sheet8!A:C,2,FALSE)</f>
        <v>decimal(18, 6)</v>
      </c>
      <c r="E87" s="15"/>
      <c r="F87" s="13" t="str">
        <f>VLOOKUP(C87,Sheet8!A:C,3,FALSE)</f>
        <v>Double?</v>
      </c>
      <c r="G87" s="15"/>
      <c r="H87" s="11" t="str">
        <f t="shared" si="10"/>
        <v>ADD TowerRedundantDiagonalUFactor1 decimal(18, 6),</v>
      </c>
      <c r="I87" s="11" t="str">
        <f t="shared" si="11"/>
        <v xml:space="preserve">Private _TowerRedundantDiagonalUFactor1 As Double? </v>
      </c>
      <c r="J87" s="12" t="str">
        <f t="shared" si="12"/>
        <v xml:space="preserve">     		&lt;Category("TNX Tower Record"), Description(""), DisplayName("Tower Redundant Diagonal U Factor 1")&gt;
    		&lt;DataMember()&gt; Public Property TowerRedundantDiagonalUFactor1() As Double?
        			Get
            				Return Me._TowerRedundantDiagonalUFactor1
        			End Get
        			Set
            				Me._TowerRedundantDiagonalUFactor1 = Value
        			End Set
    		End Property</v>
      </c>
      <c r="K87" s="11" t="str">
        <f>"Me."&amp;A87&amp; " = " &amp; VLOOKUP(C87,Sheet8!A:D,4,FALSE)&amp;"(recRow.Item("""&amp;A87 &amp;""")" &amp; IF(C87="Number",",6","")&amp;")"</f>
        <v>Me.TowerRedundantDiagonalUFactor1 = DBtoNullableDec(recRow.Item("TowerRedundantDiagonalUFactor1"),6)</v>
      </c>
      <c r="L87" s="11" t="str">
        <f t="shared" si="13"/>
        <v>insertString = insertString.AddtoDBString(Me.TowerRedundantDiagonalUFactor1.ToString)</v>
      </c>
      <c r="M87" s="11" t="str">
        <f t="shared" si="14"/>
        <v>Equals = If(Me.TowerRedundantDiagonalUFactor1.CheckChange(otherToCompare.TowerRedundantDiagonalUFactor1, changes, categoryName, "Tower Redundant Diagonal U Factor 1"), Equals, False)</v>
      </c>
      <c r="N87" s="12" t="str">
        <f t="shared" si="15"/>
        <v xml:space="preserve"> 	Case tnxVar.Equals("TowerRedundantDiagonalUFactor1")
                            Try
                                Me.geometry.baseStructure(recIndex).TowerRedundantDiagonalUFactor1 = tnxValue
                            Catch ex As Exception
                                Debug.Print("Error parsing TNX variable: " &amp; tnxVar)
                            End Try</v>
      </c>
      <c r="O87" s="11" t="str">
        <f t="shared" si="16"/>
        <v>newERIList.Add("TowerRedundantDiagonalUFactor1=" &amp; Me.settings.USUnits.Properties.convertToERIUnits( .TowerRedundantDiagonalUFactor1))</v>
      </c>
      <c r="P87" s="11" t="str">
        <f t="shared" si="17"/>
        <v>SQLInsertValues = SQLInsertValues.AddtoDBString(Me.TowerRedundantDiagonalUFactor1.NullableToString.FormatDBValue)</v>
      </c>
      <c r="Q87" s="11" t="str">
        <f t="shared" si="18"/>
        <v>SQLInsertFields = SQLInsertFields.AddtoDBString("TowerRedundantDiagonalUFactor1")</v>
      </c>
      <c r="R87" s="11" t="str">
        <f t="shared" si="19"/>
        <v>SQLUpdateFieldsandValues = SQLUpdateFieldsandValues.AddtoDBString("TowerRedundantDiagonalUFactor1 = " &amp; Me.TowerRedundantDiagonalUFactor1.NullableToString.FormatDBValue)</v>
      </c>
      <c r="S87" s="10" t="s">
        <v>286</v>
      </c>
    </row>
    <row r="88" spans="1:19" ht="150" x14ac:dyDescent="0.25">
      <c r="A88" s="11" t="s">
        <v>609</v>
      </c>
      <c r="B88" s="11" t="str" cm="1">
        <f t="array" ref="B88">Addspaces(A88)</f>
        <v>Tower Redundant Diagonal Bolt Grade 2</v>
      </c>
      <c r="C88" s="15" t="s">
        <v>1224</v>
      </c>
      <c r="D88" s="13" t="str">
        <f>VLOOKUP(C88,Sheet8!A:C,2,FALSE)</f>
        <v>varchar</v>
      </c>
      <c r="E88" s="15">
        <v>100</v>
      </c>
      <c r="F88" s="13" t="str">
        <f>VLOOKUP(C88,Sheet8!A:C,3,FALSE)</f>
        <v>String</v>
      </c>
      <c r="G88" s="15"/>
      <c r="H88" s="11" t="str">
        <f t="shared" si="10"/>
        <v>ADD TowerRedundantDiagonalBoltGrade2 varchar(100),</v>
      </c>
      <c r="I88" s="11" t="str">
        <f t="shared" si="11"/>
        <v xml:space="preserve">Private _TowerRedundantDiagonalBoltGrade2 As String </v>
      </c>
      <c r="J88" s="12" t="str">
        <f t="shared" si="12"/>
        <v xml:space="preserve">     		&lt;Category("TNX Tower Record"), Description(""), DisplayName("Tower Redundant Diagonal Bolt Grade 2")&gt;
    		&lt;DataMember()&gt; Public Property TowerRedundantDiagonalBoltGrade2() As String
        			Get
            				Return Me._TowerRedundantDiagonalBoltGrade2
        			End Get
        			Set
            				Me._TowerRedundantDiagonalBoltGrade2 = Value
        			End Set
    		End Property</v>
      </c>
      <c r="K88" s="11" t="str">
        <f>"Me."&amp;A88&amp; " = " &amp; VLOOKUP(C88,Sheet8!A:D,4,FALSE)&amp;"(recRow.Item("""&amp;A88 &amp;""")" &amp; IF(C88="Number",",6","")&amp;")"</f>
        <v>Me.TowerRedundantDiagonalBoltGrade2 = DBtoStr(recRow.Item("TowerRedundantDiagonalBoltGrade2"))</v>
      </c>
      <c r="L88" s="11" t="str">
        <f t="shared" si="13"/>
        <v>insertString = insertString.AddtoDBString(Me.TowerRedundantDiagonalBoltGrade2.ToString)</v>
      </c>
      <c r="M88" s="11" t="str">
        <f t="shared" si="14"/>
        <v>Equals = If(Me.TowerRedundantDiagonalBoltGrade2.CheckChange(otherToCompare.TowerRedundantDiagonalBoltGrade2, changes, categoryName, "Tower Redundant Diagonal Bolt Grade 2"), Equals, False)</v>
      </c>
      <c r="N88" s="12" t="str">
        <f t="shared" si="15"/>
        <v xml:space="preserve"> 	Case tnxVar.Equals("TowerRedundantDiagonalBoltGrade2")
                            Try
                                Me.geometry.baseStructure(recIndex).TowerRedundantDiagonalBoltGrade2 = tnxValue
                            Catch ex As Exception
                                Debug.Print("Error parsing TNX variable: " &amp; tnxVar)
                            End Try</v>
      </c>
      <c r="O88" s="11" t="str">
        <f t="shared" si="16"/>
        <v>newERIList.Add("TowerRedundantDiagonalBoltGrade2=" &amp;  .TowerRedundantDiagonalBoltGrade2)</v>
      </c>
      <c r="P88" s="11" t="str">
        <f t="shared" si="17"/>
        <v>SQLInsertValues = SQLInsertValues.AddtoDBString(Me.TowerRedundantDiagonalBoltGrade2.NullableToString.FormatDBValue)</v>
      </c>
      <c r="Q88" s="11" t="str">
        <f t="shared" si="18"/>
        <v>SQLInsertFields = SQLInsertFields.AddtoDBString("TowerRedundantDiagonalBoltGrade2")</v>
      </c>
      <c r="R88" s="11" t="str">
        <f t="shared" si="19"/>
        <v>SQLUpdateFieldsandValues = SQLUpdateFieldsandValues.AddtoDBString("TowerRedundantDiagonalBoltGrade2 = " &amp; Me.TowerRedundantDiagonalBoltGrade2.NullableToString.FormatDBValue)</v>
      </c>
      <c r="S88" s="10" t="s">
        <v>286</v>
      </c>
    </row>
    <row r="89" spans="1:19" ht="150" x14ac:dyDescent="0.25">
      <c r="A89" s="11" t="s">
        <v>610</v>
      </c>
      <c r="B89" s="11" t="str" cm="1">
        <f t="array" ref="B89">Addspaces(A89)</f>
        <v>Tower Redundant Diagonal Bolt Size 2</v>
      </c>
      <c r="C89" s="15" t="s">
        <v>1225</v>
      </c>
      <c r="D89" s="13" t="str">
        <f>VLOOKUP(C89,Sheet8!A:C,2,FALSE)</f>
        <v>decimal(18, 6)</v>
      </c>
      <c r="E89" s="15"/>
      <c r="F89" s="13" t="str">
        <f>VLOOKUP(C89,Sheet8!A:C,3,FALSE)</f>
        <v>Double?</v>
      </c>
      <c r="G89" s="15"/>
      <c r="H89" s="11" t="str">
        <f t="shared" si="10"/>
        <v>ADD TowerRedundantDiagonalBoltSize2 decimal(18, 6),</v>
      </c>
      <c r="I89" s="11" t="str">
        <f t="shared" si="11"/>
        <v xml:space="preserve">Private _TowerRedundantDiagonalBoltSize2 As Double? </v>
      </c>
      <c r="J89" s="12" t="str">
        <f t="shared" si="12"/>
        <v xml:space="preserve">     		&lt;Category("TNX Tower Record"), Description(""), DisplayName("Tower Redundant Diagonal Bolt Size 2")&gt;
    		&lt;DataMember()&gt; Public Property TowerRedundantDiagonalBoltSize2() As Double?
        			Get
            				Return Me._TowerRedundantDiagonalBoltSize2
        			End Get
        			Set
            				Me._TowerRedundantDiagonalBoltSize2 = Value
        			End Set
    		End Property</v>
      </c>
      <c r="K89" s="11" t="str">
        <f>"Me."&amp;A89&amp; " = " &amp; VLOOKUP(C89,Sheet8!A:D,4,FALSE)&amp;"(recRow.Item("""&amp;A89 &amp;""")" &amp; IF(C89="Number",",6","")&amp;")"</f>
        <v>Me.TowerRedundantDiagonalBoltSize2 = DBtoNullableDec(recRow.Item("TowerRedundantDiagonalBoltSize2"),6)</v>
      </c>
      <c r="L89" s="11" t="str">
        <f t="shared" si="13"/>
        <v>insertString = insertString.AddtoDBString(Me.TowerRedundantDiagonalBoltSize2.ToString)</v>
      </c>
      <c r="M89" s="11" t="str">
        <f t="shared" si="14"/>
        <v>Equals = If(Me.TowerRedundantDiagonalBoltSize2.CheckChange(otherToCompare.TowerRedundantDiagonalBoltSize2, changes, categoryName, "Tower Redundant Diagonal Bolt Size 2"), Equals, False)</v>
      </c>
      <c r="N89" s="12" t="str">
        <f t="shared" si="15"/>
        <v xml:space="preserve"> 	Case tnxVar.Equals("TowerRedundantDiagonalBoltSize2")
                            Try
                                Me.geometry.baseStructure(recIndex).TowerRedundantDiagonalBoltSize2 = tnxValue
                            Catch ex As Exception
                                Debug.Print("Error parsing TNX variable: " &amp; tnxVar)
                            End Try</v>
      </c>
      <c r="O89" s="11" t="str">
        <f t="shared" si="16"/>
        <v>newERIList.Add("TowerRedundantDiagonalBoltSize2=" &amp; Me.settings.USUnits.Properties.convertToERIUnits( .TowerRedundantDiagonalBoltSize2))</v>
      </c>
      <c r="P89" s="11" t="str">
        <f t="shared" si="17"/>
        <v>SQLInsertValues = SQLInsertValues.AddtoDBString(Me.TowerRedundantDiagonalBoltSize2.NullableToString.FormatDBValue)</v>
      </c>
      <c r="Q89" s="11" t="str">
        <f t="shared" si="18"/>
        <v>SQLInsertFields = SQLInsertFields.AddtoDBString("TowerRedundantDiagonalBoltSize2")</v>
      </c>
      <c r="R89" s="11" t="str">
        <f t="shared" si="19"/>
        <v>SQLUpdateFieldsandValues = SQLUpdateFieldsandValues.AddtoDBString("TowerRedundantDiagonalBoltSize2 = " &amp; Me.TowerRedundantDiagonalBoltSize2.NullableToString.FormatDBValue)</v>
      </c>
      <c r="S89" s="10" t="s">
        <v>286</v>
      </c>
    </row>
    <row r="90" spans="1:19" ht="150" x14ac:dyDescent="0.25">
      <c r="A90" s="11" t="s">
        <v>611</v>
      </c>
      <c r="B90" s="11" t="str" cm="1">
        <f t="array" ref="B90">Addspaces(A90)</f>
        <v>Tower Redundant Diagonal Num Bolts 2</v>
      </c>
      <c r="C90" s="15" t="s">
        <v>1234</v>
      </c>
      <c r="D90" s="13" t="str">
        <f>VLOOKUP(C90,Sheet8!A:C,2,FALSE)</f>
        <v>int</v>
      </c>
      <c r="E90" s="15"/>
      <c r="F90" s="13" t="str">
        <f>VLOOKUP(C90,Sheet8!A:C,3,FALSE)</f>
        <v>Integer?</v>
      </c>
      <c r="G90" s="15"/>
      <c r="H90" s="11" t="str">
        <f t="shared" si="10"/>
        <v>ADD TowerRedundantDiagonalNumBolts2 int,</v>
      </c>
      <c r="I90" s="11" t="str">
        <f t="shared" si="11"/>
        <v xml:space="preserve">Private _TowerRedundantDiagonalNumBolts2 As Integer? </v>
      </c>
      <c r="J90" s="12" t="str">
        <f t="shared" si="12"/>
        <v xml:space="preserve">     		&lt;Category("TNX Tower Record"), Description(""), DisplayName("Tower Redundant Diagonal Num Bolts 2")&gt;
    		&lt;DataMember()&gt; Public Property TowerRedundantDiagonalNumBolts2() As Integer?
        			Get
            				Return Me._TowerRedundantDiagonalNumBolts2
        			End Get
        			Set
            				Me._TowerRedundantDiagonalNumBolts2 = Value
        			End Set
    		End Property</v>
      </c>
      <c r="K90" s="11" t="str">
        <f>"Me."&amp;A90&amp; " = " &amp; VLOOKUP(C90,Sheet8!A:D,4,FALSE)&amp;"(recRow.Item("""&amp;A90 &amp;""")" &amp; IF(C90="Number",",6","")&amp;")"</f>
        <v>Me.TowerRedundantDiagonalNumBolts2 = DBtoNullableInt(recRow.Item("TowerRedundantDiagonalNumBolts2"))</v>
      </c>
      <c r="L90" s="11" t="str">
        <f t="shared" si="13"/>
        <v>insertString = insertString.AddtoDBString(Me.TowerRedundantDiagonalNumBolts2.ToString)</v>
      </c>
      <c r="M90" s="11" t="str">
        <f t="shared" si="14"/>
        <v>Equals = If(Me.TowerRedundantDiagonalNumBolts2.CheckChange(otherToCompare.TowerRedundantDiagonalNumBolts2, changes, categoryName, "Tower Redundant Diagonal Num Bolts 2"), Equals, False)</v>
      </c>
      <c r="N90" s="12" t="str">
        <f t="shared" si="15"/>
        <v xml:space="preserve"> 	Case tnxVar.Equals("TowerRedundantDiagonalNumBolts2")
                            Try
                                Me.geometry.baseStructure(recIndex).TowerRedundantDiagonalNumBolts2 = tnxValue
                            Catch ex As Exception
                                Debug.Print("Error parsing TNX variable: " &amp; tnxVar)
                            End Try</v>
      </c>
      <c r="O90" s="11" t="str">
        <f t="shared" si="16"/>
        <v>newERIList.Add("TowerRedundantDiagonalNumBolts2=" &amp;  .TowerRedundantDiagonalNumBolts2)</v>
      </c>
      <c r="P90" s="11" t="str">
        <f t="shared" si="17"/>
        <v>SQLInsertValues = SQLInsertValues.AddtoDBString(Me.TowerRedundantDiagonalNumBolts2.NullableToString.FormatDBValue)</v>
      </c>
      <c r="Q90" s="11" t="str">
        <f t="shared" si="18"/>
        <v>SQLInsertFields = SQLInsertFields.AddtoDBString("TowerRedundantDiagonalNumBolts2")</v>
      </c>
      <c r="R90" s="11" t="str">
        <f t="shared" si="19"/>
        <v>SQLUpdateFieldsandValues = SQLUpdateFieldsandValues.AddtoDBString("TowerRedundantDiagonalNumBolts2 = " &amp; Me.TowerRedundantDiagonalNumBolts2.NullableToString.FormatDBValue)</v>
      </c>
      <c r="S90" s="10" t="s">
        <v>286</v>
      </c>
    </row>
    <row r="91" spans="1:19" ht="165" x14ac:dyDescent="0.25">
      <c r="A91" s="11" t="s">
        <v>612</v>
      </c>
      <c r="B91" s="11" t="str" cm="1">
        <f t="array" ref="B91">Addspaces(A91)</f>
        <v>Tower Redundant Diagonal Bolt Edge Distance 2</v>
      </c>
      <c r="C91" s="15" t="s">
        <v>1225</v>
      </c>
      <c r="D91" s="13" t="str">
        <f>VLOOKUP(C91,Sheet8!A:C,2,FALSE)</f>
        <v>decimal(18, 6)</v>
      </c>
      <c r="E91" s="15"/>
      <c r="F91" s="13" t="str">
        <f>VLOOKUP(C91,Sheet8!A:C,3,FALSE)</f>
        <v>Double?</v>
      </c>
      <c r="G91" s="15"/>
      <c r="H91" s="11" t="str">
        <f t="shared" si="10"/>
        <v>ADD TowerRedundantDiagonalBoltEdgeDistance2 decimal(18, 6),</v>
      </c>
      <c r="I91" s="11" t="str">
        <f t="shared" si="11"/>
        <v xml:space="preserve">Private _TowerRedundantDiagonalBoltEdgeDistance2 As Double? </v>
      </c>
      <c r="J91" s="12" t="str">
        <f t="shared" si="12"/>
        <v xml:space="preserve">     		&lt;Category("TNX Tower Record"), Description(""), DisplayName("Tower Redundant Diagonal Bolt Edge Distance 2")&gt;
    		&lt;DataMember()&gt; Public Property TowerRedundantDiagonalBoltEdgeDistance2() As Double?
        			Get
            				Return Me._TowerRedundantDiagonalBoltEdgeDistance2
        			End Get
        			Set
            				Me._TowerRedundantDiagonalBoltEdgeDistance2 = Value
        			End Set
    		End Property</v>
      </c>
      <c r="K91" s="11" t="str">
        <f>"Me."&amp;A91&amp; " = " &amp; VLOOKUP(C91,Sheet8!A:D,4,FALSE)&amp;"(recRow.Item("""&amp;A91 &amp;""")" &amp; IF(C91="Number",",6","")&amp;")"</f>
        <v>Me.TowerRedundantDiagonalBoltEdgeDistance2 = DBtoNullableDec(recRow.Item("TowerRedundantDiagonalBoltEdgeDistance2"),6)</v>
      </c>
      <c r="L91" s="11" t="str">
        <f t="shared" si="13"/>
        <v>insertString = insertString.AddtoDBString(Me.TowerRedundantDiagonalBoltEdgeDistance2.ToString)</v>
      </c>
      <c r="M91" s="11" t="str">
        <f t="shared" si="14"/>
        <v>Equals = If(Me.TowerRedundantDiagonalBoltEdgeDistance2.CheckChange(otherToCompare.TowerRedundantDiagonalBoltEdgeDistance2, changes, categoryName, "Tower Redundant Diagonal Bolt Edge Distance 2"), Equals, False)</v>
      </c>
      <c r="N91" s="12" t="str">
        <f t="shared" si="15"/>
        <v xml:space="preserve"> 	Case tnxVar.Equals("TowerRedundantDiagonalBoltEdgeDistance2")
                            Try
                                Me.geometry.baseStructure(recIndex).TowerRedundantDiagonalBoltEdgeDistance2 = tnxValue
                            Catch ex As Exception
                                Debug.Print("Error parsing TNX variable: " &amp; tnxVar)
                            End Try</v>
      </c>
      <c r="O91" s="11" t="str">
        <f t="shared" si="16"/>
        <v>newERIList.Add("TowerRedundantDiagonalBoltEdgeDistance2=" &amp; Me.settings.USUnits.Properties.convertToERIUnits( .TowerRedundantDiagonalBoltEdgeDistance2))</v>
      </c>
      <c r="P91" s="11" t="str">
        <f t="shared" si="17"/>
        <v>SQLInsertValues = SQLInsertValues.AddtoDBString(Me.TowerRedundantDiagonalBoltEdgeDistance2.NullableToString.FormatDBValue)</v>
      </c>
      <c r="Q91" s="11" t="str">
        <f t="shared" si="18"/>
        <v>SQLInsertFields = SQLInsertFields.AddtoDBString("TowerRedundantDiagonalBoltEdgeDistance2")</v>
      </c>
      <c r="R91" s="11" t="str">
        <f t="shared" si="19"/>
        <v>SQLUpdateFieldsandValues = SQLUpdateFieldsandValues.AddtoDBString("TowerRedundantDiagonalBoltEdgeDistance2 = " &amp; Me.TowerRedundantDiagonalBoltEdgeDistance2.NullableToString.FormatDBValue)</v>
      </c>
      <c r="S91" s="10" t="s">
        <v>286</v>
      </c>
    </row>
    <row r="92" spans="1:19" ht="165" x14ac:dyDescent="0.25">
      <c r="A92" s="11" t="s">
        <v>613</v>
      </c>
      <c r="B92" s="11" t="str" cm="1">
        <f t="array" ref="B92">Addspaces(A92)</f>
        <v>Tower Redundant Diagonal Gage G 1 Distance 2</v>
      </c>
      <c r="C92" s="15" t="s">
        <v>1225</v>
      </c>
      <c r="D92" s="13" t="str">
        <f>VLOOKUP(C92,Sheet8!A:C,2,FALSE)</f>
        <v>decimal(18, 6)</v>
      </c>
      <c r="E92" s="15"/>
      <c r="F92" s="13" t="str">
        <f>VLOOKUP(C92,Sheet8!A:C,3,FALSE)</f>
        <v>Double?</v>
      </c>
      <c r="G92" s="15"/>
      <c r="H92" s="11" t="str">
        <f t="shared" si="10"/>
        <v>ADD TowerRedundantDiagonalGageG1Distance2 decimal(18, 6),</v>
      </c>
      <c r="I92" s="11" t="str">
        <f t="shared" si="11"/>
        <v xml:space="preserve">Private _TowerRedundantDiagonalGageG1Distance2 As Double? </v>
      </c>
      <c r="J92" s="12" t="str">
        <f t="shared" si="12"/>
        <v xml:space="preserve">     		&lt;Category("TNX Tower Record"), Description(""), DisplayName("Tower Redundant Diagonal Gage G 1 Distance 2")&gt;
    		&lt;DataMember()&gt; Public Property TowerRedundantDiagonalGageG1Distance2() As Double?
        			Get
            				Return Me._TowerRedundantDiagonalGageG1Distance2
        			End Get
        			Set
            				Me._TowerRedundantDiagonalGageG1Distance2 = Value
        			End Set
    		End Property</v>
      </c>
      <c r="K92" s="11" t="str">
        <f>"Me."&amp;A92&amp; " = " &amp; VLOOKUP(C92,Sheet8!A:D,4,FALSE)&amp;"(recRow.Item("""&amp;A92 &amp;""")" &amp; IF(C92="Number",",6","")&amp;")"</f>
        <v>Me.TowerRedundantDiagonalGageG1Distance2 = DBtoNullableDec(recRow.Item("TowerRedundantDiagonalGageG1Distance2"),6)</v>
      </c>
      <c r="L92" s="11" t="str">
        <f t="shared" si="13"/>
        <v>insertString = insertString.AddtoDBString(Me.TowerRedundantDiagonalGageG1Distance2.ToString)</v>
      </c>
      <c r="M92" s="11" t="str">
        <f t="shared" si="14"/>
        <v>Equals = If(Me.TowerRedundantDiagonalGageG1Distance2.CheckChange(otherToCompare.TowerRedundantDiagonalGageG1Distance2, changes, categoryName, "Tower Redundant Diagonal Gage G 1 Distance 2"), Equals, False)</v>
      </c>
      <c r="N92" s="12" t="str">
        <f t="shared" si="15"/>
        <v xml:space="preserve"> 	Case tnxVar.Equals("TowerRedundantDiagonalGageG1Distance2")
                            Try
                                Me.geometry.baseStructure(recIndex).TowerRedundantDiagonalGageG1Distance2 = tnxValue
                            Catch ex As Exception
                                Debug.Print("Error parsing TNX variable: " &amp; tnxVar)
                            End Try</v>
      </c>
      <c r="O92" s="11" t="str">
        <f t="shared" si="16"/>
        <v>newERIList.Add("TowerRedundantDiagonalGageG1Distance2=" &amp; Me.settings.USUnits.Properties.convertToERIUnits( .TowerRedundantDiagonalGageG1Distance2))</v>
      </c>
      <c r="P92" s="11" t="str">
        <f t="shared" si="17"/>
        <v>SQLInsertValues = SQLInsertValues.AddtoDBString(Me.TowerRedundantDiagonalGageG1Distance2.NullableToString.FormatDBValue)</v>
      </c>
      <c r="Q92" s="11" t="str">
        <f t="shared" si="18"/>
        <v>SQLInsertFields = SQLInsertFields.AddtoDBString("TowerRedundantDiagonalGageG1Distance2")</v>
      </c>
      <c r="R92" s="11" t="str">
        <f t="shared" si="19"/>
        <v>SQLUpdateFieldsandValues = SQLUpdateFieldsandValues.AddtoDBString("TowerRedundantDiagonalGageG1Distance2 = " &amp; Me.TowerRedundantDiagonalGageG1Distance2.NullableToString.FormatDBValue)</v>
      </c>
      <c r="S92" s="10" t="s">
        <v>286</v>
      </c>
    </row>
    <row r="93" spans="1:19" ht="165" x14ac:dyDescent="0.25">
      <c r="A93" s="11" t="s">
        <v>614</v>
      </c>
      <c r="B93" s="11" t="str" cm="1">
        <f t="array" ref="B93">Addspaces(A93)</f>
        <v>Tower Redundant Diagonal Net Width Deduct 2</v>
      </c>
      <c r="C93" s="15" t="s">
        <v>1225</v>
      </c>
      <c r="D93" s="13" t="str">
        <f>VLOOKUP(C93,Sheet8!A:C,2,FALSE)</f>
        <v>decimal(18, 6)</v>
      </c>
      <c r="E93" s="15"/>
      <c r="F93" s="13" t="str">
        <f>VLOOKUP(C93,Sheet8!A:C,3,FALSE)</f>
        <v>Double?</v>
      </c>
      <c r="G93" s="15"/>
      <c r="H93" s="11" t="str">
        <f t="shared" si="10"/>
        <v>ADD TowerRedundantDiagonalNetWidthDeduct2 decimal(18, 6),</v>
      </c>
      <c r="I93" s="11" t="str">
        <f t="shared" si="11"/>
        <v xml:space="preserve">Private _TowerRedundantDiagonalNetWidthDeduct2 As Double? </v>
      </c>
      <c r="J93" s="12" t="str">
        <f t="shared" si="12"/>
        <v xml:space="preserve">     		&lt;Category("TNX Tower Record"), Description(""), DisplayName("Tower Redundant Diagonal Net Width Deduct 2")&gt;
    		&lt;DataMember()&gt; Public Property TowerRedundantDiagonalNetWidthDeduct2() As Double?
        			Get
            				Return Me._TowerRedundantDiagonalNetWidthDeduct2
        			End Get
        			Set
            				Me._TowerRedundantDiagonalNetWidthDeduct2 = Value
        			End Set
    		End Property</v>
      </c>
      <c r="K93" s="11" t="str">
        <f>"Me."&amp;A93&amp; " = " &amp; VLOOKUP(C93,Sheet8!A:D,4,FALSE)&amp;"(recRow.Item("""&amp;A93 &amp;""")" &amp; IF(C93="Number",",6","")&amp;")"</f>
        <v>Me.TowerRedundantDiagonalNetWidthDeduct2 = DBtoNullableDec(recRow.Item("TowerRedundantDiagonalNetWidthDeduct2"),6)</v>
      </c>
      <c r="L93" s="11" t="str">
        <f t="shared" si="13"/>
        <v>insertString = insertString.AddtoDBString(Me.TowerRedundantDiagonalNetWidthDeduct2.ToString)</v>
      </c>
      <c r="M93" s="11" t="str">
        <f t="shared" si="14"/>
        <v>Equals = If(Me.TowerRedundantDiagonalNetWidthDeduct2.CheckChange(otherToCompare.TowerRedundantDiagonalNetWidthDeduct2, changes, categoryName, "Tower Redundant Diagonal Net Width Deduct 2"), Equals, False)</v>
      </c>
      <c r="N93" s="12" t="str">
        <f t="shared" si="15"/>
        <v xml:space="preserve"> 	Case tnxVar.Equals("TowerRedundantDiagonalNetWidthDeduct2")
                            Try
                                Me.geometry.baseStructure(recIndex).TowerRedundantDiagonalNetWidthDeduct2 = tnxValue
                            Catch ex As Exception
                                Debug.Print("Error parsing TNX variable: " &amp; tnxVar)
                            End Try</v>
      </c>
      <c r="O93" s="11" t="str">
        <f t="shared" si="16"/>
        <v>newERIList.Add("TowerRedundantDiagonalNetWidthDeduct2=" &amp; Me.settings.USUnits.Properties.convertToERIUnits( .TowerRedundantDiagonalNetWidthDeduct2))</v>
      </c>
      <c r="P93" s="11" t="str">
        <f t="shared" si="17"/>
        <v>SQLInsertValues = SQLInsertValues.AddtoDBString(Me.TowerRedundantDiagonalNetWidthDeduct2.NullableToString.FormatDBValue)</v>
      </c>
      <c r="Q93" s="11" t="str">
        <f t="shared" si="18"/>
        <v>SQLInsertFields = SQLInsertFields.AddtoDBString("TowerRedundantDiagonalNetWidthDeduct2")</v>
      </c>
      <c r="R93" s="11" t="str">
        <f t="shared" si="19"/>
        <v>SQLUpdateFieldsandValues = SQLUpdateFieldsandValues.AddtoDBString("TowerRedundantDiagonalNetWidthDeduct2 = " &amp; Me.TowerRedundantDiagonalNetWidthDeduct2.NullableToString.FormatDBValue)</v>
      </c>
      <c r="S93" s="10" t="s">
        <v>286</v>
      </c>
    </row>
    <row r="94" spans="1:19" ht="150" x14ac:dyDescent="0.25">
      <c r="A94" s="11" t="s">
        <v>615</v>
      </c>
      <c r="B94" s="11" t="str" cm="1">
        <f t="array" ref="B94">Addspaces(A94)</f>
        <v>Tower Redundant Diagonal U Factor 2</v>
      </c>
      <c r="C94" s="15" t="s">
        <v>1225</v>
      </c>
      <c r="D94" s="13" t="str">
        <f>VLOOKUP(C94,Sheet8!A:C,2,FALSE)</f>
        <v>decimal(18, 6)</v>
      </c>
      <c r="E94" s="15"/>
      <c r="F94" s="13" t="str">
        <f>VLOOKUP(C94,Sheet8!A:C,3,FALSE)</f>
        <v>Double?</v>
      </c>
      <c r="G94" s="15"/>
      <c r="H94" s="11" t="str">
        <f t="shared" si="10"/>
        <v>ADD TowerRedundantDiagonalUFactor2 decimal(18, 6),</v>
      </c>
      <c r="I94" s="11" t="str">
        <f t="shared" si="11"/>
        <v xml:space="preserve">Private _TowerRedundantDiagonalUFactor2 As Double? </v>
      </c>
      <c r="J94" s="12" t="str">
        <f t="shared" si="12"/>
        <v xml:space="preserve">     		&lt;Category("TNX Tower Record"), Description(""), DisplayName("Tower Redundant Diagonal U Factor 2")&gt;
    		&lt;DataMember()&gt; Public Property TowerRedundantDiagonalUFactor2() As Double?
        			Get
            				Return Me._TowerRedundantDiagonalUFactor2
        			End Get
        			Set
            				Me._TowerRedundantDiagonalUFactor2 = Value
        			End Set
    		End Property</v>
      </c>
      <c r="K94" s="11" t="str">
        <f>"Me."&amp;A94&amp; " = " &amp; VLOOKUP(C94,Sheet8!A:D,4,FALSE)&amp;"(recRow.Item("""&amp;A94 &amp;""")" &amp; IF(C94="Number",",6","")&amp;")"</f>
        <v>Me.TowerRedundantDiagonalUFactor2 = DBtoNullableDec(recRow.Item("TowerRedundantDiagonalUFactor2"),6)</v>
      </c>
      <c r="L94" s="11" t="str">
        <f t="shared" si="13"/>
        <v>insertString = insertString.AddtoDBString(Me.TowerRedundantDiagonalUFactor2.ToString)</v>
      </c>
      <c r="M94" s="11" t="str">
        <f t="shared" si="14"/>
        <v>Equals = If(Me.TowerRedundantDiagonalUFactor2.CheckChange(otherToCompare.TowerRedundantDiagonalUFactor2, changes, categoryName, "Tower Redundant Diagonal U Factor 2"), Equals, False)</v>
      </c>
      <c r="N94" s="12" t="str">
        <f t="shared" si="15"/>
        <v xml:space="preserve"> 	Case tnxVar.Equals("TowerRedundantDiagonalUFactor2")
                            Try
                                Me.geometry.baseStructure(recIndex).TowerRedundantDiagonalUFactor2 = tnxValue
                            Catch ex As Exception
                                Debug.Print("Error parsing TNX variable: " &amp; tnxVar)
                            End Try</v>
      </c>
      <c r="O94" s="11" t="str">
        <f t="shared" si="16"/>
        <v>newERIList.Add("TowerRedundantDiagonalUFactor2=" &amp; Me.settings.USUnits.Properties.convertToERIUnits( .TowerRedundantDiagonalUFactor2))</v>
      </c>
      <c r="P94" s="11" t="str">
        <f t="shared" si="17"/>
        <v>SQLInsertValues = SQLInsertValues.AddtoDBString(Me.TowerRedundantDiagonalUFactor2.NullableToString.FormatDBValue)</v>
      </c>
      <c r="Q94" s="11" t="str">
        <f t="shared" si="18"/>
        <v>SQLInsertFields = SQLInsertFields.AddtoDBString("TowerRedundantDiagonalUFactor2")</v>
      </c>
      <c r="R94" s="11" t="str">
        <f t="shared" si="19"/>
        <v>SQLUpdateFieldsandValues = SQLUpdateFieldsandValues.AddtoDBString("TowerRedundantDiagonalUFactor2 = " &amp; Me.TowerRedundantDiagonalUFactor2.NullableToString.FormatDBValue)</v>
      </c>
      <c r="S94" s="10" t="s">
        <v>286</v>
      </c>
    </row>
    <row r="95" spans="1:19" ht="150" x14ac:dyDescent="0.25">
      <c r="A95" s="11" t="s">
        <v>616</v>
      </c>
      <c r="B95" s="11" t="str" cm="1">
        <f t="array" ref="B95">Addspaces(A95)</f>
        <v>Tower Redundant Diagonal Bolt Grade 3</v>
      </c>
      <c r="C95" s="15" t="s">
        <v>1224</v>
      </c>
      <c r="D95" s="13" t="str">
        <f>VLOOKUP(C95,Sheet8!A:C,2,FALSE)</f>
        <v>varchar</v>
      </c>
      <c r="E95" s="15">
        <v>100</v>
      </c>
      <c r="F95" s="13" t="str">
        <f>VLOOKUP(C95,Sheet8!A:C,3,FALSE)</f>
        <v>String</v>
      </c>
      <c r="G95" s="15"/>
      <c r="H95" s="11" t="str">
        <f t="shared" si="10"/>
        <v>ADD TowerRedundantDiagonalBoltGrade3 varchar(100),</v>
      </c>
      <c r="I95" s="11" t="str">
        <f t="shared" si="11"/>
        <v xml:space="preserve">Private _TowerRedundantDiagonalBoltGrade3 As String </v>
      </c>
      <c r="J95" s="12" t="str">
        <f t="shared" si="12"/>
        <v xml:space="preserve">     		&lt;Category("TNX Tower Record"), Description(""), DisplayName("Tower Redundant Diagonal Bolt Grade 3")&gt;
    		&lt;DataMember()&gt; Public Property TowerRedundantDiagonalBoltGrade3() As String
        			Get
            				Return Me._TowerRedundantDiagonalBoltGrade3
        			End Get
        			Set
            				Me._TowerRedundantDiagonalBoltGrade3 = Value
        			End Set
    		End Property</v>
      </c>
      <c r="K95" s="11" t="str">
        <f>"Me."&amp;A95&amp; " = " &amp; VLOOKUP(C95,Sheet8!A:D,4,FALSE)&amp;"(recRow.Item("""&amp;A95 &amp;""")" &amp; IF(C95="Number",",6","")&amp;")"</f>
        <v>Me.TowerRedundantDiagonalBoltGrade3 = DBtoStr(recRow.Item("TowerRedundantDiagonalBoltGrade3"))</v>
      </c>
      <c r="L95" s="11" t="str">
        <f t="shared" si="13"/>
        <v>insertString = insertString.AddtoDBString(Me.TowerRedundantDiagonalBoltGrade3.ToString)</v>
      </c>
      <c r="M95" s="11" t="str">
        <f t="shared" si="14"/>
        <v>Equals = If(Me.TowerRedundantDiagonalBoltGrade3.CheckChange(otherToCompare.TowerRedundantDiagonalBoltGrade3, changes, categoryName, "Tower Redundant Diagonal Bolt Grade 3"), Equals, False)</v>
      </c>
      <c r="N95" s="12" t="str">
        <f t="shared" si="15"/>
        <v xml:space="preserve"> 	Case tnxVar.Equals("TowerRedundantDiagonalBoltGrade3")
                            Try
                                Me.geometry.baseStructure(recIndex).TowerRedundantDiagonalBoltGrade3 = tnxValue
                            Catch ex As Exception
                                Debug.Print("Error parsing TNX variable: " &amp; tnxVar)
                            End Try</v>
      </c>
      <c r="O95" s="11" t="str">
        <f t="shared" si="16"/>
        <v>newERIList.Add("TowerRedundantDiagonalBoltGrade3=" &amp;  .TowerRedundantDiagonalBoltGrade3)</v>
      </c>
      <c r="P95" s="11" t="str">
        <f t="shared" si="17"/>
        <v>SQLInsertValues = SQLInsertValues.AddtoDBString(Me.TowerRedundantDiagonalBoltGrade3.NullableToString.FormatDBValue)</v>
      </c>
      <c r="Q95" s="11" t="str">
        <f t="shared" si="18"/>
        <v>SQLInsertFields = SQLInsertFields.AddtoDBString("TowerRedundantDiagonalBoltGrade3")</v>
      </c>
      <c r="R95" s="11" t="str">
        <f t="shared" si="19"/>
        <v>SQLUpdateFieldsandValues = SQLUpdateFieldsandValues.AddtoDBString("TowerRedundantDiagonalBoltGrade3 = " &amp; Me.TowerRedundantDiagonalBoltGrade3.NullableToString.FormatDBValue)</v>
      </c>
      <c r="S95" s="10" t="s">
        <v>286</v>
      </c>
    </row>
    <row r="96" spans="1:19" ht="150" x14ac:dyDescent="0.25">
      <c r="A96" s="11" t="s">
        <v>617</v>
      </c>
      <c r="B96" s="11" t="str" cm="1">
        <f t="array" ref="B96">Addspaces(A96)</f>
        <v>Tower Redundant Diagonal Bolt Size 3</v>
      </c>
      <c r="C96" s="15" t="s">
        <v>1225</v>
      </c>
      <c r="D96" s="13" t="str">
        <f>VLOOKUP(C96,Sheet8!A:C,2,FALSE)</f>
        <v>decimal(18, 6)</v>
      </c>
      <c r="E96" s="15"/>
      <c r="F96" s="13" t="str">
        <f>VLOOKUP(C96,Sheet8!A:C,3,FALSE)</f>
        <v>Double?</v>
      </c>
      <c r="G96" s="15"/>
      <c r="H96" s="11" t="str">
        <f t="shared" si="10"/>
        <v>ADD TowerRedundantDiagonalBoltSize3 decimal(18, 6),</v>
      </c>
      <c r="I96" s="11" t="str">
        <f t="shared" si="11"/>
        <v xml:space="preserve">Private _TowerRedundantDiagonalBoltSize3 As Double? </v>
      </c>
      <c r="J96" s="12" t="str">
        <f t="shared" si="12"/>
        <v xml:space="preserve">     		&lt;Category("TNX Tower Record"), Description(""), DisplayName("Tower Redundant Diagonal Bolt Size 3")&gt;
    		&lt;DataMember()&gt; Public Property TowerRedundantDiagonalBoltSize3() As Double?
        			Get
            				Return Me._TowerRedundantDiagonalBoltSize3
        			End Get
        			Set
            				Me._TowerRedundantDiagonalBoltSize3 = Value
        			End Set
    		End Property</v>
      </c>
      <c r="K96" s="11" t="str">
        <f>"Me."&amp;A96&amp; " = " &amp; VLOOKUP(C96,Sheet8!A:D,4,FALSE)&amp;"(recRow.Item("""&amp;A96 &amp;""")" &amp; IF(C96="Number",",6","")&amp;")"</f>
        <v>Me.TowerRedundantDiagonalBoltSize3 = DBtoNullableDec(recRow.Item("TowerRedundantDiagonalBoltSize3"),6)</v>
      </c>
      <c r="L96" s="11" t="str">
        <f t="shared" si="13"/>
        <v>insertString = insertString.AddtoDBString(Me.TowerRedundantDiagonalBoltSize3.ToString)</v>
      </c>
      <c r="M96" s="11" t="str">
        <f t="shared" si="14"/>
        <v>Equals = If(Me.TowerRedundantDiagonalBoltSize3.CheckChange(otherToCompare.TowerRedundantDiagonalBoltSize3, changes, categoryName, "Tower Redundant Diagonal Bolt Size 3"), Equals, False)</v>
      </c>
      <c r="N96" s="12" t="str">
        <f t="shared" si="15"/>
        <v xml:space="preserve"> 	Case tnxVar.Equals("TowerRedundantDiagonalBoltSize3")
                            Try
                                Me.geometry.baseStructure(recIndex).TowerRedundantDiagonalBoltSize3 = tnxValue
                            Catch ex As Exception
                                Debug.Print("Error parsing TNX variable: " &amp; tnxVar)
                            End Try</v>
      </c>
      <c r="O96" s="11" t="str">
        <f t="shared" si="16"/>
        <v>newERIList.Add("TowerRedundantDiagonalBoltSize3=" &amp; Me.settings.USUnits.Properties.convertToERIUnits( .TowerRedundantDiagonalBoltSize3))</v>
      </c>
      <c r="P96" s="11" t="str">
        <f t="shared" si="17"/>
        <v>SQLInsertValues = SQLInsertValues.AddtoDBString(Me.TowerRedundantDiagonalBoltSize3.NullableToString.FormatDBValue)</v>
      </c>
      <c r="Q96" s="11" t="str">
        <f t="shared" si="18"/>
        <v>SQLInsertFields = SQLInsertFields.AddtoDBString("TowerRedundantDiagonalBoltSize3")</v>
      </c>
      <c r="R96" s="11" t="str">
        <f t="shared" si="19"/>
        <v>SQLUpdateFieldsandValues = SQLUpdateFieldsandValues.AddtoDBString("TowerRedundantDiagonalBoltSize3 = " &amp; Me.TowerRedundantDiagonalBoltSize3.NullableToString.FormatDBValue)</v>
      </c>
      <c r="S96" s="10" t="s">
        <v>286</v>
      </c>
    </row>
    <row r="97" spans="1:19" ht="150" x14ac:dyDescent="0.25">
      <c r="A97" s="11" t="s">
        <v>618</v>
      </c>
      <c r="B97" s="11" t="str" cm="1">
        <f t="array" ref="B97">Addspaces(A97)</f>
        <v>Tower Redundant Diagonal Num Bolts 3</v>
      </c>
      <c r="C97" s="15" t="s">
        <v>1234</v>
      </c>
      <c r="D97" s="13" t="str">
        <f>VLOOKUP(C97,Sheet8!A:C,2,FALSE)</f>
        <v>int</v>
      </c>
      <c r="E97" s="15"/>
      <c r="F97" s="13" t="str">
        <f>VLOOKUP(C97,Sheet8!A:C,3,FALSE)</f>
        <v>Integer?</v>
      </c>
      <c r="G97" s="15"/>
      <c r="H97" s="11" t="str">
        <f t="shared" si="10"/>
        <v>ADD TowerRedundantDiagonalNumBolts3 int,</v>
      </c>
      <c r="I97" s="11" t="str">
        <f t="shared" si="11"/>
        <v xml:space="preserve">Private _TowerRedundantDiagonalNumBolts3 As Integer? </v>
      </c>
      <c r="J97" s="12" t="str">
        <f t="shared" si="12"/>
        <v xml:space="preserve">     		&lt;Category("TNX Tower Record"), Description(""), DisplayName("Tower Redundant Diagonal Num Bolts 3")&gt;
    		&lt;DataMember()&gt; Public Property TowerRedundantDiagonalNumBolts3() As Integer?
        			Get
            				Return Me._TowerRedundantDiagonalNumBolts3
        			End Get
        			Set
            				Me._TowerRedundantDiagonalNumBolts3 = Value
        			End Set
    		End Property</v>
      </c>
      <c r="K97" s="11" t="str">
        <f>"Me."&amp;A97&amp; " = " &amp; VLOOKUP(C97,Sheet8!A:D,4,FALSE)&amp;"(recRow.Item("""&amp;A97 &amp;""")" &amp; IF(C97="Number",",6","")&amp;")"</f>
        <v>Me.TowerRedundantDiagonalNumBolts3 = DBtoNullableInt(recRow.Item("TowerRedundantDiagonalNumBolts3"))</v>
      </c>
      <c r="L97" s="11" t="str">
        <f t="shared" si="13"/>
        <v>insertString = insertString.AddtoDBString(Me.TowerRedundantDiagonalNumBolts3.ToString)</v>
      </c>
      <c r="M97" s="11" t="str">
        <f t="shared" si="14"/>
        <v>Equals = If(Me.TowerRedundantDiagonalNumBolts3.CheckChange(otherToCompare.TowerRedundantDiagonalNumBolts3, changes, categoryName, "Tower Redundant Diagonal Num Bolts 3"), Equals, False)</v>
      </c>
      <c r="N97" s="12" t="str">
        <f t="shared" si="15"/>
        <v xml:space="preserve"> 	Case tnxVar.Equals("TowerRedundantDiagonalNumBolts3")
                            Try
                                Me.geometry.baseStructure(recIndex).TowerRedundantDiagonalNumBolts3 = tnxValue
                            Catch ex As Exception
                                Debug.Print("Error parsing TNX variable: " &amp; tnxVar)
                            End Try</v>
      </c>
      <c r="O97" s="11" t="str">
        <f t="shared" si="16"/>
        <v>newERIList.Add("TowerRedundantDiagonalNumBolts3=" &amp;  .TowerRedundantDiagonalNumBolts3)</v>
      </c>
      <c r="P97" s="11" t="str">
        <f t="shared" si="17"/>
        <v>SQLInsertValues = SQLInsertValues.AddtoDBString(Me.TowerRedundantDiagonalNumBolts3.NullableToString.FormatDBValue)</v>
      </c>
      <c r="Q97" s="11" t="str">
        <f t="shared" si="18"/>
        <v>SQLInsertFields = SQLInsertFields.AddtoDBString("TowerRedundantDiagonalNumBolts3")</v>
      </c>
      <c r="R97" s="11" t="str">
        <f t="shared" si="19"/>
        <v>SQLUpdateFieldsandValues = SQLUpdateFieldsandValues.AddtoDBString("TowerRedundantDiagonalNumBolts3 = " &amp; Me.TowerRedundantDiagonalNumBolts3.NullableToString.FormatDBValue)</v>
      </c>
      <c r="S97" s="10" t="s">
        <v>286</v>
      </c>
    </row>
    <row r="98" spans="1:19" ht="165" x14ac:dyDescent="0.25">
      <c r="A98" s="11" t="s">
        <v>619</v>
      </c>
      <c r="B98" s="11" t="str" cm="1">
        <f t="array" ref="B98">Addspaces(A98)</f>
        <v>Tower Redundant Diagonal Bolt Edge Distance 3</v>
      </c>
      <c r="C98" s="15" t="s">
        <v>1225</v>
      </c>
      <c r="D98" s="13" t="str">
        <f>VLOOKUP(C98,Sheet8!A:C,2,FALSE)</f>
        <v>decimal(18, 6)</v>
      </c>
      <c r="E98" s="15"/>
      <c r="F98" s="13" t="str">
        <f>VLOOKUP(C98,Sheet8!A:C,3,FALSE)</f>
        <v>Double?</v>
      </c>
      <c r="G98" s="15"/>
      <c r="H98" s="11" t="str">
        <f t="shared" si="10"/>
        <v>ADD TowerRedundantDiagonalBoltEdgeDistance3 decimal(18, 6),</v>
      </c>
      <c r="I98" s="11" t="str">
        <f t="shared" si="11"/>
        <v xml:space="preserve">Private _TowerRedundantDiagonalBoltEdgeDistance3 As Double? </v>
      </c>
      <c r="J98" s="12" t="str">
        <f t="shared" si="12"/>
        <v xml:space="preserve">     		&lt;Category("TNX Tower Record"), Description(""), DisplayName("Tower Redundant Diagonal Bolt Edge Distance 3")&gt;
    		&lt;DataMember()&gt; Public Property TowerRedundantDiagonalBoltEdgeDistance3() As Double?
        			Get
            				Return Me._TowerRedundantDiagonalBoltEdgeDistance3
        			End Get
        			Set
            				Me._TowerRedundantDiagonalBoltEdgeDistance3 = Value
        			End Set
    		End Property</v>
      </c>
      <c r="K98" s="11" t="str">
        <f>"Me."&amp;A98&amp; " = " &amp; VLOOKUP(C98,Sheet8!A:D,4,FALSE)&amp;"(recRow.Item("""&amp;A98 &amp;""")" &amp; IF(C98="Number",",6","")&amp;")"</f>
        <v>Me.TowerRedundantDiagonalBoltEdgeDistance3 = DBtoNullableDec(recRow.Item("TowerRedundantDiagonalBoltEdgeDistance3"),6)</v>
      </c>
      <c r="L98" s="11" t="str">
        <f t="shared" si="13"/>
        <v>insertString = insertString.AddtoDBString(Me.TowerRedundantDiagonalBoltEdgeDistance3.ToString)</v>
      </c>
      <c r="M98" s="11" t="str">
        <f t="shared" si="14"/>
        <v>Equals = If(Me.TowerRedundantDiagonalBoltEdgeDistance3.CheckChange(otherToCompare.TowerRedundantDiagonalBoltEdgeDistance3, changes, categoryName, "Tower Redundant Diagonal Bolt Edge Distance 3"), Equals, False)</v>
      </c>
      <c r="N98" s="12" t="str">
        <f t="shared" si="15"/>
        <v xml:space="preserve"> 	Case tnxVar.Equals("TowerRedundantDiagonalBoltEdgeDistance3")
                            Try
                                Me.geometry.baseStructure(recIndex).TowerRedundantDiagonalBoltEdgeDistance3 = tnxValue
                            Catch ex As Exception
                                Debug.Print("Error parsing TNX variable: " &amp; tnxVar)
                            End Try</v>
      </c>
      <c r="O98" s="11" t="str">
        <f t="shared" si="16"/>
        <v>newERIList.Add("TowerRedundantDiagonalBoltEdgeDistance3=" &amp; Me.settings.USUnits.Properties.convertToERIUnits( .TowerRedundantDiagonalBoltEdgeDistance3))</v>
      </c>
      <c r="P98" s="11" t="str">
        <f t="shared" si="17"/>
        <v>SQLInsertValues = SQLInsertValues.AddtoDBString(Me.TowerRedundantDiagonalBoltEdgeDistance3.NullableToString.FormatDBValue)</v>
      </c>
      <c r="Q98" s="11" t="str">
        <f t="shared" si="18"/>
        <v>SQLInsertFields = SQLInsertFields.AddtoDBString("TowerRedundantDiagonalBoltEdgeDistance3")</v>
      </c>
      <c r="R98" s="11" t="str">
        <f t="shared" si="19"/>
        <v>SQLUpdateFieldsandValues = SQLUpdateFieldsandValues.AddtoDBString("TowerRedundantDiagonalBoltEdgeDistance3 = " &amp; Me.TowerRedundantDiagonalBoltEdgeDistance3.NullableToString.FormatDBValue)</v>
      </c>
      <c r="S98" s="10" t="s">
        <v>286</v>
      </c>
    </row>
    <row r="99" spans="1:19" ht="165" x14ac:dyDescent="0.25">
      <c r="A99" s="11" t="s">
        <v>620</v>
      </c>
      <c r="B99" s="11" t="str" cm="1">
        <f t="array" ref="B99">Addspaces(A99)</f>
        <v>Tower Redundant Diagonal Gage G 1 Distance 3</v>
      </c>
      <c r="C99" s="15" t="s">
        <v>1225</v>
      </c>
      <c r="D99" s="13" t="str">
        <f>VLOOKUP(C99,Sheet8!A:C,2,FALSE)</f>
        <v>decimal(18, 6)</v>
      </c>
      <c r="E99" s="15"/>
      <c r="F99" s="13" t="str">
        <f>VLOOKUP(C99,Sheet8!A:C,3,FALSE)</f>
        <v>Double?</v>
      </c>
      <c r="G99" s="15"/>
      <c r="H99" s="11" t="str">
        <f t="shared" si="10"/>
        <v>ADD TowerRedundantDiagonalGageG1Distance3 decimal(18, 6),</v>
      </c>
      <c r="I99" s="11" t="str">
        <f t="shared" si="11"/>
        <v xml:space="preserve">Private _TowerRedundantDiagonalGageG1Distance3 As Double? </v>
      </c>
      <c r="J99" s="12" t="str">
        <f t="shared" si="12"/>
        <v xml:space="preserve">     		&lt;Category("TNX Tower Record"), Description(""), DisplayName("Tower Redundant Diagonal Gage G 1 Distance 3")&gt;
    		&lt;DataMember()&gt; Public Property TowerRedundantDiagonalGageG1Distance3() As Double?
        			Get
            				Return Me._TowerRedundantDiagonalGageG1Distance3
        			End Get
        			Set
            				Me._TowerRedundantDiagonalGageG1Distance3 = Value
        			End Set
    		End Property</v>
      </c>
      <c r="K99" s="11" t="str">
        <f>"Me."&amp;A99&amp; " = " &amp; VLOOKUP(C99,Sheet8!A:D,4,FALSE)&amp;"(recRow.Item("""&amp;A99 &amp;""")" &amp; IF(C99="Number",",6","")&amp;")"</f>
        <v>Me.TowerRedundantDiagonalGageG1Distance3 = DBtoNullableDec(recRow.Item("TowerRedundantDiagonalGageG1Distance3"),6)</v>
      </c>
      <c r="L99" s="11" t="str">
        <f t="shared" si="13"/>
        <v>insertString = insertString.AddtoDBString(Me.TowerRedundantDiagonalGageG1Distance3.ToString)</v>
      </c>
      <c r="M99" s="11" t="str">
        <f t="shared" si="14"/>
        <v>Equals = If(Me.TowerRedundantDiagonalGageG1Distance3.CheckChange(otherToCompare.TowerRedundantDiagonalGageG1Distance3, changes, categoryName, "Tower Redundant Diagonal Gage G 1 Distance 3"), Equals, False)</v>
      </c>
      <c r="N99" s="12" t="str">
        <f t="shared" si="15"/>
        <v xml:space="preserve"> 	Case tnxVar.Equals("TowerRedundantDiagonalGageG1Distance3")
                            Try
                                Me.geometry.baseStructure(recIndex).TowerRedundantDiagonalGageG1Distance3 = tnxValue
                            Catch ex As Exception
                                Debug.Print("Error parsing TNX variable: " &amp; tnxVar)
                            End Try</v>
      </c>
      <c r="O99" s="11" t="str">
        <f t="shared" si="16"/>
        <v>newERIList.Add("TowerRedundantDiagonalGageG1Distance3=" &amp; Me.settings.USUnits.Properties.convertToERIUnits( .TowerRedundantDiagonalGageG1Distance3))</v>
      </c>
      <c r="P99" s="11" t="str">
        <f t="shared" si="17"/>
        <v>SQLInsertValues = SQLInsertValues.AddtoDBString(Me.TowerRedundantDiagonalGageG1Distance3.NullableToString.FormatDBValue)</v>
      </c>
      <c r="Q99" s="11" t="str">
        <f t="shared" si="18"/>
        <v>SQLInsertFields = SQLInsertFields.AddtoDBString("TowerRedundantDiagonalGageG1Distance3")</v>
      </c>
      <c r="R99" s="11" t="str">
        <f t="shared" si="19"/>
        <v>SQLUpdateFieldsandValues = SQLUpdateFieldsandValues.AddtoDBString("TowerRedundantDiagonalGageG1Distance3 = " &amp; Me.TowerRedundantDiagonalGageG1Distance3.NullableToString.FormatDBValue)</v>
      </c>
      <c r="S99" s="10" t="s">
        <v>286</v>
      </c>
    </row>
    <row r="100" spans="1:19" ht="165" x14ac:dyDescent="0.25">
      <c r="A100" s="11" t="s">
        <v>621</v>
      </c>
      <c r="B100" s="11" t="str" cm="1">
        <f t="array" ref="B100">Addspaces(A100)</f>
        <v>Tower Redundant Diagonal Net Width Deduct 3</v>
      </c>
      <c r="C100" s="15" t="s">
        <v>1225</v>
      </c>
      <c r="D100" s="13" t="str">
        <f>VLOOKUP(C100,Sheet8!A:C,2,FALSE)</f>
        <v>decimal(18, 6)</v>
      </c>
      <c r="E100" s="15"/>
      <c r="F100" s="13" t="str">
        <f>VLOOKUP(C100,Sheet8!A:C,3,FALSE)</f>
        <v>Double?</v>
      </c>
      <c r="G100" s="15"/>
      <c r="H100" s="11" t="str">
        <f t="shared" si="10"/>
        <v>ADD TowerRedundantDiagonalNetWidthDeduct3 decimal(18, 6),</v>
      </c>
      <c r="I100" s="11" t="str">
        <f t="shared" si="11"/>
        <v xml:space="preserve">Private _TowerRedundantDiagonalNetWidthDeduct3 As Double? </v>
      </c>
      <c r="J100" s="12" t="str">
        <f t="shared" si="12"/>
        <v xml:space="preserve">     		&lt;Category("TNX Tower Record"), Description(""), DisplayName("Tower Redundant Diagonal Net Width Deduct 3")&gt;
    		&lt;DataMember()&gt; Public Property TowerRedundantDiagonalNetWidthDeduct3() As Double?
        			Get
            				Return Me._TowerRedundantDiagonalNetWidthDeduct3
        			End Get
        			Set
            				Me._TowerRedundantDiagonalNetWidthDeduct3 = Value
        			End Set
    		End Property</v>
      </c>
      <c r="K100" s="11" t="str">
        <f>"Me."&amp;A100&amp; " = " &amp; VLOOKUP(C100,Sheet8!A:D,4,FALSE)&amp;"(recRow.Item("""&amp;A100 &amp;""")" &amp; IF(C100="Number",",6","")&amp;")"</f>
        <v>Me.TowerRedundantDiagonalNetWidthDeduct3 = DBtoNullableDec(recRow.Item("TowerRedundantDiagonalNetWidthDeduct3"),6)</v>
      </c>
      <c r="L100" s="11" t="str">
        <f t="shared" si="13"/>
        <v>insertString = insertString.AddtoDBString(Me.TowerRedundantDiagonalNetWidthDeduct3.ToString)</v>
      </c>
      <c r="M100" s="11" t="str">
        <f t="shared" si="14"/>
        <v>Equals = If(Me.TowerRedundantDiagonalNetWidthDeduct3.CheckChange(otherToCompare.TowerRedundantDiagonalNetWidthDeduct3, changes, categoryName, "Tower Redundant Diagonal Net Width Deduct 3"), Equals, False)</v>
      </c>
      <c r="N100" s="12" t="str">
        <f t="shared" si="15"/>
        <v xml:space="preserve"> 	Case tnxVar.Equals("TowerRedundantDiagonalNetWidthDeduct3")
                            Try
                                Me.geometry.baseStructure(recIndex).TowerRedundantDiagonalNetWidthDeduct3 = tnxValue
                            Catch ex As Exception
                                Debug.Print("Error parsing TNX variable: " &amp; tnxVar)
                            End Try</v>
      </c>
      <c r="O100" s="11" t="str">
        <f t="shared" si="16"/>
        <v>newERIList.Add("TowerRedundantDiagonalNetWidthDeduct3=" &amp; Me.settings.USUnits.Properties.convertToERIUnits( .TowerRedundantDiagonalNetWidthDeduct3))</v>
      </c>
      <c r="P100" s="11" t="str">
        <f t="shared" si="17"/>
        <v>SQLInsertValues = SQLInsertValues.AddtoDBString(Me.TowerRedundantDiagonalNetWidthDeduct3.NullableToString.FormatDBValue)</v>
      </c>
      <c r="Q100" s="11" t="str">
        <f t="shared" si="18"/>
        <v>SQLInsertFields = SQLInsertFields.AddtoDBString("TowerRedundantDiagonalNetWidthDeduct3")</v>
      </c>
      <c r="R100" s="11" t="str">
        <f t="shared" si="19"/>
        <v>SQLUpdateFieldsandValues = SQLUpdateFieldsandValues.AddtoDBString("TowerRedundantDiagonalNetWidthDeduct3 = " &amp; Me.TowerRedundantDiagonalNetWidthDeduct3.NullableToString.FormatDBValue)</v>
      </c>
      <c r="S100" s="10" t="s">
        <v>286</v>
      </c>
    </row>
    <row r="101" spans="1:19" ht="150" x14ac:dyDescent="0.25">
      <c r="A101" s="11" t="s">
        <v>622</v>
      </c>
      <c r="B101" s="11" t="str" cm="1">
        <f t="array" ref="B101">Addspaces(A101)</f>
        <v>Tower Redundant Diagonal U Factor 3</v>
      </c>
      <c r="C101" s="15" t="s">
        <v>1225</v>
      </c>
      <c r="D101" s="13" t="str">
        <f>VLOOKUP(C101,Sheet8!A:C,2,FALSE)</f>
        <v>decimal(18, 6)</v>
      </c>
      <c r="E101" s="15"/>
      <c r="F101" s="13" t="str">
        <f>VLOOKUP(C101,Sheet8!A:C,3,FALSE)</f>
        <v>Double?</v>
      </c>
      <c r="G101" s="15"/>
      <c r="H101" s="11" t="str">
        <f t="shared" si="10"/>
        <v>ADD TowerRedundantDiagonalUFactor3 decimal(18, 6),</v>
      </c>
      <c r="I101" s="11" t="str">
        <f t="shared" si="11"/>
        <v xml:space="preserve">Private _TowerRedundantDiagonalUFactor3 As Double? </v>
      </c>
      <c r="J101" s="12" t="str">
        <f t="shared" si="12"/>
        <v xml:space="preserve">     		&lt;Category("TNX Tower Record"), Description(""), DisplayName("Tower Redundant Diagonal U Factor 3")&gt;
    		&lt;DataMember()&gt; Public Property TowerRedundantDiagonalUFactor3() As Double?
        			Get
            				Return Me._TowerRedundantDiagonalUFactor3
        			End Get
        			Set
            				Me._TowerRedundantDiagonalUFactor3 = Value
        			End Set
    		End Property</v>
      </c>
      <c r="K101" s="11" t="str">
        <f>"Me."&amp;A101&amp; " = " &amp; VLOOKUP(C101,Sheet8!A:D,4,FALSE)&amp;"(recRow.Item("""&amp;A101 &amp;""")" &amp; IF(C101="Number",",6","")&amp;")"</f>
        <v>Me.TowerRedundantDiagonalUFactor3 = DBtoNullableDec(recRow.Item("TowerRedundantDiagonalUFactor3"),6)</v>
      </c>
      <c r="L101" s="11" t="str">
        <f t="shared" si="13"/>
        <v>insertString = insertString.AddtoDBString(Me.TowerRedundantDiagonalUFactor3.ToString)</v>
      </c>
      <c r="M101" s="11" t="str">
        <f t="shared" si="14"/>
        <v>Equals = If(Me.TowerRedundantDiagonalUFactor3.CheckChange(otherToCompare.TowerRedundantDiagonalUFactor3, changes, categoryName, "Tower Redundant Diagonal U Factor 3"), Equals, False)</v>
      </c>
      <c r="N101" s="12" t="str">
        <f t="shared" si="15"/>
        <v xml:space="preserve"> 	Case tnxVar.Equals("TowerRedundantDiagonalUFactor3")
                            Try
                                Me.geometry.baseStructure(recIndex).TowerRedundantDiagonalUFactor3 = tnxValue
                            Catch ex As Exception
                                Debug.Print("Error parsing TNX variable: " &amp; tnxVar)
                            End Try</v>
      </c>
      <c r="O101" s="11" t="str">
        <f t="shared" si="16"/>
        <v>newERIList.Add("TowerRedundantDiagonalUFactor3=" &amp; Me.settings.USUnits.Properties.convertToERIUnits( .TowerRedundantDiagonalUFactor3))</v>
      </c>
      <c r="P101" s="11" t="str">
        <f t="shared" si="17"/>
        <v>SQLInsertValues = SQLInsertValues.AddtoDBString(Me.TowerRedundantDiagonalUFactor3.NullableToString.FormatDBValue)</v>
      </c>
      <c r="Q101" s="11" t="str">
        <f t="shared" si="18"/>
        <v>SQLInsertFields = SQLInsertFields.AddtoDBString("TowerRedundantDiagonalUFactor3")</v>
      </c>
      <c r="R101" s="11" t="str">
        <f t="shared" si="19"/>
        <v>SQLUpdateFieldsandValues = SQLUpdateFieldsandValues.AddtoDBString("TowerRedundantDiagonalUFactor3 = " &amp; Me.TowerRedundantDiagonalUFactor3.NullableToString.FormatDBValue)</v>
      </c>
      <c r="S101" s="10" t="s">
        <v>286</v>
      </c>
    </row>
    <row r="102" spans="1:19" ht="150" x14ac:dyDescent="0.25">
      <c r="A102" s="11" t="s">
        <v>623</v>
      </c>
      <c r="B102" s="11" t="str" cm="1">
        <f t="array" ref="B102">Addspaces(A102)</f>
        <v>Tower Redundant Diagonal Bolt Grade 4</v>
      </c>
      <c r="C102" s="15" t="s">
        <v>1224</v>
      </c>
      <c r="D102" s="13" t="str">
        <f>VLOOKUP(C102,Sheet8!A:C,2,FALSE)</f>
        <v>varchar</v>
      </c>
      <c r="E102" s="15">
        <v>100</v>
      </c>
      <c r="F102" s="13" t="str">
        <f>VLOOKUP(C102,Sheet8!A:C,3,FALSE)</f>
        <v>String</v>
      </c>
      <c r="G102" s="15"/>
      <c r="H102" s="11" t="str">
        <f t="shared" si="10"/>
        <v>ADD TowerRedundantDiagonalBoltGrade4 varchar(100),</v>
      </c>
      <c r="I102" s="11" t="str">
        <f t="shared" si="11"/>
        <v xml:space="preserve">Private _TowerRedundantDiagonalBoltGrade4 As String </v>
      </c>
      <c r="J102" s="12" t="str">
        <f t="shared" si="12"/>
        <v xml:space="preserve">     		&lt;Category("TNX Tower Record"), Description(""), DisplayName("Tower Redundant Diagonal Bolt Grade 4")&gt;
    		&lt;DataMember()&gt; Public Property TowerRedundantDiagonalBoltGrade4() As String
        			Get
            				Return Me._TowerRedundantDiagonalBoltGrade4
        			End Get
        			Set
            				Me._TowerRedundantDiagonalBoltGrade4 = Value
        			End Set
    		End Property</v>
      </c>
      <c r="K102" s="11" t="str">
        <f>"Me."&amp;A102&amp; " = " &amp; VLOOKUP(C102,Sheet8!A:D,4,FALSE)&amp;"(recRow.Item("""&amp;A102 &amp;""")" &amp; IF(C102="Number",",6","")&amp;")"</f>
        <v>Me.TowerRedundantDiagonalBoltGrade4 = DBtoStr(recRow.Item("TowerRedundantDiagonalBoltGrade4"))</v>
      </c>
      <c r="L102" s="11" t="str">
        <f t="shared" si="13"/>
        <v>insertString = insertString.AddtoDBString(Me.TowerRedundantDiagonalBoltGrade4.ToString)</v>
      </c>
      <c r="M102" s="11" t="str">
        <f t="shared" si="14"/>
        <v>Equals = If(Me.TowerRedundantDiagonalBoltGrade4.CheckChange(otherToCompare.TowerRedundantDiagonalBoltGrade4, changes, categoryName, "Tower Redundant Diagonal Bolt Grade 4"), Equals, False)</v>
      </c>
      <c r="N102" s="12" t="str">
        <f t="shared" si="15"/>
        <v xml:space="preserve"> 	Case tnxVar.Equals("TowerRedundantDiagonalBoltGrade4")
                            Try
                                Me.geometry.baseStructure(recIndex).TowerRedundantDiagonalBoltGrade4 = tnxValue
                            Catch ex As Exception
                                Debug.Print("Error parsing TNX variable: " &amp; tnxVar)
                            End Try</v>
      </c>
      <c r="O102" s="11" t="str">
        <f t="shared" si="16"/>
        <v>newERIList.Add("TowerRedundantDiagonalBoltGrade4=" &amp;  .TowerRedundantDiagonalBoltGrade4)</v>
      </c>
      <c r="P102" s="11" t="str">
        <f t="shared" si="17"/>
        <v>SQLInsertValues = SQLInsertValues.AddtoDBString(Me.TowerRedundantDiagonalBoltGrade4.NullableToString.FormatDBValue)</v>
      </c>
      <c r="Q102" s="11" t="str">
        <f t="shared" si="18"/>
        <v>SQLInsertFields = SQLInsertFields.AddtoDBString("TowerRedundantDiagonalBoltGrade4")</v>
      </c>
      <c r="R102" s="11" t="str">
        <f t="shared" si="19"/>
        <v>SQLUpdateFieldsandValues = SQLUpdateFieldsandValues.AddtoDBString("TowerRedundantDiagonalBoltGrade4 = " &amp; Me.TowerRedundantDiagonalBoltGrade4.NullableToString.FormatDBValue)</v>
      </c>
      <c r="S102" s="10" t="s">
        <v>286</v>
      </c>
    </row>
    <row r="103" spans="1:19" ht="150" x14ac:dyDescent="0.25">
      <c r="A103" s="11" t="s">
        <v>624</v>
      </c>
      <c r="B103" s="11" t="str" cm="1">
        <f t="array" ref="B103">Addspaces(A103)</f>
        <v>Tower Redundant Diagonal Bolt Size 4</v>
      </c>
      <c r="C103" s="15" t="s">
        <v>1225</v>
      </c>
      <c r="D103" s="13" t="str">
        <f>VLOOKUP(C103,Sheet8!A:C,2,FALSE)</f>
        <v>decimal(18, 6)</v>
      </c>
      <c r="E103" s="15"/>
      <c r="F103" s="13" t="str">
        <f>VLOOKUP(C103,Sheet8!A:C,3,FALSE)</f>
        <v>Double?</v>
      </c>
      <c r="G103" s="15"/>
      <c r="H103" s="11" t="str">
        <f t="shared" si="10"/>
        <v>ADD TowerRedundantDiagonalBoltSize4 decimal(18, 6),</v>
      </c>
      <c r="I103" s="11" t="str">
        <f t="shared" si="11"/>
        <v xml:space="preserve">Private _TowerRedundantDiagonalBoltSize4 As Double? </v>
      </c>
      <c r="J103" s="12" t="str">
        <f t="shared" si="12"/>
        <v xml:space="preserve">     		&lt;Category("TNX Tower Record"), Description(""), DisplayName("Tower Redundant Diagonal Bolt Size 4")&gt;
    		&lt;DataMember()&gt; Public Property TowerRedundantDiagonalBoltSize4() As Double?
        			Get
            				Return Me._TowerRedundantDiagonalBoltSize4
        			End Get
        			Set
            				Me._TowerRedundantDiagonalBoltSize4 = Value
        			End Set
    		End Property</v>
      </c>
      <c r="K103" s="11" t="str">
        <f>"Me."&amp;A103&amp; " = " &amp; VLOOKUP(C103,Sheet8!A:D,4,FALSE)&amp;"(recRow.Item("""&amp;A103 &amp;""")" &amp; IF(C103="Number",",6","")&amp;")"</f>
        <v>Me.TowerRedundantDiagonalBoltSize4 = DBtoNullableDec(recRow.Item("TowerRedundantDiagonalBoltSize4"),6)</v>
      </c>
      <c r="L103" s="11" t="str">
        <f t="shared" si="13"/>
        <v>insertString = insertString.AddtoDBString(Me.TowerRedundantDiagonalBoltSize4.ToString)</v>
      </c>
      <c r="M103" s="11" t="str">
        <f t="shared" si="14"/>
        <v>Equals = If(Me.TowerRedundantDiagonalBoltSize4.CheckChange(otherToCompare.TowerRedundantDiagonalBoltSize4, changes, categoryName, "Tower Redundant Diagonal Bolt Size 4"), Equals, False)</v>
      </c>
      <c r="N103" s="12" t="str">
        <f t="shared" si="15"/>
        <v xml:space="preserve"> 	Case tnxVar.Equals("TowerRedundantDiagonalBoltSize4")
                            Try
                                Me.geometry.baseStructure(recIndex).TowerRedundantDiagonalBoltSize4 = tnxValue
                            Catch ex As Exception
                                Debug.Print("Error parsing TNX variable: " &amp; tnxVar)
                            End Try</v>
      </c>
      <c r="O103" s="11" t="str">
        <f t="shared" si="16"/>
        <v>newERIList.Add("TowerRedundantDiagonalBoltSize4=" &amp; Me.settings.USUnits.Properties.convertToERIUnits( .TowerRedundantDiagonalBoltSize4))</v>
      </c>
      <c r="P103" s="11" t="str">
        <f t="shared" si="17"/>
        <v>SQLInsertValues = SQLInsertValues.AddtoDBString(Me.TowerRedundantDiagonalBoltSize4.NullableToString.FormatDBValue)</v>
      </c>
      <c r="Q103" s="11" t="str">
        <f t="shared" si="18"/>
        <v>SQLInsertFields = SQLInsertFields.AddtoDBString("TowerRedundantDiagonalBoltSize4")</v>
      </c>
      <c r="R103" s="11" t="str">
        <f t="shared" si="19"/>
        <v>SQLUpdateFieldsandValues = SQLUpdateFieldsandValues.AddtoDBString("TowerRedundantDiagonalBoltSize4 = " &amp; Me.TowerRedundantDiagonalBoltSize4.NullableToString.FormatDBValue)</v>
      </c>
      <c r="S103" s="10" t="s">
        <v>286</v>
      </c>
    </row>
    <row r="104" spans="1:19" ht="150" x14ac:dyDescent="0.25">
      <c r="A104" s="11" t="s">
        <v>625</v>
      </c>
      <c r="B104" s="11" t="str" cm="1">
        <f t="array" ref="B104">Addspaces(A104)</f>
        <v>Tower Redundant Diagonal Num Bolts 4</v>
      </c>
      <c r="C104" s="15" t="s">
        <v>1234</v>
      </c>
      <c r="D104" s="13" t="str">
        <f>VLOOKUP(C104,Sheet8!A:C,2,FALSE)</f>
        <v>int</v>
      </c>
      <c r="E104" s="15"/>
      <c r="F104" s="13" t="str">
        <f>VLOOKUP(C104,Sheet8!A:C,3,FALSE)</f>
        <v>Integer?</v>
      </c>
      <c r="G104" s="15"/>
      <c r="H104" s="11" t="str">
        <f t="shared" si="10"/>
        <v>ADD TowerRedundantDiagonalNumBolts4 int,</v>
      </c>
      <c r="I104" s="11" t="str">
        <f t="shared" si="11"/>
        <v xml:space="preserve">Private _TowerRedundantDiagonalNumBolts4 As Integer? </v>
      </c>
      <c r="J104" s="12" t="str">
        <f t="shared" si="12"/>
        <v xml:space="preserve">     		&lt;Category("TNX Tower Record"), Description(""), DisplayName("Tower Redundant Diagonal Num Bolts 4")&gt;
    		&lt;DataMember()&gt; Public Property TowerRedundantDiagonalNumBolts4() As Integer?
        			Get
            				Return Me._TowerRedundantDiagonalNumBolts4
        			End Get
        			Set
            				Me._TowerRedundantDiagonalNumBolts4 = Value
        			End Set
    		End Property</v>
      </c>
      <c r="K104" s="11" t="str">
        <f>"Me."&amp;A104&amp; " = " &amp; VLOOKUP(C104,Sheet8!A:D,4,FALSE)&amp;"(recRow.Item("""&amp;A104 &amp;""")" &amp; IF(C104="Number",",6","")&amp;")"</f>
        <v>Me.TowerRedundantDiagonalNumBolts4 = DBtoNullableInt(recRow.Item("TowerRedundantDiagonalNumBolts4"))</v>
      </c>
      <c r="L104" s="11" t="str">
        <f t="shared" si="13"/>
        <v>insertString = insertString.AddtoDBString(Me.TowerRedundantDiagonalNumBolts4.ToString)</v>
      </c>
      <c r="M104" s="11" t="str">
        <f t="shared" si="14"/>
        <v>Equals = If(Me.TowerRedundantDiagonalNumBolts4.CheckChange(otherToCompare.TowerRedundantDiagonalNumBolts4, changes, categoryName, "Tower Redundant Diagonal Num Bolts 4"), Equals, False)</v>
      </c>
      <c r="N104" s="12" t="str">
        <f t="shared" si="15"/>
        <v xml:space="preserve"> 	Case tnxVar.Equals("TowerRedundantDiagonalNumBolts4")
                            Try
                                Me.geometry.baseStructure(recIndex).TowerRedundantDiagonalNumBolts4 = tnxValue
                            Catch ex As Exception
                                Debug.Print("Error parsing TNX variable: " &amp; tnxVar)
                            End Try</v>
      </c>
      <c r="O104" s="11" t="str">
        <f t="shared" si="16"/>
        <v>newERIList.Add("TowerRedundantDiagonalNumBolts4=" &amp;  .TowerRedundantDiagonalNumBolts4)</v>
      </c>
      <c r="P104" s="11" t="str">
        <f t="shared" si="17"/>
        <v>SQLInsertValues = SQLInsertValues.AddtoDBString(Me.TowerRedundantDiagonalNumBolts4.NullableToString.FormatDBValue)</v>
      </c>
      <c r="Q104" s="11" t="str">
        <f t="shared" si="18"/>
        <v>SQLInsertFields = SQLInsertFields.AddtoDBString("TowerRedundantDiagonalNumBolts4")</v>
      </c>
      <c r="R104" s="11" t="str">
        <f t="shared" si="19"/>
        <v>SQLUpdateFieldsandValues = SQLUpdateFieldsandValues.AddtoDBString("TowerRedundantDiagonalNumBolts4 = " &amp; Me.TowerRedundantDiagonalNumBolts4.NullableToString.FormatDBValue)</v>
      </c>
      <c r="S104" s="10" t="s">
        <v>286</v>
      </c>
    </row>
    <row r="105" spans="1:19" ht="165" x14ac:dyDescent="0.25">
      <c r="A105" s="11" t="s">
        <v>626</v>
      </c>
      <c r="B105" s="11" t="str" cm="1">
        <f t="array" ref="B105">Addspaces(A105)</f>
        <v>Tower Redundant Diagonal Bolt Edge Distance 4</v>
      </c>
      <c r="C105" s="15" t="s">
        <v>1225</v>
      </c>
      <c r="D105" s="13" t="str">
        <f>VLOOKUP(C105,Sheet8!A:C,2,FALSE)</f>
        <v>decimal(18, 6)</v>
      </c>
      <c r="E105" s="15"/>
      <c r="F105" s="13" t="str">
        <f>VLOOKUP(C105,Sheet8!A:C,3,FALSE)</f>
        <v>Double?</v>
      </c>
      <c r="G105" s="15"/>
      <c r="H105" s="11" t="str">
        <f t="shared" si="10"/>
        <v>ADD TowerRedundantDiagonalBoltEdgeDistance4 decimal(18, 6),</v>
      </c>
      <c r="I105" s="11" t="str">
        <f t="shared" si="11"/>
        <v xml:space="preserve">Private _TowerRedundantDiagonalBoltEdgeDistance4 As Double? </v>
      </c>
      <c r="J105" s="12" t="str">
        <f t="shared" si="12"/>
        <v xml:space="preserve">     		&lt;Category("TNX Tower Record"), Description(""), DisplayName("Tower Redundant Diagonal Bolt Edge Distance 4")&gt;
    		&lt;DataMember()&gt; Public Property TowerRedundantDiagonalBoltEdgeDistance4() As Double?
        			Get
            				Return Me._TowerRedundantDiagonalBoltEdgeDistance4
        			End Get
        			Set
            				Me._TowerRedundantDiagonalBoltEdgeDistance4 = Value
        			End Set
    		End Property</v>
      </c>
      <c r="K105" s="11" t="str">
        <f>"Me."&amp;A105&amp; " = " &amp; VLOOKUP(C105,Sheet8!A:D,4,FALSE)&amp;"(recRow.Item("""&amp;A105 &amp;""")" &amp; IF(C105="Number",",6","")&amp;")"</f>
        <v>Me.TowerRedundantDiagonalBoltEdgeDistance4 = DBtoNullableDec(recRow.Item("TowerRedundantDiagonalBoltEdgeDistance4"),6)</v>
      </c>
      <c r="L105" s="11" t="str">
        <f t="shared" si="13"/>
        <v>insertString = insertString.AddtoDBString(Me.TowerRedundantDiagonalBoltEdgeDistance4.ToString)</v>
      </c>
      <c r="M105" s="11" t="str">
        <f t="shared" si="14"/>
        <v>Equals = If(Me.TowerRedundantDiagonalBoltEdgeDistance4.CheckChange(otherToCompare.TowerRedundantDiagonalBoltEdgeDistance4, changes, categoryName, "Tower Redundant Diagonal Bolt Edge Distance 4"), Equals, False)</v>
      </c>
      <c r="N105" s="12" t="str">
        <f t="shared" si="15"/>
        <v xml:space="preserve"> 	Case tnxVar.Equals("TowerRedundantDiagonalBoltEdgeDistance4")
                            Try
                                Me.geometry.baseStructure(recIndex).TowerRedundantDiagonalBoltEdgeDistance4 = tnxValue
                            Catch ex As Exception
                                Debug.Print("Error parsing TNX variable: " &amp; tnxVar)
                            End Try</v>
      </c>
      <c r="O105" s="11" t="str">
        <f t="shared" si="16"/>
        <v>newERIList.Add("TowerRedundantDiagonalBoltEdgeDistance4=" &amp; Me.settings.USUnits.Properties.convertToERIUnits( .TowerRedundantDiagonalBoltEdgeDistance4))</v>
      </c>
      <c r="P105" s="11" t="str">
        <f t="shared" si="17"/>
        <v>SQLInsertValues = SQLInsertValues.AddtoDBString(Me.TowerRedundantDiagonalBoltEdgeDistance4.NullableToString.FormatDBValue)</v>
      </c>
      <c r="Q105" s="11" t="str">
        <f t="shared" si="18"/>
        <v>SQLInsertFields = SQLInsertFields.AddtoDBString("TowerRedundantDiagonalBoltEdgeDistance4")</v>
      </c>
      <c r="R105" s="11" t="str">
        <f t="shared" si="19"/>
        <v>SQLUpdateFieldsandValues = SQLUpdateFieldsandValues.AddtoDBString("TowerRedundantDiagonalBoltEdgeDistance4 = " &amp; Me.TowerRedundantDiagonalBoltEdgeDistance4.NullableToString.FormatDBValue)</v>
      </c>
      <c r="S105" s="10" t="s">
        <v>286</v>
      </c>
    </row>
    <row r="106" spans="1:19" ht="165" x14ac:dyDescent="0.25">
      <c r="A106" s="11" t="s">
        <v>627</v>
      </c>
      <c r="B106" s="11" t="str" cm="1">
        <f t="array" ref="B106">Addspaces(A106)</f>
        <v>Tower Redundant Diagonal Gage G 1 Distance 4</v>
      </c>
      <c r="C106" s="15" t="s">
        <v>1225</v>
      </c>
      <c r="D106" s="13" t="str">
        <f>VLOOKUP(C106,Sheet8!A:C,2,FALSE)</f>
        <v>decimal(18, 6)</v>
      </c>
      <c r="E106" s="15"/>
      <c r="F106" s="13" t="str">
        <f>VLOOKUP(C106,Sheet8!A:C,3,FALSE)</f>
        <v>Double?</v>
      </c>
      <c r="G106" s="15"/>
      <c r="H106" s="11" t="str">
        <f t="shared" si="10"/>
        <v>ADD TowerRedundantDiagonalGageG1Distance4 decimal(18, 6),</v>
      </c>
      <c r="I106" s="11" t="str">
        <f t="shared" si="11"/>
        <v xml:space="preserve">Private _TowerRedundantDiagonalGageG1Distance4 As Double? </v>
      </c>
      <c r="J106" s="12" t="str">
        <f t="shared" si="12"/>
        <v xml:space="preserve">     		&lt;Category("TNX Tower Record"), Description(""), DisplayName("Tower Redundant Diagonal Gage G 1 Distance 4")&gt;
    		&lt;DataMember()&gt; Public Property TowerRedundantDiagonalGageG1Distance4() As Double?
        			Get
            				Return Me._TowerRedundantDiagonalGageG1Distance4
        			End Get
        			Set
            				Me._TowerRedundantDiagonalGageG1Distance4 = Value
        			End Set
    		End Property</v>
      </c>
      <c r="K106" s="11" t="str">
        <f>"Me."&amp;A106&amp; " = " &amp; VLOOKUP(C106,Sheet8!A:D,4,FALSE)&amp;"(recRow.Item("""&amp;A106 &amp;""")" &amp; IF(C106="Number",",6","")&amp;")"</f>
        <v>Me.TowerRedundantDiagonalGageG1Distance4 = DBtoNullableDec(recRow.Item("TowerRedundantDiagonalGageG1Distance4"),6)</v>
      </c>
      <c r="L106" s="11" t="str">
        <f t="shared" si="13"/>
        <v>insertString = insertString.AddtoDBString(Me.TowerRedundantDiagonalGageG1Distance4.ToString)</v>
      </c>
      <c r="M106" s="11" t="str">
        <f t="shared" si="14"/>
        <v>Equals = If(Me.TowerRedundantDiagonalGageG1Distance4.CheckChange(otherToCompare.TowerRedundantDiagonalGageG1Distance4, changes, categoryName, "Tower Redundant Diagonal Gage G 1 Distance 4"), Equals, False)</v>
      </c>
      <c r="N106" s="12" t="str">
        <f t="shared" si="15"/>
        <v xml:space="preserve"> 	Case tnxVar.Equals("TowerRedundantDiagonalGageG1Distance4")
                            Try
                                Me.geometry.baseStructure(recIndex).TowerRedundantDiagonalGageG1Distance4 = tnxValue
                            Catch ex As Exception
                                Debug.Print("Error parsing TNX variable: " &amp; tnxVar)
                            End Try</v>
      </c>
      <c r="O106" s="11" t="str">
        <f t="shared" si="16"/>
        <v>newERIList.Add("TowerRedundantDiagonalGageG1Distance4=" &amp; Me.settings.USUnits.Properties.convertToERIUnits( .TowerRedundantDiagonalGageG1Distance4))</v>
      </c>
      <c r="P106" s="11" t="str">
        <f t="shared" si="17"/>
        <v>SQLInsertValues = SQLInsertValues.AddtoDBString(Me.TowerRedundantDiagonalGageG1Distance4.NullableToString.FormatDBValue)</v>
      </c>
      <c r="Q106" s="11" t="str">
        <f t="shared" si="18"/>
        <v>SQLInsertFields = SQLInsertFields.AddtoDBString("TowerRedundantDiagonalGageG1Distance4")</v>
      </c>
      <c r="R106" s="11" t="str">
        <f t="shared" si="19"/>
        <v>SQLUpdateFieldsandValues = SQLUpdateFieldsandValues.AddtoDBString("TowerRedundantDiagonalGageG1Distance4 = " &amp; Me.TowerRedundantDiagonalGageG1Distance4.NullableToString.FormatDBValue)</v>
      </c>
      <c r="S106" s="10" t="s">
        <v>286</v>
      </c>
    </row>
    <row r="107" spans="1:19" ht="165" x14ac:dyDescent="0.25">
      <c r="A107" s="11" t="s">
        <v>628</v>
      </c>
      <c r="B107" s="11" t="str" cm="1">
        <f t="array" ref="B107">Addspaces(A107)</f>
        <v>Tower Redundant Diagonal Net Width Deduct 4</v>
      </c>
      <c r="C107" s="15" t="s">
        <v>1225</v>
      </c>
      <c r="D107" s="13" t="str">
        <f>VLOOKUP(C107,Sheet8!A:C,2,FALSE)</f>
        <v>decimal(18, 6)</v>
      </c>
      <c r="E107" s="15"/>
      <c r="F107" s="13" t="str">
        <f>VLOOKUP(C107,Sheet8!A:C,3,FALSE)</f>
        <v>Double?</v>
      </c>
      <c r="G107" s="15"/>
      <c r="H107" s="11" t="str">
        <f t="shared" si="10"/>
        <v>ADD TowerRedundantDiagonalNetWidthDeduct4 decimal(18, 6),</v>
      </c>
      <c r="I107" s="11" t="str">
        <f t="shared" si="11"/>
        <v xml:space="preserve">Private _TowerRedundantDiagonalNetWidthDeduct4 As Double? </v>
      </c>
      <c r="J107" s="12" t="str">
        <f t="shared" si="12"/>
        <v xml:space="preserve">     		&lt;Category("TNX Tower Record"), Description(""), DisplayName("Tower Redundant Diagonal Net Width Deduct 4")&gt;
    		&lt;DataMember()&gt; Public Property TowerRedundantDiagonalNetWidthDeduct4() As Double?
        			Get
            				Return Me._TowerRedundantDiagonalNetWidthDeduct4
        			End Get
        			Set
            				Me._TowerRedundantDiagonalNetWidthDeduct4 = Value
        			End Set
    		End Property</v>
      </c>
      <c r="K107" s="11" t="str">
        <f>"Me."&amp;A107&amp; " = " &amp; VLOOKUP(C107,Sheet8!A:D,4,FALSE)&amp;"(recRow.Item("""&amp;A107 &amp;""")" &amp; IF(C107="Number",",6","")&amp;")"</f>
        <v>Me.TowerRedundantDiagonalNetWidthDeduct4 = DBtoNullableDec(recRow.Item("TowerRedundantDiagonalNetWidthDeduct4"),6)</v>
      </c>
      <c r="L107" s="11" t="str">
        <f t="shared" si="13"/>
        <v>insertString = insertString.AddtoDBString(Me.TowerRedundantDiagonalNetWidthDeduct4.ToString)</v>
      </c>
      <c r="M107" s="11" t="str">
        <f t="shared" si="14"/>
        <v>Equals = If(Me.TowerRedundantDiagonalNetWidthDeduct4.CheckChange(otherToCompare.TowerRedundantDiagonalNetWidthDeduct4, changes, categoryName, "Tower Redundant Diagonal Net Width Deduct 4"), Equals, False)</v>
      </c>
      <c r="N107" s="12" t="str">
        <f t="shared" si="15"/>
        <v xml:space="preserve"> 	Case tnxVar.Equals("TowerRedundantDiagonalNetWidthDeduct4")
                            Try
                                Me.geometry.baseStructure(recIndex).TowerRedundantDiagonalNetWidthDeduct4 = tnxValue
                            Catch ex As Exception
                                Debug.Print("Error parsing TNX variable: " &amp; tnxVar)
                            End Try</v>
      </c>
      <c r="O107" s="11" t="str">
        <f t="shared" si="16"/>
        <v>newERIList.Add("TowerRedundantDiagonalNetWidthDeduct4=" &amp; Me.settings.USUnits.Properties.convertToERIUnits( .TowerRedundantDiagonalNetWidthDeduct4))</v>
      </c>
      <c r="P107" s="11" t="str">
        <f t="shared" si="17"/>
        <v>SQLInsertValues = SQLInsertValues.AddtoDBString(Me.TowerRedundantDiagonalNetWidthDeduct4.NullableToString.FormatDBValue)</v>
      </c>
      <c r="Q107" s="11" t="str">
        <f t="shared" si="18"/>
        <v>SQLInsertFields = SQLInsertFields.AddtoDBString("TowerRedundantDiagonalNetWidthDeduct4")</v>
      </c>
      <c r="R107" s="11" t="str">
        <f t="shared" si="19"/>
        <v>SQLUpdateFieldsandValues = SQLUpdateFieldsandValues.AddtoDBString("TowerRedundantDiagonalNetWidthDeduct4 = " &amp; Me.TowerRedundantDiagonalNetWidthDeduct4.NullableToString.FormatDBValue)</v>
      </c>
      <c r="S107" s="10" t="s">
        <v>286</v>
      </c>
    </row>
    <row r="108" spans="1:19" ht="150" x14ac:dyDescent="0.25">
      <c r="A108" s="11" t="s">
        <v>629</v>
      </c>
      <c r="B108" s="11" t="str" cm="1">
        <f t="array" ref="B108">Addspaces(A108)</f>
        <v>Tower Redundant Diagonal U Factor 4</v>
      </c>
      <c r="C108" s="15" t="s">
        <v>1225</v>
      </c>
      <c r="D108" s="13" t="str">
        <f>VLOOKUP(C108,Sheet8!A:C,2,FALSE)</f>
        <v>decimal(18, 6)</v>
      </c>
      <c r="E108" s="15"/>
      <c r="F108" s="13" t="str">
        <f>VLOOKUP(C108,Sheet8!A:C,3,FALSE)</f>
        <v>Double?</v>
      </c>
      <c r="G108" s="15"/>
      <c r="H108" s="11" t="str">
        <f t="shared" si="10"/>
        <v>ADD TowerRedundantDiagonalUFactor4 decimal(18, 6),</v>
      </c>
      <c r="I108" s="11" t="str">
        <f t="shared" si="11"/>
        <v xml:space="preserve">Private _TowerRedundantDiagonalUFactor4 As Double? </v>
      </c>
      <c r="J108" s="12" t="str">
        <f t="shared" si="12"/>
        <v xml:space="preserve">     		&lt;Category("TNX Tower Record"), Description(""), DisplayName("Tower Redundant Diagonal U Factor 4")&gt;
    		&lt;DataMember()&gt; Public Property TowerRedundantDiagonalUFactor4() As Double?
        			Get
            				Return Me._TowerRedundantDiagonalUFactor4
        			End Get
        			Set
            				Me._TowerRedundantDiagonalUFactor4 = Value
        			End Set
    		End Property</v>
      </c>
      <c r="K108" s="11" t="str">
        <f>"Me."&amp;A108&amp; " = " &amp; VLOOKUP(C108,Sheet8!A:D,4,FALSE)&amp;"(recRow.Item("""&amp;A108 &amp;""")" &amp; IF(C108="Number",",6","")&amp;")"</f>
        <v>Me.TowerRedundantDiagonalUFactor4 = DBtoNullableDec(recRow.Item("TowerRedundantDiagonalUFactor4"),6)</v>
      </c>
      <c r="L108" s="11" t="str">
        <f t="shared" si="13"/>
        <v>insertString = insertString.AddtoDBString(Me.TowerRedundantDiagonalUFactor4.ToString)</v>
      </c>
      <c r="M108" s="11" t="str">
        <f t="shared" si="14"/>
        <v>Equals = If(Me.TowerRedundantDiagonalUFactor4.CheckChange(otherToCompare.TowerRedundantDiagonalUFactor4, changes, categoryName, "Tower Redundant Diagonal U Factor 4"), Equals, False)</v>
      </c>
      <c r="N108" s="12" t="str">
        <f t="shared" si="15"/>
        <v xml:space="preserve"> 	Case tnxVar.Equals("TowerRedundantDiagonalUFactor4")
                            Try
                                Me.geometry.baseStructure(recIndex).TowerRedundantDiagonalUFactor4 = tnxValue
                            Catch ex As Exception
                                Debug.Print("Error parsing TNX variable: " &amp; tnxVar)
                            End Try</v>
      </c>
      <c r="O108" s="11" t="str">
        <f t="shared" si="16"/>
        <v>newERIList.Add("TowerRedundantDiagonalUFactor4=" &amp; Me.settings.USUnits.Properties.convertToERIUnits( .TowerRedundantDiagonalUFactor4))</v>
      </c>
      <c r="P108" s="11" t="str">
        <f t="shared" si="17"/>
        <v>SQLInsertValues = SQLInsertValues.AddtoDBString(Me.TowerRedundantDiagonalUFactor4.NullableToString.FormatDBValue)</v>
      </c>
      <c r="Q108" s="11" t="str">
        <f t="shared" si="18"/>
        <v>SQLInsertFields = SQLInsertFields.AddtoDBString("TowerRedundantDiagonalUFactor4")</v>
      </c>
      <c r="R108" s="11" t="str">
        <f t="shared" si="19"/>
        <v>SQLUpdateFieldsandValues = SQLUpdateFieldsandValues.AddtoDBString("TowerRedundantDiagonalUFactor4 = " &amp; Me.TowerRedundantDiagonalUFactor4.NullableToString.FormatDBValue)</v>
      </c>
      <c r="S108" s="10" t="s">
        <v>286</v>
      </c>
    </row>
    <row r="109" spans="1:19" ht="150" x14ac:dyDescent="0.25">
      <c r="A109" s="11" t="s">
        <v>651</v>
      </c>
      <c r="B109" s="11" t="str" cm="1">
        <f t="array" ref="B109">Addspaces(A109)</f>
        <v>Tower Redundant Hip Bolt Grade 1</v>
      </c>
      <c r="C109" s="15" t="s">
        <v>1224</v>
      </c>
      <c r="D109" s="13" t="str">
        <f>VLOOKUP(C109,Sheet8!A:C,2,FALSE)</f>
        <v>varchar</v>
      </c>
      <c r="E109" s="15">
        <v>100</v>
      </c>
      <c r="F109" s="13" t="str">
        <f>VLOOKUP(C109,Sheet8!A:C,3,FALSE)</f>
        <v>String</v>
      </c>
      <c r="G109" s="15"/>
      <c r="H109" s="11" t="str">
        <f t="shared" si="10"/>
        <v>ADD TowerRedundantHipBoltGrade1 varchar(100),</v>
      </c>
      <c r="I109" s="11" t="str">
        <f t="shared" si="11"/>
        <v xml:space="preserve">Private _TowerRedundantHipBoltGrade1 As String </v>
      </c>
      <c r="J109" s="12" t="str">
        <f t="shared" si="12"/>
        <v xml:space="preserve">     		&lt;Category("TNX Tower Record"), Description(""), DisplayName("Tower Redundant Hip Bolt Grade 1")&gt;
    		&lt;DataMember()&gt; Public Property TowerRedundantHipBoltGrade1() As String
        			Get
            				Return Me._TowerRedundantHipBoltGrade1
        			End Get
        			Set
            				Me._TowerRedundantHipBoltGrade1 = Value
        			End Set
    		End Property</v>
      </c>
      <c r="K109" s="11" t="str">
        <f>"Me."&amp;A109&amp; " = " &amp; VLOOKUP(C109,Sheet8!A:D,4,FALSE)&amp;"(recRow.Item("""&amp;A109 &amp;""")" &amp; IF(C109="Number",",6","")&amp;")"</f>
        <v>Me.TowerRedundantHipBoltGrade1 = DBtoStr(recRow.Item("TowerRedundantHipBoltGrade1"))</v>
      </c>
      <c r="L109" s="11" t="str">
        <f t="shared" si="13"/>
        <v>insertString = insertString.AddtoDBString(Me.TowerRedundantHipBoltGrade1.ToString)</v>
      </c>
      <c r="M109" s="11" t="str">
        <f t="shared" si="14"/>
        <v>Equals = If(Me.TowerRedundantHipBoltGrade1.CheckChange(otherToCompare.TowerRedundantHipBoltGrade1, changes, categoryName, "Tower Redundant Hip Bolt Grade 1"), Equals, False)</v>
      </c>
      <c r="N109" s="12" t="str">
        <f t="shared" si="15"/>
        <v xml:space="preserve"> 	Case tnxVar.Equals("TowerRedundantHipBoltGrade1")
                            Try
                                Me.geometry.baseStructure(recIndex).TowerRedundantHipBoltGrade1 = tnxValue
                            Catch ex As Exception
                                Debug.Print("Error parsing TNX variable: " &amp; tnxVar)
                            End Try</v>
      </c>
      <c r="O109" s="11" t="str">
        <f t="shared" si="16"/>
        <v>newERIList.Add("TowerRedundantHipBoltGrade1=" &amp;  .TowerRedundantHipBoltGrade1)</v>
      </c>
      <c r="P109" s="11" t="str">
        <f t="shared" si="17"/>
        <v>SQLInsertValues = SQLInsertValues.AddtoDBString(Me.TowerRedundantHipBoltGrade1.NullableToString.FormatDBValue)</v>
      </c>
      <c r="Q109" s="11" t="str">
        <f t="shared" si="18"/>
        <v>SQLInsertFields = SQLInsertFields.AddtoDBString("TowerRedundantHipBoltGrade1")</v>
      </c>
      <c r="R109" s="11" t="str">
        <f t="shared" si="19"/>
        <v>SQLUpdateFieldsandValues = SQLUpdateFieldsandValues.AddtoDBString("TowerRedundantHipBoltGrade1 = " &amp; Me.TowerRedundantHipBoltGrade1.NullableToString.FormatDBValue)</v>
      </c>
      <c r="S109" s="10" t="s">
        <v>286</v>
      </c>
    </row>
    <row r="110" spans="1:19" ht="150" x14ac:dyDescent="0.25">
      <c r="A110" s="11" t="s">
        <v>652</v>
      </c>
      <c r="B110" s="11" t="str" cm="1">
        <f t="array" ref="B110">Addspaces(A110)</f>
        <v>Tower Redundant Hip Bolt Size 1</v>
      </c>
      <c r="C110" s="15" t="s">
        <v>1225</v>
      </c>
      <c r="D110" s="13" t="str">
        <f>VLOOKUP(C110,Sheet8!A:C,2,FALSE)</f>
        <v>decimal(18, 6)</v>
      </c>
      <c r="E110" s="15"/>
      <c r="F110" s="13" t="str">
        <f>VLOOKUP(C110,Sheet8!A:C,3,FALSE)</f>
        <v>Double?</v>
      </c>
      <c r="G110" s="15"/>
      <c r="H110" s="11" t="str">
        <f t="shared" si="10"/>
        <v>ADD TowerRedundantHipBoltSize1 decimal(18, 6),</v>
      </c>
      <c r="I110" s="11" t="str">
        <f t="shared" si="11"/>
        <v xml:space="preserve">Private _TowerRedundantHipBoltSize1 As Double? </v>
      </c>
      <c r="J110" s="12" t="str">
        <f t="shared" si="12"/>
        <v xml:space="preserve">     		&lt;Category("TNX Tower Record"), Description(""), DisplayName("Tower Redundant Hip Bolt Size 1")&gt;
    		&lt;DataMember()&gt; Public Property TowerRedundantHipBoltSize1() As Double?
        			Get
            				Return Me._TowerRedundantHipBoltSize1
        			End Get
        			Set
            				Me._TowerRedundantHipBoltSize1 = Value
        			End Set
    		End Property</v>
      </c>
      <c r="K110" s="11" t="str">
        <f>"Me."&amp;A110&amp; " = " &amp; VLOOKUP(C110,Sheet8!A:D,4,FALSE)&amp;"(recRow.Item("""&amp;A110 &amp;""")" &amp; IF(C110="Number",",6","")&amp;")"</f>
        <v>Me.TowerRedundantHipBoltSize1 = DBtoNullableDec(recRow.Item("TowerRedundantHipBoltSize1"),6)</v>
      </c>
      <c r="L110" s="11" t="str">
        <f t="shared" si="13"/>
        <v>insertString = insertString.AddtoDBString(Me.TowerRedundantHipBoltSize1.ToString)</v>
      </c>
      <c r="M110" s="11" t="str">
        <f t="shared" si="14"/>
        <v>Equals = If(Me.TowerRedundantHipBoltSize1.CheckChange(otherToCompare.TowerRedundantHipBoltSize1, changes, categoryName, "Tower Redundant Hip Bolt Size 1"), Equals, False)</v>
      </c>
      <c r="N110" s="12" t="str">
        <f t="shared" si="15"/>
        <v xml:space="preserve"> 	Case tnxVar.Equals("TowerRedundantHipBoltSize1")
                            Try
                                Me.geometry.baseStructure(recIndex).TowerRedundantHipBoltSize1 = tnxValue
                            Catch ex As Exception
                                Debug.Print("Error parsing TNX variable: " &amp; tnxVar)
                            End Try</v>
      </c>
      <c r="O110" s="11" t="str">
        <f t="shared" si="16"/>
        <v>newERIList.Add("TowerRedundantHipBoltSize1=" &amp; Me.settings.USUnits.Properties.convertToERIUnits( .TowerRedundantHipBoltSize1))</v>
      </c>
      <c r="P110" s="11" t="str">
        <f t="shared" si="17"/>
        <v>SQLInsertValues = SQLInsertValues.AddtoDBString(Me.TowerRedundantHipBoltSize1.NullableToString.FormatDBValue)</v>
      </c>
      <c r="Q110" s="11" t="str">
        <f t="shared" si="18"/>
        <v>SQLInsertFields = SQLInsertFields.AddtoDBString("TowerRedundantHipBoltSize1")</v>
      </c>
      <c r="R110" s="11" t="str">
        <f t="shared" si="19"/>
        <v>SQLUpdateFieldsandValues = SQLUpdateFieldsandValues.AddtoDBString("TowerRedundantHipBoltSize1 = " &amp; Me.TowerRedundantHipBoltSize1.NullableToString.FormatDBValue)</v>
      </c>
      <c r="S110" s="10" t="s">
        <v>286</v>
      </c>
    </row>
    <row r="111" spans="1:19" ht="150" x14ac:dyDescent="0.25">
      <c r="A111" s="11" t="s">
        <v>653</v>
      </c>
      <c r="B111" s="11" t="str" cm="1">
        <f t="array" ref="B111">Addspaces(A111)</f>
        <v>Tower Redundant Hip Num Bolts 1</v>
      </c>
      <c r="C111" s="15" t="s">
        <v>1234</v>
      </c>
      <c r="D111" s="13" t="str">
        <f>VLOOKUP(C111,Sheet8!A:C,2,FALSE)</f>
        <v>int</v>
      </c>
      <c r="E111" s="15"/>
      <c r="F111" s="13" t="str">
        <f>VLOOKUP(C111,Sheet8!A:C,3,FALSE)</f>
        <v>Integer?</v>
      </c>
      <c r="G111" s="15"/>
      <c r="H111" s="11" t="str">
        <f t="shared" si="10"/>
        <v>ADD TowerRedundantHipNumBolts1 int,</v>
      </c>
      <c r="I111" s="11" t="str">
        <f t="shared" si="11"/>
        <v xml:space="preserve">Private _TowerRedundantHipNumBolts1 As Integer? </v>
      </c>
      <c r="J111" s="12" t="str">
        <f t="shared" si="12"/>
        <v xml:space="preserve">     		&lt;Category("TNX Tower Record"), Description(""), DisplayName("Tower Redundant Hip Num Bolts 1")&gt;
    		&lt;DataMember()&gt; Public Property TowerRedundantHipNumBolts1() As Integer?
        			Get
            				Return Me._TowerRedundantHipNumBolts1
        			End Get
        			Set
            				Me._TowerRedundantHipNumBolts1 = Value
        			End Set
    		End Property</v>
      </c>
      <c r="K111" s="11" t="str">
        <f>"Me."&amp;A111&amp; " = " &amp; VLOOKUP(C111,Sheet8!A:D,4,FALSE)&amp;"(recRow.Item("""&amp;A111 &amp;""")" &amp; IF(C111="Number",",6","")&amp;")"</f>
        <v>Me.TowerRedundantHipNumBolts1 = DBtoNullableInt(recRow.Item("TowerRedundantHipNumBolts1"))</v>
      </c>
      <c r="L111" s="11" t="str">
        <f t="shared" si="13"/>
        <v>insertString = insertString.AddtoDBString(Me.TowerRedundantHipNumBolts1.ToString)</v>
      </c>
      <c r="M111" s="11" t="str">
        <f t="shared" si="14"/>
        <v>Equals = If(Me.TowerRedundantHipNumBolts1.CheckChange(otherToCompare.TowerRedundantHipNumBolts1, changes, categoryName, "Tower Redundant Hip Num Bolts 1"), Equals, False)</v>
      </c>
      <c r="N111" s="12" t="str">
        <f t="shared" si="15"/>
        <v xml:space="preserve"> 	Case tnxVar.Equals("TowerRedundantHipNumBolts1")
                            Try
                                Me.geometry.baseStructure(recIndex).TowerRedundantHipNumBolts1 = tnxValue
                            Catch ex As Exception
                                Debug.Print("Error parsing TNX variable: " &amp; tnxVar)
                            End Try</v>
      </c>
      <c r="O111" s="11" t="str">
        <f t="shared" si="16"/>
        <v>newERIList.Add("TowerRedundantHipNumBolts1=" &amp;  .TowerRedundantHipNumBolts1)</v>
      </c>
      <c r="P111" s="11" t="str">
        <f t="shared" si="17"/>
        <v>SQLInsertValues = SQLInsertValues.AddtoDBString(Me.TowerRedundantHipNumBolts1.NullableToString.FormatDBValue)</v>
      </c>
      <c r="Q111" s="11" t="str">
        <f t="shared" si="18"/>
        <v>SQLInsertFields = SQLInsertFields.AddtoDBString("TowerRedundantHipNumBolts1")</v>
      </c>
      <c r="R111" s="11" t="str">
        <f t="shared" si="19"/>
        <v>SQLUpdateFieldsandValues = SQLUpdateFieldsandValues.AddtoDBString("TowerRedundantHipNumBolts1 = " &amp; Me.TowerRedundantHipNumBolts1.NullableToString.FormatDBValue)</v>
      </c>
      <c r="S111" s="10" t="s">
        <v>286</v>
      </c>
    </row>
    <row r="112" spans="1:19" ht="150" x14ac:dyDescent="0.25">
      <c r="A112" s="11" t="s">
        <v>654</v>
      </c>
      <c r="B112" s="11" t="str" cm="1">
        <f t="array" ref="B112">Addspaces(A112)</f>
        <v>Tower Redundant Hip Bolt Edge Distance 1</v>
      </c>
      <c r="C112" s="15" t="s">
        <v>1225</v>
      </c>
      <c r="D112" s="13" t="str">
        <f>VLOOKUP(C112,Sheet8!A:C,2,FALSE)</f>
        <v>decimal(18, 6)</v>
      </c>
      <c r="E112" s="15"/>
      <c r="F112" s="13" t="str">
        <f>VLOOKUP(C112,Sheet8!A:C,3,FALSE)</f>
        <v>Double?</v>
      </c>
      <c r="G112" s="15"/>
      <c r="H112" s="11" t="str">
        <f t="shared" si="10"/>
        <v>ADD TowerRedundantHipBoltEdgeDistance1 decimal(18, 6),</v>
      </c>
      <c r="I112" s="11" t="str">
        <f t="shared" si="11"/>
        <v xml:space="preserve">Private _TowerRedundantHipBoltEdgeDistance1 As Double? </v>
      </c>
      <c r="J112" s="12" t="str">
        <f t="shared" si="12"/>
        <v xml:space="preserve">     		&lt;Category("TNX Tower Record"), Description(""), DisplayName("Tower Redundant Hip Bolt Edge Distance 1")&gt;
    		&lt;DataMember()&gt; Public Property TowerRedundantHipBoltEdgeDistance1() As Double?
        			Get
            				Return Me._TowerRedundantHipBoltEdgeDistance1
        			End Get
        			Set
            				Me._TowerRedundantHipBoltEdgeDistance1 = Value
        			End Set
    		End Property</v>
      </c>
      <c r="K112" s="11" t="str">
        <f>"Me."&amp;A112&amp; " = " &amp; VLOOKUP(C112,Sheet8!A:D,4,FALSE)&amp;"(recRow.Item("""&amp;A112 &amp;""")" &amp; IF(C112="Number",",6","")&amp;")"</f>
        <v>Me.TowerRedundantHipBoltEdgeDistance1 = DBtoNullableDec(recRow.Item("TowerRedundantHipBoltEdgeDistance1"),6)</v>
      </c>
      <c r="L112" s="11" t="str">
        <f t="shared" si="13"/>
        <v>insertString = insertString.AddtoDBString(Me.TowerRedundantHipBoltEdgeDistance1.ToString)</v>
      </c>
      <c r="M112" s="11" t="str">
        <f t="shared" si="14"/>
        <v>Equals = If(Me.TowerRedundantHipBoltEdgeDistance1.CheckChange(otherToCompare.TowerRedundantHipBoltEdgeDistance1, changes, categoryName, "Tower Redundant Hip Bolt Edge Distance 1"), Equals, False)</v>
      </c>
      <c r="N112" s="12" t="str">
        <f t="shared" si="15"/>
        <v xml:space="preserve"> 	Case tnxVar.Equals("TowerRedundantHipBoltEdgeDistance1")
                            Try
                                Me.geometry.baseStructure(recIndex).TowerRedundantHipBoltEdgeDistance1 = tnxValue
                            Catch ex As Exception
                                Debug.Print("Error parsing TNX variable: " &amp; tnxVar)
                            End Try</v>
      </c>
      <c r="O112" s="11" t="str">
        <f t="shared" si="16"/>
        <v>newERIList.Add("TowerRedundantHipBoltEdgeDistance1=" &amp; Me.settings.USUnits.Properties.convertToERIUnits( .TowerRedundantHipBoltEdgeDistance1))</v>
      </c>
      <c r="P112" s="11" t="str">
        <f t="shared" si="17"/>
        <v>SQLInsertValues = SQLInsertValues.AddtoDBString(Me.TowerRedundantHipBoltEdgeDistance1.NullableToString.FormatDBValue)</v>
      </c>
      <c r="Q112" s="11" t="str">
        <f t="shared" si="18"/>
        <v>SQLInsertFields = SQLInsertFields.AddtoDBString("TowerRedundantHipBoltEdgeDistance1")</v>
      </c>
      <c r="R112" s="11" t="str">
        <f t="shared" si="19"/>
        <v>SQLUpdateFieldsandValues = SQLUpdateFieldsandValues.AddtoDBString("TowerRedundantHipBoltEdgeDistance1 = " &amp; Me.TowerRedundantHipBoltEdgeDistance1.NullableToString.FormatDBValue)</v>
      </c>
      <c r="S112" s="10" t="s">
        <v>286</v>
      </c>
    </row>
    <row r="113" spans="1:19" ht="150" x14ac:dyDescent="0.25">
      <c r="A113" s="11" t="s">
        <v>655</v>
      </c>
      <c r="B113" s="11" t="str" cm="1">
        <f t="array" ref="B113">Addspaces(A113)</f>
        <v>Tower Redundant Hip Gage G 1 Distance 1</v>
      </c>
      <c r="C113" s="15" t="s">
        <v>1225</v>
      </c>
      <c r="D113" s="13" t="str">
        <f>VLOOKUP(C113,Sheet8!A:C,2,FALSE)</f>
        <v>decimal(18, 6)</v>
      </c>
      <c r="E113" s="15"/>
      <c r="F113" s="13" t="str">
        <f>VLOOKUP(C113,Sheet8!A:C,3,FALSE)</f>
        <v>Double?</v>
      </c>
      <c r="G113" s="15"/>
      <c r="H113" s="11" t="str">
        <f t="shared" si="10"/>
        <v>ADD TowerRedundantHipGageG1Distance1 decimal(18, 6),</v>
      </c>
      <c r="I113" s="11" t="str">
        <f t="shared" si="11"/>
        <v xml:space="preserve">Private _TowerRedundantHipGageG1Distance1 As Double? </v>
      </c>
      <c r="J113" s="12" t="str">
        <f t="shared" si="12"/>
        <v xml:space="preserve">     		&lt;Category("TNX Tower Record"), Description(""), DisplayName("Tower Redundant Hip Gage G 1 Distance 1")&gt;
    		&lt;DataMember()&gt; Public Property TowerRedundantHipGageG1Distance1() As Double?
        			Get
            				Return Me._TowerRedundantHipGageG1Distance1
        			End Get
        			Set
            				Me._TowerRedundantHipGageG1Distance1 = Value
        			End Set
    		End Property</v>
      </c>
      <c r="K113" s="11" t="str">
        <f>"Me."&amp;A113&amp; " = " &amp; VLOOKUP(C113,Sheet8!A:D,4,FALSE)&amp;"(recRow.Item("""&amp;A113 &amp;""")" &amp; IF(C113="Number",",6","")&amp;")"</f>
        <v>Me.TowerRedundantHipGageG1Distance1 = DBtoNullableDec(recRow.Item("TowerRedundantHipGageG1Distance1"),6)</v>
      </c>
      <c r="L113" s="11" t="str">
        <f t="shared" si="13"/>
        <v>insertString = insertString.AddtoDBString(Me.TowerRedundantHipGageG1Distance1.ToString)</v>
      </c>
      <c r="M113" s="11" t="str">
        <f t="shared" si="14"/>
        <v>Equals = If(Me.TowerRedundantHipGageG1Distance1.CheckChange(otherToCompare.TowerRedundantHipGageG1Distance1, changes, categoryName, "Tower Redundant Hip Gage G 1 Distance 1"), Equals, False)</v>
      </c>
      <c r="N113" s="12" t="str">
        <f t="shared" si="15"/>
        <v xml:space="preserve"> 	Case tnxVar.Equals("TowerRedundantHipGageG1Distance1")
                            Try
                                Me.geometry.baseStructure(recIndex).TowerRedundantHipGageG1Distance1 = tnxValue
                            Catch ex As Exception
                                Debug.Print("Error parsing TNX variable: " &amp; tnxVar)
                            End Try</v>
      </c>
      <c r="O113" s="11" t="str">
        <f t="shared" si="16"/>
        <v>newERIList.Add("TowerRedundantHipGageG1Distance1=" &amp; Me.settings.USUnits.Properties.convertToERIUnits( .TowerRedundantHipGageG1Distance1))</v>
      </c>
      <c r="P113" s="11" t="str">
        <f t="shared" si="17"/>
        <v>SQLInsertValues = SQLInsertValues.AddtoDBString(Me.TowerRedundantHipGageG1Distance1.NullableToString.FormatDBValue)</v>
      </c>
      <c r="Q113" s="11" t="str">
        <f t="shared" si="18"/>
        <v>SQLInsertFields = SQLInsertFields.AddtoDBString("TowerRedundantHipGageG1Distance1")</v>
      </c>
      <c r="R113" s="11" t="str">
        <f t="shared" si="19"/>
        <v>SQLUpdateFieldsandValues = SQLUpdateFieldsandValues.AddtoDBString("TowerRedundantHipGageG1Distance1 = " &amp; Me.TowerRedundantHipGageG1Distance1.NullableToString.FormatDBValue)</v>
      </c>
      <c r="S113" s="10" t="s">
        <v>286</v>
      </c>
    </row>
    <row r="114" spans="1:19" ht="150" x14ac:dyDescent="0.25">
      <c r="A114" s="11" t="s">
        <v>656</v>
      </c>
      <c r="B114" s="11" t="str" cm="1">
        <f t="array" ref="B114">Addspaces(A114)</f>
        <v>Tower Redundant Hip Net Width Deduct 1</v>
      </c>
      <c r="C114" s="15" t="s">
        <v>1225</v>
      </c>
      <c r="D114" s="13" t="str">
        <f>VLOOKUP(C114,Sheet8!A:C,2,FALSE)</f>
        <v>decimal(18, 6)</v>
      </c>
      <c r="E114" s="15"/>
      <c r="F114" s="13" t="str">
        <f>VLOOKUP(C114,Sheet8!A:C,3,FALSE)</f>
        <v>Double?</v>
      </c>
      <c r="G114" s="15"/>
      <c r="H114" s="11" t="str">
        <f t="shared" si="10"/>
        <v>ADD TowerRedundantHipNetWidthDeduct1 decimal(18, 6),</v>
      </c>
      <c r="I114" s="11" t="str">
        <f t="shared" si="11"/>
        <v xml:space="preserve">Private _TowerRedundantHipNetWidthDeduct1 As Double? </v>
      </c>
      <c r="J114" s="12" t="str">
        <f t="shared" si="12"/>
        <v xml:space="preserve">     		&lt;Category("TNX Tower Record"), Description(""), DisplayName("Tower Redundant Hip Net Width Deduct 1")&gt;
    		&lt;DataMember()&gt; Public Property TowerRedundantHipNetWidthDeduct1() As Double?
        			Get
            				Return Me._TowerRedundantHipNetWidthDeduct1
        			End Get
        			Set
            				Me._TowerRedundantHipNetWidthDeduct1 = Value
        			End Set
    		End Property</v>
      </c>
      <c r="K114" s="11" t="str">
        <f>"Me."&amp;A114&amp; " = " &amp; VLOOKUP(C114,Sheet8!A:D,4,FALSE)&amp;"(recRow.Item("""&amp;A114 &amp;""")" &amp; IF(C114="Number",",6","")&amp;")"</f>
        <v>Me.TowerRedundantHipNetWidthDeduct1 = DBtoNullableDec(recRow.Item("TowerRedundantHipNetWidthDeduct1"),6)</v>
      </c>
      <c r="L114" s="11" t="str">
        <f t="shared" si="13"/>
        <v>insertString = insertString.AddtoDBString(Me.TowerRedundantHipNetWidthDeduct1.ToString)</v>
      </c>
      <c r="M114" s="11" t="str">
        <f t="shared" si="14"/>
        <v>Equals = If(Me.TowerRedundantHipNetWidthDeduct1.CheckChange(otherToCompare.TowerRedundantHipNetWidthDeduct1, changes, categoryName, "Tower Redundant Hip Net Width Deduct 1"), Equals, False)</v>
      </c>
      <c r="N114" s="12" t="str">
        <f t="shared" si="15"/>
        <v xml:space="preserve"> 	Case tnxVar.Equals("TowerRedundantHipNetWidthDeduct1")
                            Try
                                Me.geometry.baseStructure(recIndex).TowerRedundantHipNetWidthDeduct1 = tnxValue
                            Catch ex As Exception
                                Debug.Print("Error parsing TNX variable: " &amp; tnxVar)
                            End Try</v>
      </c>
      <c r="O114" s="11" t="str">
        <f t="shared" si="16"/>
        <v>newERIList.Add("TowerRedundantHipNetWidthDeduct1=" &amp; Me.settings.USUnits.Properties.convertToERIUnits( .TowerRedundantHipNetWidthDeduct1))</v>
      </c>
      <c r="P114" s="11" t="str">
        <f t="shared" si="17"/>
        <v>SQLInsertValues = SQLInsertValues.AddtoDBString(Me.TowerRedundantHipNetWidthDeduct1.NullableToString.FormatDBValue)</v>
      </c>
      <c r="Q114" s="11" t="str">
        <f t="shared" si="18"/>
        <v>SQLInsertFields = SQLInsertFields.AddtoDBString("TowerRedundantHipNetWidthDeduct1")</v>
      </c>
      <c r="R114" s="11" t="str">
        <f t="shared" si="19"/>
        <v>SQLUpdateFieldsandValues = SQLUpdateFieldsandValues.AddtoDBString("TowerRedundantHipNetWidthDeduct1 = " &amp; Me.TowerRedundantHipNetWidthDeduct1.NullableToString.FormatDBValue)</v>
      </c>
      <c r="S114" s="10" t="s">
        <v>286</v>
      </c>
    </row>
    <row r="115" spans="1:19" ht="150" x14ac:dyDescent="0.25">
      <c r="A115" s="11" t="s">
        <v>657</v>
      </c>
      <c r="B115" s="11" t="str" cm="1">
        <f t="array" ref="B115">Addspaces(A115)</f>
        <v>Tower Redundant Hip U Factor 1</v>
      </c>
      <c r="C115" s="15" t="s">
        <v>1225</v>
      </c>
      <c r="D115" s="13" t="str">
        <f>VLOOKUP(C115,Sheet8!A:C,2,FALSE)</f>
        <v>decimal(18, 6)</v>
      </c>
      <c r="E115" s="15"/>
      <c r="F115" s="13" t="str">
        <f>VLOOKUP(C115,Sheet8!A:C,3,FALSE)</f>
        <v>Double?</v>
      </c>
      <c r="G115" s="15"/>
      <c r="H115" s="11" t="str">
        <f t="shared" si="10"/>
        <v>ADD TowerRedundantHipUFactor1 decimal(18, 6),</v>
      </c>
      <c r="I115" s="11" t="str">
        <f t="shared" si="11"/>
        <v xml:space="preserve">Private _TowerRedundantHipUFactor1 As Double? </v>
      </c>
      <c r="J115" s="12" t="str">
        <f t="shared" si="12"/>
        <v xml:space="preserve">     		&lt;Category("TNX Tower Record"), Description(""), DisplayName("Tower Redundant Hip U Factor 1")&gt;
    		&lt;DataMember()&gt; Public Property TowerRedundantHipUFactor1() As Double?
        			Get
            				Return Me._TowerRedundantHipUFactor1
        			End Get
        			Set
            				Me._TowerRedundantHipUFactor1 = Value
        			End Set
    		End Property</v>
      </c>
      <c r="K115" s="11" t="str">
        <f>"Me."&amp;A115&amp; " = " &amp; VLOOKUP(C115,Sheet8!A:D,4,FALSE)&amp;"(recRow.Item("""&amp;A115 &amp;""")" &amp; IF(C115="Number",",6","")&amp;")"</f>
        <v>Me.TowerRedundantHipUFactor1 = DBtoNullableDec(recRow.Item("TowerRedundantHipUFactor1"),6)</v>
      </c>
      <c r="L115" s="11" t="str">
        <f t="shared" si="13"/>
        <v>insertString = insertString.AddtoDBString(Me.TowerRedundantHipUFactor1.ToString)</v>
      </c>
      <c r="M115" s="11" t="str">
        <f t="shared" si="14"/>
        <v>Equals = If(Me.TowerRedundantHipUFactor1.CheckChange(otherToCompare.TowerRedundantHipUFactor1, changes, categoryName, "Tower Redundant Hip U Factor 1"), Equals, False)</v>
      </c>
      <c r="N115" s="12" t="str">
        <f t="shared" si="15"/>
        <v xml:space="preserve"> 	Case tnxVar.Equals("TowerRedundantHipUFactor1")
                            Try
                                Me.geometry.baseStructure(recIndex).TowerRedundantHipUFactor1 = tnxValue
                            Catch ex As Exception
                                Debug.Print("Error parsing TNX variable: " &amp; tnxVar)
                            End Try</v>
      </c>
      <c r="O115" s="11" t="str">
        <f t="shared" si="16"/>
        <v>newERIList.Add("TowerRedundantHipUFactor1=" &amp; Me.settings.USUnits.Properties.convertToERIUnits( .TowerRedundantHipUFactor1))</v>
      </c>
      <c r="P115" s="11" t="str">
        <f t="shared" si="17"/>
        <v>SQLInsertValues = SQLInsertValues.AddtoDBString(Me.TowerRedundantHipUFactor1.NullableToString.FormatDBValue)</v>
      </c>
      <c r="Q115" s="11" t="str">
        <f t="shared" si="18"/>
        <v>SQLInsertFields = SQLInsertFields.AddtoDBString("TowerRedundantHipUFactor1")</v>
      </c>
      <c r="R115" s="11" t="str">
        <f t="shared" si="19"/>
        <v>SQLUpdateFieldsandValues = SQLUpdateFieldsandValues.AddtoDBString("TowerRedundantHipUFactor1 = " &amp; Me.TowerRedundantHipUFactor1.NullableToString.FormatDBValue)</v>
      </c>
      <c r="S115" s="10" t="s">
        <v>286</v>
      </c>
    </row>
    <row r="116" spans="1:19" ht="150" x14ac:dyDescent="0.25">
      <c r="A116" s="11" t="s">
        <v>658</v>
      </c>
      <c r="B116" s="11" t="str" cm="1">
        <f t="array" ref="B116">Addspaces(A116)</f>
        <v>Tower Redundant Hip Bolt Grade 2</v>
      </c>
      <c r="C116" s="15" t="s">
        <v>1224</v>
      </c>
      <c r="D116" s="13" t="str">
        <f>VLOOKUP(C116,Sheet8!A:C,2,FALSE)</f>
        <v>varchar</v>
      </c>
      <c r="E116" s="15">
        <v>100</v>
      </c>
      <c r="F116" s="13" t="str">
        <f>VLOOKUP(C116,Sheet8!A:C,3,FALSE)</f>
        <v>String</v>
      </c>
      <c r="G116" s="15"/>
      <c r="H116" s="11" t="str">
        <f t="shared" si="10"/>
        <v>ADD TowerRedundantHipBoltGrade2 varchar(100),</v>
      </c>
      <c r="I116" s="11" t="str">
        <f t="shared" si="11"/>
        <v xml:space="preserve">Private _TowerRedundantHipBoltGrade2 As String </v>
      </c>
      <c r="J116" s="12" t="str">
        <f t="shared" si="12"/>
        <v xml:space="preserve">     		&lt;Category("TNX Tower Record"), Description(""), DisplayName("Tower Redundant Hip Bolt Grade 2")&gt;
    		&lt;DataMember()&gt; Public Property TowerRedundantHipBoltGrade2() As String
        			Get
            				Return Me._TowerRedundantHipBoltGrade2
        			End Get
        			Set
            				Me._TowerRedundantHipBoltGrade2 = Value
        			End Set
    		End Property</v>
      </c>
      <c r="K116" s="11" t="str">
        <f>"Me."&amp;A116&amp; " = " &amp; VLOOKUP(C116,Sheet8!A:D,4,FALSE)&amp;"(recRow.Item("""&amp;A116 &amp;""")" &amp; IF(C116="Number",",6","")&amp;")"</f>
        <v>Me.TowerRedundantHipBoltGrade2 = DBtoStr(recRow.Item("TowerRedundantHipBoltGrade2"))</v>
      </c>
      <c r="L116" s="11" t="str">
        <f t="shared" si="13"/>
        <v>insertString = insertString.AddtoDBString(Me.TowerRedundantHipBoltGrade2.ToString)</v>
      </c>
      <c r="M116" s="11" t="str">
        <f t="shared" si="14"/>
        <v>Equals = If(Me.TowerRedundantHipBoltGrade2.CheckChange(otherToCompare.TowerRedundantHipBoltGrade2, changes, categoryName, "Tower Redundant Hip Bolt Grade 2"), Equals, False)</v>
      </c>
      <c r="N116" s="12" t="str">
        <f t="shared" si="15"/>
        <v xml:space="preserve"> 	Case tnxVar.Equals("TowerRedundantHipBoltGrade2")
                            Try
                                Me.geometry.baseStructure(recIndex).TowerRedundantHipBoltGrade2 = tnxValue
                            Catch ex As Exception
                                Debug.Print("Error parsing TNX variable: " &amp; tnxVar)
                            End Try</v>
      </c>
      <c r="O116" s="11" t="str">
        <f t="shared" si="16"/>
        <v>newERIList.Add("TowerRedundantHipBoltGrade2=" &amp;  .TowerRedundantHipBoltGrade2)</v>
      </c>
      <c r="P116" s="11" t="str">
        <f t="shared" si="17"/>
        <v>SQLInsertValues = SQLInsertValues.AddtoDBString(Me.TowerRedundantHipBoltGrade2.NullableToString.FormatDBValue)</v>
      </c>
      <c r="Q116" s="11" t="str">
        <f t="shared" si="18"/>
        <v>SQLInsertFields = SQLInsertFields.AddtoDBString("TowerRedundantHipBoltGrade2")</v>
      </c>
      <c r="R116" s="11" t="str">
        <f t="shared" si="19"/>
        <v>SQLUpdateFieldsandValues = SQLUpdateFieldsandValues.AddtoDBString("TowerRedundantHipBoltGrade2 = " &amp; Me.TowerRedundantHipBoltGrade2.NullableToString.FormatDBValue)</v>
      </c>
      <c r="S116" s="10" t="s">
        <v>286</v>
      </c>
    </row>
    <row r="117" spans="1:19" ht="150" x14ac:dyDescent="0.25">
      <c r="A117" s="11" t="s">
        <v>659</v>
      </c>
      <c r="B117" s="11" t="str" cm="1">
        <f t="array" ref="B117">Addspaces(A117)</f>
        <v>Tower Redundant Hip Bolt Size 2</v>
      </c>
      <c r="C117" s="15" t="s">
        <v>1225</v>
      </c>
      <c r="D117" s="13" t="str">
        <f>VLOOKUP(C117,Sheet8!A:C,2,FALSE)</f>
        <v>decimal(18, 6)</v>
      </c>
      <c r="E117" s="15"/>
      <c r="F117" s="13" t="str">
        <f>VLOOKUP(C117,Sheet8!A:C,3,FALSE)</f>
        <v>Double?</v>
      </c>
      <c r="G117" s="15"/>
      <c r="H117" s="11" t="str">
        <f t="shared" si="10"/>
        <v>ADD TowerRedundantHipBoltSize2 decimal(18, 6),</v>
      </c>
      <c r="I117" s="11" t="str">
        <f t="shared" si="11"/>
        <v xml:space="preserve">Private _TowerRedundantHipBoltSize2 As Double? </v>
      </c>
      <c r="J117" s="12" t="str">
        <f t="shared" si="12"/>
        <v xml:space="preserve">     		&lt;Category("TNX Tower Record"), Description(""), DisplayName("Tower Redundant Hip Bolt Size 2")&gt;
    		&lt;DataMember()&gt; Public Property TowerRedundantHipBoltSize2() As Double?
        			Get
            				Return Me._TowerRedundantHipBoltSize2
        			End Get
        			Set
            				Me._TowerRedundantHipBoltSize2 = Value
        			End Set
    		End Property</v>
      </c>
      <c r="K117" s="11" t="str">
        <f>"Me."&amp;A117&amp; " = " &amp; VLOOKUP(C117,Sheet8!A:D,4,FALSE)&amp;"(recRow.Item("""&amp;A117 &amp;""")" &amp; IF(C117="Number",",6","")&amp;")"</f>
        <v>Me.TowerRedundantHipBoltSize2 = DBtoNullableDec(recRow.Item("TowerRedundantHipBoltSize2"),6)</v>
      </c>
      <c r="L117" s="11" t="str">
        <f t="shared" si="13"/>
        <v>insertString = insertString.AddtoDBString(Me.TowerRedundantHipBoltSize2.ToString)</v>
      </c>
      <c r="M117" s="11" t="str">
        <f t="shared" si="14"/>
        <v>Equals = If(Me.TowerRedundantHipBoltSize2.CheckChange(otherToCompare.TowerRedundantHipBoltSize2, changes, categoryName, "Tower Redundant Hip Bolt Size 2"), Equals, False)</v>
      </c>
      <c r="N117" s="12" t="str">
        <f t="shared" si="15"/>
        <v xml:space="preserve"> 	Case tnxVar.Equals("TowerRedundantHipBoltSize2")
                            Try
                                Me.geometry.baseStructure(recIndex).TowerRedundantHipBoltSize2 = tnxValue
                            Catch ex As Exception
                                Debug.Print("Error parsing TNX variable: " &amp; tnxVar)
                            End Try</v>
      </c>
      <c r="O117" s="11" t="str">
        <f t="shared" si="16"/>
        <v>newERIList.Add("TowerRedundantHipBoltSize2=" &amp; Me.settings.USUnits.Properties.convertToERIUnits( .TowerRedundantHipBoltSize2))</v>
      </c>
      <c r="P117" s="11" t="str">
        <f t="shared" si="17"/>
        <v>SQLInsertValues = SQLInsertValues.AddtoDBString(Me.TowerRedundantHipBoltSize2.NullableToString.FormatDBValue)</v>
      </c>
      <c r="Q117" s="11" t="str">
        <f t="shared" si="18"/>
        <v>SQLInsertFields = SQLInsertFields.AddtoDBString("TowerRedundantHipBoltSize2")</v>
      </c>
      <c r="R117" s="11" t="str">
        <f t="shared" si="19"/>
        <v>SQLUpdateFieldsandValues = SQLUpdateFieldsandValues.AddtoDBString("TowerRedundantHipBoltSize2 = " &amp; Me.TowerRedundantHipBoltSize2.NullableToString.FormatDBValue)</v>
      </c>
      <c r="S117" s="10" t="s">
        <v>286</v>
      </c>
    </row>
    <row r="118" spans="1:19" ht="150" x14ac:dyDescent="0.25">
      <c r="A118" s="11" t="s">
        <v>660</v>
      </c>
      <c r="B118" s="11" t="str" cm="1">
        <f t="array" ref="B118">Addspaces(A118)</f>
        <v>Tower Redundant Hip Num Bolts 2</v>
      </c>
      <c r="C118" s="15" t="s">
        <v>1234</v>
      </c>
      <c r="D118" s="13" t="str">
        <f>VLOOKUP(C118,Sheet8!A:C,2,FALSE)</f>
        <v>int</v>
      </c>
      <c r="E118" s="15"/>
      <c r="F118" s="13" t="str">
        <f>VLOOKUP(C118,Sheet8!A:C,3,FALSE)</f>
        <v>Integer?</v>
      </c>
      <c r="G118" s="15"/>
      <c r="H118" s="11" t="str">
        <f t="shared" si="10"/>
        <v>ADD TowerRedundantHipNumBolts2 int,</v>
      </c>
      <c r="I118" s="11" t="str">
        <f t="shared" si="11"/>
        <v xml:space="preserve">Private _TowerRedundantHipNumBolts2 As Integer? </v>
      </c>
      <c r="J118" s="12" t="str">
        <f t="shared" si="12"/>
        <v xml:space="preserve">     		&lt;Category("TNX Tower Record"), Description(""), DisplayName("Tower Redundant Hip Num Bolts 2")&gt;
    		&lt;DataMember()&gt; Public Property TowerRedundantHipNumBolts2() As Integer?
        			Get
            				Return Me._TowerRedundantHipNumBolts2
        			End Get
        			Set
            				Me._TowerRedundantHipNumBolts2 = Value
        			End Set
    		End Property</v>
      </c>
      <c r="K118" s="11" t="str">
        <f>"Me."&amp;A118&amp; " = " &amp; VLOOKUP(C118,Sheet8!A:D,4,FALSE)&amp;"(recRow.Item("""&amp;A118 &amp;""")" &amp; IF(C118="Number",",6","")&amp;")"</f>
        <v>Me.TowerRedundantHipNumBolts2 = DBtoNullableInt(recRow.Item("TowerRedundantHipNumBolts2"))</v>
      </c>
      <c r="L118" s="11" t="str">
        <f t="shared" si="13"/>
        <v>insertString = insertString.AddtoDBString(Me.TowerRedundantHipNumBolts2.ToString)</v>
      </c>
      <c r="M118" s="11" t="str">
        <f t="shared" si="14"/>
        <v>Equals = If(Me.TowerRedundantHipNumBolts2.CheckChange(otherToCompare.TowerRedundantHipNumBolts2, changes, categoryName, "Tower Redundant Hip Num Bolts 2"), Equals, False)</v>
      </c>
      <c r="N118" s="12" t="str">
        <f t="shared" si="15"/>
        <v xml:space="preserve"> 	Case tnxVar.Equals("TowerRedundantHipNumBolts2")
                            Try
                                Me.geometry.baseStructure(recIndex).TowerRedundantHipNumBolts2 = tnxValue
                            Catch ex As Exception
                                Debug.Print("Error parsing TNX variable: " &amp; tnxVar)
                            End Try</v>
      </c>
      <c r="O118" s="11" t="str">
        <f t="shared" si="16"/>
        <v>newERIList.Add("TowerRedundantHipNumBolts2=" &amp;  .TowerRedundantHipNumBolts2)</v>
      </c>
      <c r="P118" s="11" t="str">
        <f t="shared" si="17"/>
        <v>SQLInsertValues = SQLInsertValues.AddtoDBString(Me.TowerRedundantHipNumBolts2.NullableToString.FormatDBValue)</v>
      </c>
      <c r="Q118" s="11" t="str">
        <f t="shared" si="18"/>
        <v>SQLInsertFields = SQLInsertFields.AddtoDBString("TowerRedundantHipNumBolts2")</v>
      </c>
      <c r="R118" s="11" t="str">
        <f t="shared" si="19"/>
        <v>SQLUpdateFieldsandValues = SQLUpdateFieldsandValues.AddtoDBString("TowerRedundantHipNumBolts2 = " &amp; Me.TowerRedundantHipNumBolts2.NullableToString.FormatDBValue)</v>
      </c>
      <c r="S118" s="10" t="s">
        <v>286</v>
      </c>
    </row>
    <row r="119" spans="1:19" ht="150" x14ac:dyDescent="0.25">
      <c r="A119" s="11" t="s">
        <v>661</v>
      </c>
      <c r="B119" s="11" t="str" cm="1">
        <f t="array" ref="B119">Addspaces(A119)</f>
        <v>Tower Redundant Hip Bolt Edge Distance 2</v>
      </c>
      <c r="C119" s="15" t="s">
        <v>1225</v>
      </c>
      <c r="D119" s="13" t="str">
        <f>VLOOKUP(C119,Sheet8!A:C,2,FALSE)</f>
        <v>decimal(18, 6)</v>
      </c>
      <c r="E119" s="15"/>
      <c r="F119" s="13" t="str">
        <f>VLOOKUP(C119,Sheet8!A:C,3,FALSE)</f>
        <v>Double?</v>
      </c>
      <c r="G119" s="15"/>
      <c r="H119" s="11" t="str">
        <f t="shared" si="10"/>
        <v>ADD TowerRedundantHipBoltEdgeDistance2 decimal(18, 6),</v>
      </c>
      <c r="I119" s="11" t="str">
        <f t="shared" si="11"/>
        <v xml:space="preserve">Private _TowerRedundantHipBoltEdgeDistance2 As Double? </v>
      </c>
      <c r="J119" s="12" t="str">
        <f t="shared" si="12"/>
        <v xml:space="preserve">     		&lt;Category("TNX Tower Record"), Description(""), DisplayName("Tower Redundant Hip Bolt Edge Distance 2")&gt;
    		&lt;DataMember()&gt; Public Property TowerRedundantHipBoltEdgeDistance2() As Double?
        			Get
            				Return Me._TowerRedundantHipBoltEdgeDistance2
        			End Get
        			Set
            				Me._TowerRedundantHipBoltEdgeDistance2 = Value
        			End Set
    		End Property</v>
      </c>
      <c r="K119" s="11" t="str">
        <f>"Me."&amp;A119&amp; " = " &amp; VLOOKUP(C119,Sheet8!A:D,4,FALSE)&amp;"(recRow.Item("""&amp;A119 &amp;""")" &amp; IF(C119="Number",",6","")&amp;")"</f>
        <v>Me.TowerRedundantHipBoltEdgeDistance2 = DBtoNullableDec(recRow.Item("TowerRedundantHipBoltEdgeDistance2"),6)</v>
      </c>
      <c r="L119" s="11" t="str">
        <f t="shared" si="13"/>
        <v>insertString = insertString.AddtoDBString(Me.TowerRedundantHipBoltEdgeDistance2.ToString)</v>
      </c>
      <c r="M119" s="11" t="str">
        <f t="shared" si="14"/>
        <v>Equals = If(Me.TowerRedundantHipBoltEdgeDistance2.CheckChange(otherToCompare.TowerRedundantHipBoltEdgeDistance2, changes, categoryName, "Tower Redundant Hip Bolt Edge Distance 2"), Equals, False)</v>
      </c>
      <c r="N119" s="12" t="str">
        <f t="shared" si="15"/>
        <v xml:space="preserve"> 	Case tnxVar.Equals("TowerRedundantHipBoltEdgeDistance2")
                            Try
                                Me.geometry.baseStructure(recIndex).TowerRedundantHipBoltEdgeDistance2 = tnxValue
                            Catch ex As Exception
                                Debug.Print("Error parsing TNX variable: " &amp; tnxVar)
                            End Try</v>
      </c>
      <c r="O119" s="11" t="str">
        <f t="shared" si="16"/>
        <v>newERIList.Add("TowerRedundantHipBoltEdgeDistance2=" &amp; Me.settings.USUnits.Properties.convertToERIUnits( .TowerRedundantHipBoltEdgeDistance2))</v>
      </c>
      <c r="P119" s="11" t="str">
        <f t="shared" si="17"/>
        <v>SQLInsertValues = SQLInsertValues.AddtoDBString(Me.TowerRedundantHipBoltEdgeDistance2.NullableToString.FormatDBValue)</v>
      </c>
      <c r="Q119" s="11" t="str">
        <f t="shared" si="18"/>
        <v>SQLInsertFields = SQLInsertFields.AddtoDBString("TowerRedundantHipBoltEdgeDistance2")</v>
      </c>
      <c r="R119" s="11" t="str">
        <f t="shared" si="19"/>
        <v>SQLUpdateFieldsandValues = SQLUpdateFieldsandValues.AddtoDBString("TowerRedundantHipBoltEdgeDistance2 = " &amp; Me.TowerRedundantHipBoltEdgeDistance2.NullableToString.FormatDBValue)</v>
      </c>
      <c r="S119" s="10" t="s">
        <v>286</v>
      </c>
    </row>
    <row r="120" spans="1:19" ht="150" x14ac:dyDescent="0.25">
      <c r="A120" s="11" t="s">
        <v>662</v>
      </c>
      <c r="B120" s="11" t="str" cm="1">
        <f t="array" ref="B120">Addspaces(A120)</f>
        <v>Tower Redundant Hip Gage G 1 Distance 2</v>
      </c>
      <c r="C120" s="15" t="s">
        <v>1225</v>
      </c>
      <c r="D120" s="13" t="str">
        <f>VLOOKUP(C120,Sheet8!A:C,2,FALSE)</f>
        <v>decimal(18, 6)</v>
      </c>
      <c r="E120" s="15"/>
      <c r="F120" s="13" t="str">
        <f>VLOOKUP(C120,Sheet8!A:C,3,FALSE)</f>
        <v>Double?</v>
      </c>
      <c r="G120" s="15"/>
      <c r="H120" s="11" t="str">
        <f t="shared" si="10"/>
        <v>ADD TowerRedundantHipGageG1Distance2 decimal(18, 6),</v>
      </c>
      <c r="I120" s="11" t="str">
        <f t="shared" si="11"/>
        <v xml:space="preserve">Private _TowerRedundantHipGageG1Distance2 As Double? </v>
      </c>
      <c r="J120" s="12" t="str">
        <f t="shared" si="12"/>
        <v xml:space="preserve">     		&lt;Category("TNX Tower Record"), Description(""), DisplayName("Tower Redundant Hip Gage G 1 Distance 2")&gt;
    		&lt;DataMember()&gt; Public Property TowerRedundantHipGageG1Distance2() As Double?
        			Get
            				Return Me._TowerRedundantHipGageG1Distance2
        			End Get
        			Set
            				Me._TowerRedundantHipGageG1Distance2 = Value
        			End Set
    		End Property</v>
      </c>
      <c r="K120" s="11" t="str">
        <f>"Me."&amp;A120&amp; " = " &amp; VLOOKUP(C120,Sheet8!A:D,4,FALSE)&amp;"(recRow.Item("""&amp;A120 &amp;""")" &amp; IF(C120="Number",",6","")&amp;")"</f>
        <v>Me.TowerRedundantHipGageG1Distance2 = DBtoNullableDec(recRow.Item("TowerRedundantHipGageG1Distance2"),6)</v>
      </c>
      <c r="L120" s="11" t="str">
        <f t="shared" si="13"/>
        <v>insertString = insertString.AddtoDBString(Me.TowerRedundantHipGageG1Distance2.ToString)</v>
      </c>
      <c r="M120" s="11" t="str">
        <f t="shared" si="14"/>
        <v>Equals = If(Me.TowerRedundantHipGageG1Distance2.CheckChange(otherToCompare.TowerRedundantHipGageG1Distance2, changes, categoryName, "Tower Redundant Hip Gage G 1 Distance 2"), Equals, False)</v>
      </c>
      <c r="N120" s="12" t="str">
        <f t="shared" si="15"/>
        <v xml:space="preserve"> 	Case tnxVar.Equals("TowerRedundantHipGageG1Distance2")
                            Try
                                Me.geometry.baseStructure(recIndex).TowerRedundantHipGageG1Distance2 = tnxValue
                            Catch ex As Exception
                                Debug.Print("Error parsing TNX variable: " &amp; tnxVar)
                            End Try</v>
      </c>
      <c r="O120" s="11" t="str">
        <f t="shared" si="16"/>
        <v>newERIList.Add("TowerRedundantHipGageG1Distance2=" &amp; Me.settings.USUnits.Properties.convertToERIUnits( .TowerRedundantHipGageG1Distance2))</v>
      </c>
      <c r="P120" s="11" t="str">
        <f t="shared" si="17"/>
        <v>SQLInsertValues = SQLInsertValues.AddtoDBString(Me.TowerRedundantHipGageG1Distance2.NullableToString.FormatDBValue)</v>
      </c>
      <c r="Q120" s="11" t="str">
        <f t="shared" si="18"/>
        <v>SQLInsertFields = SQLInsertFields.AddtoDBString("TowerRedundantHipGageG1Distance2")</v>
      </c>
      <c r="R120" s="11" t="str">
        <f t="shared" si="19"/>
        <v>SQLUpdateFieldsandValues = SQLUpdateFieldsandValues.AddtoDBString("TowerRedundantHipGageG1Distance2 = " &amp; Me.TowerRedundantHipGageG1Distance2.NullableToString.FormatDBValue)</v>
      </c>
      <c r="S120" s="10" t="s">
        <v>286</v>
      </c>
    </row>
    <row r="121" spans="1:19" ht="150" x14ac:dyDescent="0.25">
      <c r="A121" s="11" t="s">
        <v>663</v>
      </c>
      <c r="B121" s="11" t="str" cm="1">
        <f t="array" ref="B121">Addspaces(A121)</f>
        <v>Tower Redundant Hip Net Width Deduct 2</v>
      </c>
      <c r="C121" s="15" t="s">
        <v>1225</v>
      </c>
      <c r="D121" s="13" t="str">
        <f>VLOOKUP(C121,Sheet8!A:C,2,FALSE)</f>
        <v>decimal(18, 6)</v>
      </c>
      <c r="E121" s="15"/>
      <c r="F121" s="13" t="str">
        <f>VLOOKUP(C121,Sheet8!A:C,3,FALSE)</f>
        <v>Double?</v>
      </c>
      <c r="G121" s="15"/>
      <c r="H121" s="11" t="str">
        <f t="shared" si="10"/>
        <v>ADD TowerRedundantHipNetWidthDeduct2 decimal(18, 6),</v>
      </c>
      <c r="I121" s="11" t="str">
        <f t="shared" si="11"/>
        <v xml:space="preserve">Private _TowerRedundantHipNetWidthDeduct2 As Double? </v>
      </c>
      <c r="J121" s="12" t="str">
        <f t="shared" si="12"/>
        <v xml:space="preserve">     		&lt;Category("TNX Tower Record"), Description(""), DisplayName("Tower Redundant Hip Net Width Deduct 2")&gt;
    		&lt;DataMember()&gt; Public Property TowerRedundantHipNetWidthDeduct2() As Double?
        			Get
            				Return Me._TowerRedundantHipNetWidthDeduct2
        			End Get
        			Set
            				Me._TowerRedundantHipNetWidthDeduct2 = Value
        			End Set
    		End Property</v>
      </c>
      <c r="K121" s="11" t="str">
        <f>"Me."&amp;A121&amp; " = " &amp; VLOOKUP(C121,Sheet8!A:D,4,FALSE)&amp;"(recRow.Item("""&amp;A121 &amp;""")" &amp; IF(C121="Number",",6","")&amp;")"</f>
        <v>Me.TowerRedundantHipNetWidthDeduct2 = DBtoNullableDec(recRow.Item("TowerRedundantHipNetWidthDeduct2"),6)</v>
      </c>
      <c r="L121" s="11" t="str">
        <f t="shared" si="13"/>
        <v>insertString = insertString.AddtoDBString(Me.TowerRedundantHipNetWidthDeduct2.ToString)</v>
      </c>
      <c r="M121" s="11" t="str">
        <f t="shared" si="14"/>
        <v>Equals = If(Me.TowerRedundantHipNetWidthDeduct2.CheckChange(otherToCompare.TowerRedundantHipNetWidthDeduct2, changes, categoryName, "Tower Redundant Hip Net Width Deduct 2"), Equals, False)</v>
      </c>
      <c r="N121" s="12" t="str">
        <f t="shared" si="15"/>
        <v xml:space="preserve"> 	Case tnxVar.Equals("TowerRedundantHipNetWidthDeduct2")
                            Try
                                Me.geometry.baseStructure(recIndex).TowerRedundantHipNetWidthDeduct2 = tnxValue
                            Catch ex As Exception
                                Debug.Print("Error parsing TNX variable: " &amp; tnxVar)
                            End Try</v>
      </c>
      <c r="O121" s="11" t="str">
        <f t="shared" si="16"/>
        <v>newERIList.Add("TowerRedundantHipNetWidthDeduct2=" &amp; Me.settings.USUnits.Properties.convertToERIUnits( .TowerRedundantHipNetWidthDeduct2))</v>
      </c>
      <c r="P121" s="11" t="str">
        <f t="shared" si="17"/>
        <v>SQLInsertValues = SQLInsertValues.AddtoDBString(Me.TowerRedundantHipNetWidthDeduct2.NullableToString.FormatDBValue)</v>
      </c>
      <c r="Q121" s="11" t="str">
        <f t="shared" si="18"/>
        <v>SQLInsertFields = SQLInsertFields.AddtoDBString("TowerRedundantHipNetWidthDeduct2")</v>
      </c>
      <c r="R121" s="11" t="str">
        <f t="shared" si="19"/>
        <v>SQLUpdateFieldsandValues = SQLUpdateFieldsandValues.AddtoDBString("TowerRedundantHipNetWidthDeduct2 = " &amp; Me.TowerRedundantHipNetWidthDeduct2.NullableToString.FormatDBValue)</v>
      </c>
      <c r="S121" s="10" t="s">
        <v>286</v>
      </c>
    </row>
    <row r="122" spans="1:19" ht="150" x14ac:dyDescent="0.25">
      <c r="A122" s="11" t="s">
        <v>664</v>
      </c>
      <c r="B122" s="11" t="str" cm="1">
        <f t="array" ref="B122">Addspaces(A122)</f>
        <v>Tower Redundant Hip U Factor 2</v>
      </c>
      <c r="C122" s="15" t="s">
        <v>1225</v>
      </c>
      <c r="D122" s="13" t="str">
        <f>VLOOKUP(C122,Sheet8!A:C,2,FALSE)</f>
        <v>decimal(18, 6)</v>
      </c>
      <c r="E122" s="15"/>
      <c r="F122" s="13" t="str">
        <f>VLOOKUP(C122,Sheet8!A:C,3,FALSE)</f>
        <v>Double?</v>
      </c>
      <c r="G122" s="15"/>
      <c r="H122" s="11" t="str">
        <f t="shared" si="10"/>
        <v>ADD TowerRedundantHipUFactor2 decimal(18, 6),</v>
      </c>
      <c r="I122" s="11" t="str">
        <f t="shared" si="11"/>
        <v xml:space="preserve">Private _TowerRedundantHipUFactor2 As Double? </v>
      </c>
      <c r="J122" s="12" t="str">
        <f t="shared" si="12"/>
        <v xml:space="preserve">     		&lt;Category("TNX Tower Record"), Description(""), DisplayName("Tower Redundant Hip U Factor 2")&gt;
    		&lt;DataMember()&gt; Public Property TowerRedundantHipUFactor2() As Double?
        			Get
            				Return Me._TowerRedundantHipUFactor2
        			End Get
        			Set
            				Me._TowerRedundantHipUFactor2 = Value
        			End Set
    		End Property</v>
      </c>
      <c r="K122" s="11" t="str">
        <f>"Me."&amp;A122&amp; " = " &amp; VLOOKUP(C122,Sheet8!A:D,4,FALSE)&amp;"(recRow.Item("""&amp;A122 &amp;""")" &amp; IF(C122="Number",",6","")&amp;")"</f>
        <v>Me.TowerRedundantHipUFactor2 = DBtoNullableDec(recRow.Item("TowerRedundantHipUFactor2"),6)</v>
      </c>
      <c r="L122" s="11" t="str">
        <f t="shared" si="13"/>
        <v>insertString = insertString.AddtoDBString(Me.TowerRedundantHipUFactor2.ToString)</v>
      </c>
      <c r="M122" s="11" t="str">
        <f t="shared" si="14"/>
        <v>Equals = If(Me.TowerRedundantHipUFactor2.CheckChange(otherToCompare.TowerRedundantHipUFactor2, changes, categoryName, "Tower Redundant Hip U Factor 2"), Equals, False)</v>
      </c>
      <c r="N122" s="12" t="str">
        <f t="shared" si="15"/>
        <v xml:space="preserve"> 	Case tnxVar.Equals("TowerRedundantHipUFactor2")
                            Try
                                Me.geometry.baseStructure(recIndex).TowerRedundantHipUFactor2 = tnxValue
                            Catch ex As Exception
                                Debug.Print("Error parsing TNX variable: " &amp; tnxVar)
                            End Try</v>
      </c>
      <c r="O122" s="11" t="str">
        <f t="shared" si="16"/>
        <v>newERIList.Add("TowerRedundantHipUFactor2=" &amp; Me.settings.USUnits.Properties.convertToERIUnits( .TowerRedundantHipUFactor2))</v>
      </c>
      <c r="P122" s="11" t="str">
        <f t="shared" si="17"/>
        <v>SQLInsertValues = SQLInsertValues.AddtoDBString(Me.TowerRedundantHipUFactor2.NullableToString.FormatDBValue)</v>
      </c>
      <c r="Q122" s="11" t="str">
        <f t="shared" si="18"/>
        <v>SQLInsertFields = SQLInsertFields.AddtoDBString("TowerRedundantHipUFactor2")</v>
      </c>
      <c r="R122" s="11" t="str">
        <f t="shared" si="19"/>
        <v>SQLUpdateFieldsandValues = SQLUpdateFieldsandValues.AddtoDBString("TowerRedundantHipUFactor2 = " &amp; Me.TowerRedundantHipUFactor2.NullableToString.FormatDBValue)</v>
      </c>
      <c r="S122" s="10" t="s">
        <v>286</v>
      </c>
    </row>
    <row r="123" spans="1:19" ht="150" x14ac:dyDescent="0.25">
      <c r="A123" s="11" t="s">
        <v>665</v>
      </c>
      <c r="B123" s="11" t="str" cm="1">
        <f t="array" ref="B123">Addspaces(A123)</f>
        <v>Tower Redundant Hip Bolt Grade 3</v>
      </c>
      <c r="C123" s="15" t="s">
        <v>1224</v>
      </c>
      <c r="D123" s="13" t="str">
        <f>VLOOKUP(C123,Sheet8!A:C,2,FALSE)</f>
        <v>varchar</v>
      </c>
      <c r="E123" s="15">
        <v>100</v>
      </c>
      <c r="F123" s="13" t="str">
        <f>VLOOKUP(C123,Sheet8!A:C,3,FALSE)</f>
        <v>String</v>
      </c>
      <c r="G123" s="15"/>
      <c r="H123" s="11" t="str">
        <f t="shared" si="10"/>
        <v>ADD TowerRedundantHipBoltGrade3 varchar(100),</v>
      </c>
      <c r="I123" s="11" t="str">
        <f t="shared" si="11"/>
        <v xml:space="preserve">Private _TowerRedundantHipBoltGrade3 As String </v>
      </c>
      <c r="J123" s="12" t="str">
        <f t="shared" si="12"/>
        <v xml:space="preserve">     		&lt;Category("TNX Tower Record"), Description(""), DisplayName("Tower Redundant Hip Bolt Grade 3")&gt;
    		&lt;DataMember()&gt; Public Property TowerRedundantHipBoltGrade3() As String
        			Get
            				Return Me._TowerRedundantHipBoltGrade3
        			End Get
        			Set
            				Me._TowerRedundantHipBoltGrade3 = Value
        			End Set
    		End Property</v>
      </c>
      <c r="K123" s="11" t="str">
        <f>"Me."&amp;A123&amp; " = " &amp; VLOOKUP(C123,Sheet8!A:D,4,FALSE)&amp;"(recRow.Item("""&amp;A123 &amp;""")" &amp; IF(C123="Number",",6","")&amp;")"</f>
        <v>Me.TowerRedundantHipBoltGrade3 = DBtoStr(recRow.Item("TowerRedundantHipBoltGrade3"))</v>
      </c>
      <c r="L123" s="11" t="str">
        <f t="shared" si="13"/>
        <v>insertString = insertString.AddtoDBString(Me.TowerRedundantHipBoltGrade3.ToString)</v>
      </c>
      <c r="M123" s="11" t="str">
        <f t="shared" si="14"/>
        <v>Equals = If(Me.TowerRedundantHipBoltGrade3.CheckChange(otherToCompare.TowerRedundantHipBoltGrade3, changes, categoryName, "Tower Redundant Hip Bolt Grade 3"), Equals, False)</v>
      </c>
      <c r="N123" s="12" t="str">
        <f t="shared" si="15"/>
        <v xml:space="preserve"> 	Case tnxVar.Equals("TowerRedundantHipBoltGrade3")
                            Try
                                Me.geometry.baseStructure(recIndex).TowerRedundantHipBoltGrade3 = tnxValue
                            Catch ex As Exception
                                Debug.Print("Error parsing TNX variable: " &amp; tnxVar)
                            End Try</v>
      </c>
      <c r="O123" s="11" t="str">
        <f t="shared" si="16"/>
        <v>newERIList.Add("TowerRedundantHipBoltGrade3=" &amp;  .TowerRedundantHipBoltGrade3)</v>
      </c>
      <c r="P123" s="11" t="str">
        <f t="shared" si="17"/>
        <v>SQLInsertValues = SQLInsertValues.AddtoDBString(Me.TowerRedundantHipBoltGrade3.NullableToString.FormatDBValue)</v>
      </c>
      <c r="Q123" s="11" t="str">
        <f t="shared" si="18"/>
        <v>SQLInsertFields = SQLInsertFields.AddtoDBString("TowerRedundantHipBoltGrade3")</v>
      </c>
      <c r="R123" s="11" t="str">
        <f t="shared" si="19"/>
        <v>SQLUpdateFieldsandValues = SQLUpdateFieldsandValues.AddtoDBString("TowerRedundantHipBoltGrade3 = " &amp; Me.TowerRedundantHipBoltGrade3.NullableToString.FormatDBValue)</v>
      </c>
      <c r="S123" s="10" t="s">
        <v>286</v>
      </c>
    </row>
    <row r="124" spans="1:19" ht="150" x14ac:dyDescent="0.25">
      <c r="A124" s="11" t="s">
        <v>666</v>
      </c>
      <c r="B124" s="11" t="str" cm="1">
        <f t="array" ref="B124">Addspaces(A124)</f>
        <v>Tower Redundant Hip Bolt Size 3</v>
      </c>
      <c r="C124" s="15" t="s">
        <v>1225</v>
      </c>
      <c r="D124" s="13" t="str">
        <f>VLOOKUP(C124,Sheet8!A:C,2,FALSE)</f>
        <v>decimal(18, 6)</v>
      </c>
      <c r="E124" s="15"/>
      <c r="F124" s="13" t="str">
        <f>VLOOKUP(C124,Sheet8!A:C,3,FALSE)</f>
        <v>Double?</v>
      </c>
      <c r="G124" s="15"/>
      <c r="H124" s="11" t="str">
        <f t="shared" si="10"/>
        <v>ADD TowerRedundantHipBoltSize3 decimal(18, 6),</v>
      </c>
      <c r="I124" s="11" t="str">
        <f t="shared" si="11"/>
        <v xml:space="preserve">Private _TowerRedundantHipBoltSize3 As Double? </v>
      </c>
      <c r="J124" s="12" t="str">
        <f t="shared" si="12"/>
        <v xml:space="preserve">     		&lt;Category("TNX Tower Record"), Description(""), DisplayName("Tower Redundant Hip Bolt Size 3")&gt;
    		&lt;DataMember()&gt; Public Property TowerRedundantHipBoltSize3() As Double?
        			Get
            				Return Me._TowerRedundantHipBoltSize3
        			End Get
        			Set
            				Me._TowerRedundantHipBoltSize3 = Value
        			End Set
    		End Property</v>
      </c>
      <c r="K124" s="11" t="str">
        <f>"Me."&amp;A124&amp; " = " &amp; VLOOKUP(C124,Sheet8!A:D,4,FALSE)&amp;"(recRow.Item("""&amp;A124 &amp;""")" &amp; IF(C124="Number",",6","")&amp;")"</f>
        <v>Me.TowerRedundantHipBoltSize3 = DBtoNullableDec(recRow.Item("TowerRedundantHipBoltSize3"),6)</v>
      </c>
      <c r="L124" s="11" t="str">
        <f t="shared" si="13"/>
        <v>insertString = insertString.AddtoDBString(Me.TowerRedundantHipBoltSize3.ToString)</v>
      </c>
      <c r="M124" s="11" t="str">
        <f t="shared" si="14"/>
        <v>Equals = If(Me.TowerRedundantHipBoltSize3.CheckChange(otherToCompare.TowerRedundantHipBoltSize3, changes, categoryName, "Tower Redundant Hip Bolt Size 3"), Equals, False)</v>
      </c>
      <c r="N124" s="12" t="str">
        <f t="shared" si="15"/>
        <v xml:space="preserve"> 	Case tnxVar.Equals("TowerRedundantHipBoltSize3")
                            Try
                                Me.geometry.baseStructure(recIndex).TowerRedundantHipBoltSize3 = tnxValue
                            Catch ex As Exception
                                Debug.Print("Error parsing TNX variable: " &amp; tnxVar)
                            End Try</v>
      </c>
      <c r="O124" s="11" t="str">
        <f t="shared" si="16"/>
        <v>newERIList.Add("TowerRedundantHipBoltSize3=" &amp; Me.settings.USUnits.Properties.convertToERIUnits( .TowerRedundantHipBoltSize3))</v>
      </c>
      <c r="P124" s="11" t="str">
        <f t="shared" si="17"/>
        <v>SQLInsertValues = SQLInsertValues.AddtoDBString(Me.TowerRedundantHipBoltSize3.NullableToString.FormatDBValue)</v>
      </c>
      <c r="Q124" s="11" t="str">
        <f t="shared" si="18"/>
        <v>SQLInsertFields = SQLInsertFields.AddtoDBString("TowerRedundantHipBoltSize3")</v>
      </c>
      <c r="R124" s="11" t="str">
        <f t="shared" si="19"/>
        <v>SQLUpdateFieldsandValues = SQLUpdateFieldsandValues.AddtoDBString("TowerRedundantHipBoltSize3 = " &amp; Me.TowerRedundantHipBoltSize3.NullableToString.FormatDBValue)</v>
      </c>
      <c r="S124" s="10" t="s">
        <v>286</v>
      </c>
    </row>
    <row r="125" spans="1:19" ht="150" x14ac:dyDescent="0.25">
      <c r="A125" s="11" t="s">
        <v>667</v>
      </c>
      <c r="B125" s="11" t="str" cm="1">
        <f t="array" ref="B125">Addspaces(A125)</f>
        <v>Tower Redundant Hip Num Bolts 3</v>
      </c>
      <c r="C125" s="15" t="s">
        <v>1234</v>
      </c>
      <c r="D125" s="13" t="str">
        <f>VLOOKUP(C125,Sheet8!A:C,2,FALSE)</f>
        <v>int</v>
      </c>
      <c r="E125" s="15"/>
      <c r="F125" s="13" t="str">
        <f>VLOOKUP(C125,Sheet8!A:C,3,FALSE)</f>
        <v>Integer?</v>
      </c>
      <c r="G125" s="15"/>
      <c r="H125" s="11" t="str">
        <f t="shared" si="10"/>
        <v>ADD TowerRedundantHipNumBolts3 int,</v>
      </c>
      <c r="I125" s="11" t="str">
        <f t="shared" si="11"/>
        <v xml:space="preserve">Private _TowerRedundantHipNumBolts3 As Integer? </v>
      </c>
      <c r="J125" s="12" t="str">
        <f t="shared" si="12"/>
        <v xml:space="preserve">     		&lt;Category("TNX Tower Record"), Description(""), DisplayName("Tower Redundant Hip Num Bolts 3")&gt;
    		&lt;DataMember()&gt; Public Property TowerRedundantHipNumBolts3() As Integer?
        			Get
            				Return Me._TowerRedundantHipNumBolts3
        			End Get
        			Set
            				Me._TowerRedundantHipNumBolts3 = Value
        			End Set
    		End Property</v>
      </c>
      <c r="K125" s="11" t="str">
        <f>"Me."&amp;A125&amp; " = " &amp; VLOOKUP(C125,Sheet8!A:D,4,FALSE)&amp;"(recRow.Item("""&amp;A125 &amp;""")" &amp; IF(C125="Number",",6","")&amp;")"</f>
        <v>Me.TowerRedundantHipNumBolts3 = DBtoNullableInt(recRow.Item("TowerRedundantHipNumBolts3"))</v>
      </c>
      <c r="L125" s="11" t="str">
        <f t="shared" si="13"/>
        <v>insertString = insertString.AddtoDBString(Me.TowerRedundantHipNumBolts3.ToString)</v>
      </c>
      <c r="M125" s="11" t="str">
        <f t="shared" si="14"/>
        <v>Equals = If(Me.TowerRedundantHipNumBolts3.CheckChange(otherToCompare.TowerRedundantHipNumBolts3, changes, categoryName, "Tower Redundant Hip Num Bolts 3"), Equals, False)</v>
      </c>
      <c r="N125" s="12" t="str">
        <f t="shared" si="15"/>
        <v xml:space="preserve"> 	Case tnxVar.Equals("TowerRedundantHipNumBolts3")
                            Try
                                Me.geometry.baseStructure(recIndex).TowerRedundantHipNumBolts3 = tnxValue
                            Catch ex As Exception
                                Debug.Print("Error parsing TNX variable: " &amp; tnxVar)
                            End Try</v>
      </c>
      <c r="O125" s="11" t="str">
        <f t="shared" si="16"/>
        <v>newERIList.Add("TowerRedundantHipNumBolts3=" &amp;  .TowerRedundantHipNumBolts3)</v>
      </c>
      <c r="P125" s="11" t="str">
        <f t="shared" si="17"/>
        <v>SQLInsertValues = SQLInsertValues.AddtoDBString(Me.TowerRedundantHipNumBolts3.NullableToString.FormatDBValue)</v>
      </c>
      <c r="Q125" s="11" t="str">
        <f t="shared" si="18"/>
        <v>SQLInsertFields = SQLInsertFields.AddtoDBString("TowerRedundantHipNumBolts3")</v>
      </c>
      <c r="R125" s="11" t="str">
        <f t="shared" si="19"/>
        <v>SQLUpdateFieldsandValues = SQLUpdateFieldsandValues.AddtoDBString("TowerRedundantHipNumBolts3 = " &amp; Me.TowerRedundantHipNumBolts3.NullableToString.FormatDBValue)</v>
      </c>
      <c r="S125" s="10" t="s">
        <v>286</v>
      </c>
    </row>
    <row r="126" spans="1:19" ht="150" x14ac:dyDescent="0.25">
      <c r="A126" s="11" t="s">
        <v>668</v>
      </c>
      <c r="B126" s="11" t="str" cm="1">
        <f t="array" ref="B126">Addspaces(A126)</f>
        <v>Tower Redundant Hip Bolt Edge Distance 3</v>
      </c>
      <c r="C126" s="15" t="s">
        <v>1225</v>
      </c>
      <c r="D126" s="13" t="str">
        <f>VLOOKUP(C126,Sheet8!A:C,2,FALSE)</f>
        <v>decimal(18, 6)</v>
      </c>
      <c r="E126" s="15"/>
      <c r="F126" s="13" t="str">
        <f>VLOOKUP(C126,Sheet8!A:C,3,FALSE)</f>
        <v>Double?</v>
      </c>
      <c r="G126" s="15"/>
      <c r="H126" s="11" t="str">
        <f t="shared" si="10"/>
        <v>ADD TowerRedundantHipBoltEdgeDistance3 decimal(18, 6),</v>
      </c>
      <c r="I126" s="11" t="str">
        <f t="shared" si="11"/>
        <v xml:space="preserve">Private _TowerRedundantHipBoltEdgeDistance3 As Double? </v>
      </c>
      <c r="J126" s="12" t="str">
        <f t="shared" si="12"/>
        <v xml:space="preserve">     		&lt;Category("TNX Tower Record"), Description(""), DisplayName("Tower Redundant Hip Bolt Edge Distance 3")&gt;
    		&lt;DataMember()&gt; Public Property TowerRedundantHipBoltEdgeDistance3() As Double?
        			Get
            				Return Me._TowerRedundantHipBoltEdgeDistance3
        			End Get
        			Set
            				Me._TowerRedundantHipBoltEdgeDistance3 = Value
        			End Set
    		End Property</v>
      </c>
      <c r="K126" s="11" t="str">
        <f>"Me."&amp;A126&amp; " = " &amp; VLOOKUP(C126,Sheet8!A:D,4,FALSE)&amp;"(recRow.Item("""&amp;A126 &amp;""")" &amp; IF(C126="Number",",6","")&amp;")"</f>
        <v>Me.TowerRedundantHipBoltEdgeDistance3 = DBtoNullableDec(recRow.Item("TowerRedundantHipBoltEdgeDistance3"),6)</v>
      </c>
      <c r="L126" s="11" t="str">
        <f t="shared" si="13"/>
        <v>insertString = insertString.AddtoDBString(Me.TowerRedundantHipBoltEdgeDistance3.ToString)</v>
      </c>
      <c r="M126" s="11" t="str">
        <f t="shared" si="14"/>
        <v>Equals = If(Me.TowerRedundantHipBoltEdgeDistance3.CheckChange(otherToCompare.TowerRedundantHipBoltEdgeDistance3, changes, categoryName, "Tower Redundant Hip Bolt Edge Distance 3"), Equals, False)</v>
      </c>
      <c r="N126" s="12" t="str">
        <f t="shared" si="15"/>
        <v xml:space="preserve"> 	Case tnxVar.Equals("TowerRedundantHipBoltEdgeDistance3")
                            Try
                                Me.geometry.baseStructure(recIndex).TowerRedundantHipBoltEdgeDistance3 = tnxValue
                            Catch ex As Exception
                                Debug.Print("Error parsing TNX variable: " &amp; tnxVar)
                            End Try</v>
      </c>
      <c r="O126" s="11" t="str">
        <f t="shared" si="16"/>
        <v>newERIList.Add("TowerRedundantHipBoltEdgeDistance3=" &amp; Me.settings.USUnits.Properties.convertToERIUnits( .TowerRedundantHipBoltEdgeDistance3))</v>
      </c>
      <c r="P126" s="11" t="str">
        <f t="shared" si="17"/>
        <v>SQLInsertValues = SQLInsertValues.AddtoDBString(Me.TowerRedundantHipBoltEdgeDistance3.NullableToString.FormatDBValue)</v>
      </c>
      <c r="Q126" s="11" t="str">
        <f t="shared" si="18"/>
        <v>SQLInsertFields = SQLInsertFields.AddtoDBString("TowerRedundantHipBoltEdgeDistance3")</v>
      </c>
      <c r="R126" s="11" t="str">
        <f t="shared" si="19"/>
        <v>SQLUpdateFieldsandValues = SQLUpdateFieldsandValues.AddtoDBString("TowerRedundantHipBoltEdgeDistance3 = " &amp; Me.TowerRedundantHipBoltEdgeDistance3.NullableToString.FormatDBValue)</v>
      </c>
      <c r="S126" s="10" t="s">
        <v>286</v>
      </c>
    </row>
    <row r="127" spans="1:19" ht="150" x14ac:dyDescent="0.25">
      <c r="A127" s="11" t="s">
        <v>669</v>
      </c>
      <c r="B127" s="11" t="str" cm="1">
        <f t="array" ref="B127">Addspaces(A127)</f>
        <v>Tower Redundant Hip Gage G 1 Distance 3</v>
      </c>
      <c r="C127" s="15" t="s">
        <v>1225</v>
      </c>
      <c r="D127" s="13" t="str">
        <f>VLOOKUP(C127,Sheet8!A:C,2,FALSE)</f>
        <v>decimal(18, 6)</v>
      </c>
      <c r="E127" s="15"/>
      <c r="F127" s="13" t="str">
        <f>VLOOKUP(C127,Sheet8!A:C,3,FALSE)</f>
        <v>Double?</v>
      </c>
      <c r="G127" s="15"/>
      <c r="H127" s="11" t="str">
        <f t="shared" si="10"/>
        <v>ADD TowerRedundantHipGageG1Distance3 decimal(18, 6),</v>
      </c>
      <c r="I127" s="11" t="str">
        <f t="shared" si="11"/>
        <v xml:space="preserve">Private _TowerRedundantHipGageG1Distance3 As Double? </v>
      </c>
      <c r="J127" s="12" t="str">
        <f t="shared" si="12"/>
        <v xml:space="preserve">     		&lt;Category("TNX Tower Record"), Description(""), DisplayName("Tower Redundant Hip Gage G 1 Distance 3")&gt;
    		&lt;DataMember()&gt; Public Property TowerRedundantHipGageG1Distance3() As Double?
        			Get
            				Return Me._TowerRedundantHipGageG1Distance3
        			End Get
        			Set
            				Me._TowerRedundantHipGageG1Distance3 = Value
        			End Set
    		End Property</v>
      </c>
      <c r="K127" s="11" t="str">
        <f>"Me."&amp;A127&amp; " = " &amp; VLOOKUP(C127,Sheet8!A:D,4,FALSE)&amp;"(recRow.Item("""&amp;A127 &amp;""")" &amp; IF(C127="Number",",6","")&amp;")"</f>
        <v>Me.TowerRedundantHipGageG1Distance3 = DBtoNullableDec(recRow.Item("TowerRedundantHipGageG1Distance3"),6)</v>
      </c>
      <c r="L127" s="11" t="str">
        <f t="shared" si="13"/>
        <v>insertString = insertString.AddtoDBString(Me.TowerRedundantHipGageG1Distance3.ToString)</v>
      </c>
      <c r="M127" s="11" t="str">
        <f t="shared" si="14"/>
        <v>Equals = If(Me.TowerRedundantHipGageG1Distance3.CheckChange(otherToCompare.TowerRedundantHipGageG1Distance3, changes, categoryName, "Tower Redundant Hip Gage G 1 Distance 3"), Equals, False)</v>
      </c>
      <c r="N127" s="12" t="str">
        <f t="shared" si="15"/>
        <v xml:space="preserve"> 	Case tnxVar.Equals("TowerRedundantHipGageG1Distance3")
                            Try
                                Me.geometry.baseStructure(recIndex).TowerRedundantHipGageG1Distance3 = tnxValue
                            Catch ex As Exception
                                Debug.Print("Error parsing TNX variable: " &amp; tnxVar)
                            End Try</v>
      </c>
      <c r="O127" s="11" t="str">
        <f t="shared" si="16"/>
        <v>newERIList.Add("TowerRedundantHipGageG1Distance3=" &amp; Me.settings.USUnits.Properties.convertToERIUnits( .TowerRedundantHipGageG1Distance3))</v>
      </c>
      <c r="P127" s="11" t="str">
        <f t="shared" si="17"/>
        <v>SQLInsertValues = SQLInsertValues.AddtoDBString(Me.TowerRedundantHipGageG1Distance3.NullableToString.FormatDBValue)</v>
      </c>
      <c r="Q127" s="11" t="str">
        <f t="shared" si="18"/>
        <v>SQLInsertFields = SQLInsertFields.AddtoDBString("TowerRedundantHipGageG1Distance3")</v>
      </c>
      <c r="R127" s="11" t="str">
        <f t="shared" si="19"/>
        <v>SQLUpdateFieldsandValues = SQLUpdateFieldsandValues.AddtoDBString("TowerRedundantHipGageG1Distance3 = " &amp; Me.TowerRedundantHipGageG1Distance3.NullableToString.FormatDBValue)</v>
      </c>
      <c r="S127" s="10" t="s">
        <v>286</v>
      </c>
    </row>
    <row r="128" spans="1:19" ht="150" x14ac:dyDescent="0.25">
      <c r="A128" s="11" t="s">
        <v>670</v>
      </c>
      <c r="B128" s="11" t="str" cm="1">
        <f t="array" ref="B128">Addspaces(A128)</f>
        <v>Tower Redundant Hip Net Width Deduct 3</v>
      </c>
      <c r="C128" s="15" t="s">
        <v>1225</v>
      </c>
      <c r="D128" s="13" t="str">
        <f>VLOOKUP(C128,Sheet8!A:C,2,FALSE)</f>
        <v>decimal(18, 6)</v>
      </c>
      <c r="E128" s="15"/>
      <c r="F128" s="13" t="str">
        <f>VLOOKUP(C128,Sheet8!A:C,3,FALSE)</f>
        <v>Double?</v>
      </c>
      <c r="G128" s="15"/>
      <c r="H128" s="11" t="str">
        <f t="shared" si="10"/>
        <v>ADD TowerRedundantHipNetWidthDeduct3 decimal(18, 6),</v>
      </c>
      <c r="I128" s="11" t="str">
        <f t="shared" si="11"/>
        <v xml:space="preserve">Private _TowerRedundantHipNetWidthDeduct3 As Double? </v>
      </c>
      <c r="J128" s="12" t="str">
        <f t="shared" si="12"/>
        <v xml:space="preserve">     		&lt;Category("TNX Tower Record"), Description(""), DisplayName("Tower Redundant Hip Net Width Deduct 3")&gt;
    		&lt;DataMember()&gt; Public Property TowerRedundantHipNetWidthDeduct3() As Double?
        			Get
            				Return Me._TowerRedundantHipNetWidthDeduct3
        			End Get
        			Set
            				Me._TowerRedundantHipNetWidthDeduct3 = Value
        			End Set
    		End Property</v>
      </c>
      <c r="K128" s="11" t="str">
        <f>"Me."&amp;A128&amp; " = " &amp; VLOOKUP(C128,Sheet8!A:D,4,FALSE)&amp;"(recRow.Item("""&amp;A128 &amp;""")" &amp; IF(C128="Number",",6","")&amp;")"</f>
        <v>Me.TowerRedundantHipNetWidthDeduct3 = DBtoNullableDec(recRow.Item("TowerRedundantHipNetWidthDeduct3"),6)</v>
      </c>
      <c r="L128" s="11" t="str">
        <f t="shared" si="13"/>
        <v>insertString = insertString.AddtoDBString(Me.TowerRedundantHipNetWidthDeduct3.ToString)</v>
      </c>
      <c r="M128" s="11" t="str">
        <f t="shared" si="14"/>
        <v>Equals = If(Me.TowerRedundantHipNetWidthDeduct3.CheckChange(otherToCompare.TowerRedundantHipNetWidthDeduct3, changes, categoryName, "Tower Redundant Hip Net Width Deduct 3"), Equals, False)</v>
      </c>
      <c r="N128" s="12" t="str">
        <f t="shared" si="15"/>
        <v xml:space="preserve"> 	Case tnxVar.Equals("TowerRedundantHipNetWidthDeduct3")
                            Try
                                Me.geometry.baseStructure(recIndex).TowerRedundantHipNetWidthDeduct3 = tnxValue
                            Catch ex As Exception
                                Debug.Print("Error parsing TNX variable: " &amp; tnxVar)
                            End Try</v>
      </c>
      <c r="O128" s="11" t="str">
        <f t="shared" si="16"/>
        <v>newERIList.Add("TowerRedundantHipNetWidthDeduct3=" &amp; Me.settings.USUnits.Properties.convertToERIUnits( .TowerRedundantHipNetWidthDeduct3))</v>
      </c>
      <c r="P128" s="11" t="str">
        <f t="shared" si="17"/>
        <v>SQLInsertValues = SQLInsertValues.AddtoDBString(Me.TowerRedundantHipNetWidthDeduct3.NullableToString.FormatDBValue)</v>
      </c>
      <c r="Q128" s="11" t="str">
        <f t="shared" si="18"/>
        <v>SQLInsertFields = SQLInsertFields.AddtoDBString("TowerRedundantHipNetWidthDeduct3")</v>
      </c>
      <c r="R128" s="11" t="str">
        <f t="shared" si="19"/>
        <v>SQLUpdateFieldsandValues = SQLUpdateFieldsandValues.AddtoDBString("TowerRedundantHipNetWidthDeduct3 = " &amp; Me.TowerRedundantHipNetWidthDeduct3.NullableToString.FormatDBValue)</v>
      </c>
      <c r="S128" s="10" t="s">
        <v>286</v>
      </c>
    </row>
    <row r="129" spans="1:19" ht="150" x14ac:dyDescent="0.25">
      <c r="A129" s="11" t="s">
        <v>671</v>
      </c>
      <c r="B129" s="11" t="str" cm="1">
        <f t="array" ref="B129">Addspaces(A129)</f>
        <v>Tower Redundant Hip U Factor 3</v>
      </c>
      <c r="C129" s="15" t="s">
        <v>1225</v>
      </c>
      <c r="D129" s="13" t="str">
        <f>VLOOKUP(C129,Sheet8!A:C,2,FALSE)</f>
        <v>decimal(18, 6)</v>
      </c>
      <c r="E129" s="15"/>
      <c r="F129" s="13" t="str">
        <f>VLOOKUP(C129,Sheet8!A:C,3,FALSE)</f>
        <v>Double?</v>
      </c>
      <c r="G129" s="15"/>
      <c r="H129" s="11" t="str">
        <f t="shared" si="10"/>
        <v>ADD TowerRedundantHipUFactor3 decimal(18, 6),</v>
      </c>
      <c r="I129" s="11" t="str">
        <f t="shared" si="11"/>
        <v xml:space="preserve">Private _TowerRedundantHipUFactor3 As Double? </v>
      </c>
      <c r="J129" s="12" t="str">
        <f t="shared" si="12"/>
        <v xml:space="preserve">     		&lt;Category("TNX Tower Record"), Description(""), DisplayName("Tower Redundant Hip U Factor 3")&gt;
    		&lt;DataMember()&gt; Public Property TowerRedundantHipUFactor3() As Double?
        			Get
            				Return Me._TowerRedundantHipUFactor3
        			End Get
        			Set
            				Me._TowerRedundantHipUFactor3 = Value
        			End Set
    		End Property</v>
      </c>
      <c r="K129" s="11" t="str">
        <f>"Me."&amp;A129&amp; " = " &amp; VLOOKUP(C129,Sheet8!A:D,4,FALSE)&amp;"(recRow.Item("""&amp;A129 &amp;""")" &amp; IF(C129="Number",",6","")&amp;")"</f>
        <v>Me.TowerRedundantHipUFactor3 = DBtoNullableDec(recRow.Item("TowerRedundantHipUFactor3"),6)</v>
      </c>
      <c r="L129" s="11" t="str">
        <f t="shared" si="13"/>
        <v>insertString = insertString.AddtoDBString(Me.TowerRedundantHipUFactor3.ToString)</v>
      </c>
      <c r="M129" s="11" t="str">
        <f t="shared" si="14"/>
        <v>Equals = If(Me.TowerRedundantHipUFactor3.CheckChange(otherToCompare.TowerRedundantHipUFactor3, changes, categoryName, "Tower Redundant Hip U Factor 3"), Equals, False)</v>
      </c>
      <c r="N129" s="12" t="str">
        <f t="shared" si="15"/>
        <v xml:space="preserve"> 	Case tnxVar.Equals("TowerRedundantHipUFactor3")
                            Try
                                Me.geometry.baseStructure(recIndex).TowerRedundantHipUFactor3 = tnxValue
                            Catch ex As Exception
                                Debug.Print("Error parsing TNX variable: " &amp; tnxVar)
                            End Try</v>
      </c>
      <c r="O129" s="11" t="str">
        <f t="shared" si="16"/>
        <v>newERIList.Add("TowerRedundantHipUFactor3=" &amp; Me.settings.USUnits.Properties.convertToERIUnits( .TowerRedundantHipUFactor3))</v>
      </c>
      <c r="P129" s="11" t="str">
        <f t="shared" si="17"/>
        <v>SQLInsertValues = SQLInsertValues.AddtoDBString(Me.TowerRedundantHipUFactor3.NullableToString.FormatDBValue)</v>
      </c>
      <c r="Q129" s="11" t="str">
        <f t="shared" si="18"/>
        <v>SQLInsertFields = SQLInsertFields.AddtoDBString("TowerRedundantHipUFactor3")</v>
      </c>
      <c r="R129" s="11" t="str">
        <f t="shared" si="19"/>
        <v>SQLUpdateFieldsandValues = SQLUpdateFieldsandValues.AddtoDBString("TowerRedundantHipUFactor3 = " &amp; Me.TowerRedundantHipUFactor3.NullableToString.FormatDBValue)</v>
      </c>
      <c r="S129" s="10" t="s">
        <v>286</v>
      </c>
    </row>
    <row r="130" spans="1:19" ht="150" x14ac:dyDescent="0.25">
      <c r="A130" s="11" t="s">
        <v>672</v>
      </c>
      <c r="B130" s="11" t="str" cm="1">
        <f t="array" ref="B130">Addspaces(A130)</f>
        <v>Tower Redundant Hip Bolt Grade 4</v>
      </c>
      <c r="C130" s="15" t="s">
        <v>1224</v>
      </c>
      <c r="D130" s="13" t="str">
        <f>VLOOKUP(C130,Sheet8!A:C,2,FALSE)</f>
        <v>varchar</v>
      </c>
      <c r="E130" s="15">
        <v>100</v>
      </c>
      <c r="F130" s="13" t="str">
        <f>VLOOKUP(C130,Sheet8!A:C,3,FALSE)</f>
        <v>String</v>
      </c>
      <c r="G130" s="15"/>
      <c r="H130" s="11" t="str">
        <f t="shared" si="10"/>
        <v>ADD TowerRedundantHipBoltGrade4 varchar(100),</v>
      </c>
      <c r="I130" s="11" t="str">
        <f t="shared" si="11"/>
        <v xml:space="preserve">Private _TowerRedundantHipBoltGrade4 As String </v>
      </c>
      <c r="J130" s="12" t="str">
        <f t="shared" si="12"/>
        <v xml:space="preserve">     		&lt;Category("TNX Tower Record"), Description(""), DisplayName("Tower Redundant Hip Bolt Grade 4")&gt;
    		&lt;DataMember()&gt; Public Property TowerRedundantHipBoltGrade4() As String
        			Get
            				Return Me._TowerRedundantHipBoltGrade4
        			End Get
        			Set
            				Me._TowerRedundantHipBoltGrade4 = Value
        			End Set
    		End Property</v>
      </c>
      <c r="K130" s="11" t="str">
        <f>"Me."&amp;A130&amp; " = " &amp; VLOOKUP(C130,Sheet8!A:D,4,FALSE)&amp;"(recRow.Item("""&amp;A130 &amp;""")" &amp; IF(C130="Number",",6","")&amp;")"</f>
        <v>Me.TowerRedundantHipBoltGrade4 = DBtoStr(recRow.Item("TowerRedundantHipBoltGrade4"))</v>
      </c>
      <c r="L130" s="11" t="str">
        <f t="shared" si="13"/>
        <v>insertString = insertString.AddtoDBString(Me.TowerRedundantHipBoltGrade4.ToString)</v>
      </c>
      <c r="M130" s="11" t="str">
        <f t="shared" si="14"/>
        <v>Equals = If(Me.TowerRedundantHipBoltGrade4.CheckChange(otherToCompare.TowerRedundantHipBoltGrade4, changes, categoryName, "Tower Redundant Hip Bolt Grade 4"), Equals, False)</v>
      </c>
      <c r="N130" s="12" t="str">
        <f t="shared" si="15"/>
        <v xml:space="preserve"> 	Case tnxVar.Equals("TowerRedundantHipBoltGrade4")
                            Try
                                Me.geometry.baseStructure(recIndex).TowerRedundantHipBoltGrade4 = tnxValue
                            Catch ex As Exception
                                Debug.Print("Error parsing TNX variable: " &amp; tnxVar)
                            End Try</v>
      </c>
      <c r="O130" s="11" t="str">
        <f t="shared" si="16"/>
        <v>newERIList.Add("TowerRedundantHipBoltGrade4=" &amp;  .TowerRedundantHipBoltGrade4)</v>
      </c>
      <c r="P130" s="11" t="str">
        <f t="shared" si="17"/>
        <v>SQLInsertValues = SQLInsertValues.AddtoDBString(Me.TowerRedundantHipBoltGrade4.NullableToString.FormatDBValue)</v>
      </c>
      <c r="Q130" s="11" t="str">
        <f t="shared" si="18"/>
        <v>SQLInsertFields = SQLInsertFields.AddtoDBString("TowerRedundantHipBoltGrade4")</v>
      </c>
      <c r="R130" s="11" t="str">
        <f t="shared" si="19"/>
        <v>SQLUpdateFieldsandValues = SQLUpdateFieldsandValues.AddtoDBString("TowerRedundantHipBoltGrade4 = " &amp; Me.TowerRedundantHipBoltGrade4.NullableToString.FormatDBValue)</v>
      </c>
      <c r="S130" s="10" t="s">
        <v>286</v>
      </c>
    </row>
    <row r="131" spans="1:19" ht="150" x14ac:dyDescent="0.25">
      <c r="A131" s="11" t="s">
        <v>673</v>
      </c>
      <c r="B131" s="11" t="str" cm="1">
        <f t="array" ref="B131">Addspaces(A131)</f>
        <v>Tower Redundant Hip Bolt Size 4</v>
      </c>
      <c r="C131" s="15" t="s">
        <v>1225</v>
      </c>
      <c r="D131" s="13" t="str">
        <f>VLOOKUP(C131,Sheet8!A:C,2,FALSE)</f>
        <v>decimal(18, 6)</v>
      </c>
      <c r="E131" s="15"/>
      <c r="F131" s="13" t="str">
        <f>VLOOKUP(C131,Sheet8!A:C,3,FALSE)</f>
        <v>Double?</v>
      </c>
      <c r="G131" s="15"/>
      <c r="H131" s="11" t="str">
        <f t="shared" ref="H131:H164" si="20">"ADD " &amp; A131&amp;" "&amp;D131&amp;IF(E131="","","("&amp;E131&amp;")") &amp; ","</f>
        <v>ADD TowerRedundantHipBoltSize4 decimal(18, 6),</v>
      </c>
      <c r="I131" s="11" t="str">
        <f t="shared" ref="I131:I164" si="21">"Private _"&amp;A131&amp;" As "&amp;F131&amp;" "</f>
        <v xml:space="preserve">Private _TowerRedundantHipBoltSize4 As Double? </v>
      </c>
      <c r="J131" s="12" t="str">
        <f t="shared" ref="J131:J164" si="22">"     		&lt;Category(""TNX Tower Record""), Description(""""), DisplayName("""&amp;B131&amp;""")&gt;
    		&lt;DataMember()&gt; Public Property "&amp;A131&amp;"() As "&amp;F131 &amp;IF(G131,"?","") &amp;"
        			Get
            				Return Me._"&amp;A131&amp;"
        			End Get
        			Set
            				Me._"&amp;A131&amp;" = Value
        			End Set
    		End Property"</f>
        <v xml:space="preserve">     		&lt;Category("TNX Tower Record"), Description(""), DisplayName("Tower Redundant Hip Bolt Size 4")&gt;
    		&lt;DataMember()&gt; Public Property TowerRedundantHipBoltSize4() As Double?
        			Get
            				Return Me._TowerRedundantHipBoltSize4
        			End Get
        			Set
            				Me._TowerRedundantHipBoltSize4 = Value
        			End Set
    		End Property</v>
      </c>
      <c r="K131" s="11" t="str">
        <f>"Me."&amp;A131&amp; " = " &amp; VLOOKUP(C131,Sheet8!A:D,4,FALSE)&amp;"(recRow.Item("""&amp;A131 &amp;""")" &amp; IF(C131="Number",",6","")&amp;")"</f>
        <v>Me.TowerRedundantHipBoltSize4 = DBtoNullableDec(recRow.Item("TowerRedundantHipBoltSize4"),6)</v>
      </c>
      <c r="L131" s="11" t="str">
        <f t="shared" ref="L131:L164" si="23">"insertString = insertString.AddtoDBString(Me."&amp;A131&amp;".ToString)"</f>
        <v>insertString = insertString.AddtoDBString(Me.TowerRedundantHipBoltSize4.ToString)</v>
      </c>
      <c r="M131" s="11" t="str">
        <f t="shared" ref="M131:M164" si="24">"Equals = If(Me."&amp;A131&amp;".CheckChange(otherToCompare."&amp;A131&amp;", changes, categoryName, """&amp;B131&amp;"""), Equals, False)"</f>
        <v>Equals = If(Me.TowerRedundantHipBoltSize4.CheckChange(otherToCompare.TowerRedundantHipBoltSize4, changes, categoryName, "Tower Redundant Hip Bolt Size 4"), Equals, False)</v>
      </c>
      <c r="N131" s="12" t="str">
        <f t="shared" ref="N131:N164" si="25">" 	Case tnxVar.Equals("""&amp;A131&amp;""")
                            Try
                                Me.geometry.baseStructure(recIndex)."&amp;A131&amp;" = tnxValue
                            Catch ex As Exception
                                Debug.Print(""Error parsing TNX variable: "" &amp; tnxVar)
                            End Try"</f>
        <v xml:space="preserve"> 	Case tnxVar.Equals("TowerRedundantHipBoltSize4")
                            Try
                                Me.geometry.baseStructure(recIndex).TowerRedundantHipBoltSize4 = tnxValue
                            Catch ex As Exception
                                Debug.Print("Error parsing TNX variable: " &amp; tnxVar)
                            End Try</v>
      </c>
      <c r="O131" s="11" t="str">
        <f t="shared" ref="O131:O164" si="26">"newERIList.Add("""&amp;A131&amp;"="" &amp; " &amp; IF(C131="Number","Me.settings.USUnits.Properties.convertToERIUnits(","") &amp; " ."&amp;A131&amp;")"&amp; IF(C131="Number",")","")</f>
        <v>newERIList.Add("TowerRedundantHipBoltSize4=" &amp; Me.settings.USUnits.Properties.convertToERIUnits( .TowerRedundantHipBoltSize4))</v>
      </c>
      <c r="P131" s="11" t="str">
        <f t="shared" ref="P131:P164" si="27">"SQLInsertValues = SQLInsertValues.AddtoDBString(Me."&amp;A131&amp;".NullableToString.FormatDBValue)"</f>
        <v>SQLInsertValues = SQLInsertValues.AddtoDBString(Me.TowerRedundantHipBoltSize4.NullableToString.FormatDBValue)</v>
      </c>
      <c r="Q131" s="11" t="str">
        <f t="shared" ref="Q131:Q164" si="28">"SQLInsertFields = SQLInsertFields.AddtoDBString("""&amp;A131&amp;""")"</f>
        <v>SQLInsertFields = SQLInsertFields.AddtoDBString("TowerRedundantHipBoltSize4")</v>
      </c>
      <c r="R131" s="11" t="str">
        <f t="shared" ref="R131:R164" si="29">"SQLUpdateFieldsandValues = SQLUpdateFieldsandValues.AddtoDBString("""&amp;A131&amp;" = "" &amp; Me."&amp;A131&amp;".NullableToString.FormatDBValue)"</f>
        <v>SQLUpdateFieldsandValues = SQLUpdateFieldsandValues.AddtoDBString("TowerRedundantHipBoltSize4 = " &amp; Me.TowerRedundantHipBoltSize4.NullableToString.FormatDBValue)</v>
      </c>
      <c r="S131" s="10" t="s">
        <v>286</v>
      </c>
    </row>
    <row r="132" spans="1:19" ht="150" x14ac:dyDescent="0.25">
      <c r="A132" s="11" t="s">
        <v>674</v>
      </c>
      <c r="B132" s="11" t="str" cm="1">
        <f t="array" ref="B132">Addspaces(A132)</f>
        <v>Tower Redundant Hip Num Bolts 4</v>
      </c>
      <c r="C132" s="15" t="s">
        <v>1234</v>
      </c>
      <c r="D132" s="13" t="str">
        <f>VLOOKUP(C132,Sheet8!A:C,2,FALSE)</f>
        <v>int</v>
      </c>
      <c r="E132" s="15"/>
      <c r="F132" s="13" t="str">
        <f>VLOOKUP(C132,Sheet8!A:C,3,FALSE)</f>
        <v>Integer?</v>
      </c>
      <c r="G132" s="15"/>
      <c r="H132" s="11" t="str">
        <f t="shared" si="20"/>
        <v>ADD TowerRedundantHipNumBolts4 int,</v>
      </c>
      <c r="I132" s="11" t="str">
        <f t="shared" si="21"/>
        <v xml:space="preserve">Private _TowerRedundantHipNumBolts4 As Integer? </v>
      </c>
      <c r="J132" s="12" t="str">
        <f t="shared" si="22"/>
        <v xml:space="preserve">     		&lt;Category("TNX Tower Record"), Description(""), DisplayName("Tower Redundant Hip Num Bolts 4")&gt;
    		&lt;DataMember()&gt; Public Property TowerRedundantHipNumBolts4() As Integer?
        			Get
            				Return Me._TowerRedundantHipNumBolts4
        			End Get
        			Set
            				Me._TowerRedundantHipNumBolts4 = Value
        			End Set
    		End Property</v>
      </c>
      <c r="K132" s="11" t="str">
        <f>"Me."&amp;A132&amp; " = " &amp; VLOOKUP(C132,Sheet8!A:D,4,FALSE)&amp;"(recRow.Item("""&amp;A132 &amp;""")" &amp; IF(C132="Number",",6","")&amp;")"</f>
        <v>Me.TowerRedundantHipNumBolts4 = DBtoNullableInt(recRow.Item("TowerRedundantHipNumBolts4"))</v>
      </c>
      <c r="L132" s="11" t="str">
        <f t="shared" si="23"/>
        <v>insertString = insertString.AddtoDBString(Me.TowerRedundantHipNumBolts4.ToString)</v>
      </c>
      <c r="M132" s="11" t="str">
        <f t="shared" si="24"/>
        <v>Equals = If(Me.TowerRedundantHipNumBolts4.CheckChange(otherToCompare.TowerRedundantHipNumBolts4, changes, categoryName, "Tower Redundant Hip Num Bolts 4"), Equals, False)</v>
      </c>
      <c r="N132" s="12" t="str">
        <f t="shared" si="25"/>
        <v xml:space="preserve"> 	Case tnxVar.Equals("TowerRedundantHipNumBolts4")
                            Try
                                Me.geometry.baseStructure(recIndex).TowerRedundantHipNumBolts4 = tnxValue
                            Catch ex As Exception
                                Debug.Print("Error parsing TNX variable: " &amp; tnxVar)
                            End Try</v>
      </c>
      <c r="O132" s="11" t="str">
        <f t="shared" si="26"/>
        <v>newERIList.Add("TowerRedundantHipNumBolts4=" &amp;  .TowerRedundantHipNumBolts4)</v>
      </c>
      <c r="P132" s="11" t="str">
        <f t="shared" si="27"/>
        <v>SQLInsertValues = SQLInsertValues.AddtoDBString(Me.TowerRedundantHipNumBolts4.NullableToString.FormatDBValue)</v>
      </c>
      <c r="Q132" s="11" t="str">
        <f t="shared" si="28"/>
        <v>SQLInsertFields = SQLInsertFields.AddtoDBString("TowerRedundantHipNumBolts4")</v>
      </c>
      <c r="R132" s="11" t="str">
        <f t="shared" si="29"/>
        <v>SQLUpdateFieldsandValues = SQLUpdateFieldsandValues.AddtoDBString("TowerRedundantHipNumBolts4 = " &amp; Me.TowerRedundantHipNumBolts4.NullableToString.FormatDBValue)</v>
      </c>
      <c r="S132" s="10" t="s">
        <v>286</v>
      </c>
    </row>
    <row r="133" spans="1:19" ht="150" x14ac:dyDescent="0.25">
      <c r="A133" s="11" t="s">
        <v>675</v>
      </c>
      <c r="B133" s="11" t="str" cm="1">
        <f t="array" ref="B133">Addspaces(A133)</f>
        <v>Tower Redundant Hip Bolt Edge Distance 4</v>
      </c>
      <c r="C133" s="15" t="s">
        <v>1225</v>
      </c>
      <c r="D133" s="13" t="str">
        <f>VLOOKUP(C133,Sheet8!A:C,2,FALSE)</f>
        <v>decimal(18, 6)</v>
      </c>
      <c r="E133" s="15"/>
      <c r="F133" s="13" t="str">
        <f>VLOOKUP(C133,Sheet8!A:C,3,FALSE)</f>
        <v>Double?</v>
      </c>
      <c r="G133" s="15"/>
      <c r="H133" s="11" t="str">
        <f t="shared" si="20"/>
        <v>ADD TowerRedundantHipBoltEdgeDistance4 decimal(18, 6),</v>
      </c>
      <c r="I133" s="11" t="str">
        <f t="shared" si="21"/>
        <v xml:space="preserve">Private _TowerRedundantHipBoltEdgeDistance4 As Double? </v>
      </c>
      <c r="J133" s="12" t="str">
        <f t="shared" si="22"/>
        <v xml:space="preserve">     		&lt;Category("TNX Tower Record"), Description(""), DisplayName("Tower Redundant Hip Bolt Edge Distance 4")&gt;
    		&lt;DataMember()&gt; Public Property TowerRedundantHipBoltEdgeDistance4() As Double?
        			Get
            				Return Me._TowerRedundantHipBoltEdgeDistance4
        			End Get
        			Set
            				Me._TowerRedundantHipBoltEdgeDistance4 = Value
        			End Set
    		End Property</v>
      </c>
      <c r="K133" s="11" t="str">
        <f>"Me."&amp;A133&amp; " = " &amp; VLOOKUP(C133,Sheet8!A:D,4,FALSE)&amp;"(recRow.Item("""&amp;A133 &amp;""")" &amp; IF(C133="Number",",6","")&amp;")"</f>
        <v>Me.TowerRedundantHipBoltEdgeDistance4 = DBtoNullableDec(recRow.Item("TowerRedundantHipBoltEdgeDistance4"),6)</v>
      </c>
      <c r="L133" s="11" t="str">
        <f t="shared" si="23"/>
        <v>insertString = insertString.AddtoDBString(Me.TowerRedundantHipBoltEdgeDistance4.ToString)</v>
      </c>
      <c r="M133" s="11" t="str">
        <f t="shared" si="24"/>
        <v>Equals = If(Me.TowerRedundantHipBoltEdgeDistance4.CheckChange(otherToCompare.TowerRedundantHipBoltEdgeDistance4, changes, categoryName, "Tower Redundant Hip Bolt Edge Distance 4"), Equals, False)</v>
      </c>
      <c r="N133" s="12" t="str">
        <f t="shared" si="25"/>
        <v xml:space="preserve"> 	Case tnxVar.Equals("TowerRedundantHipBoltEdgeDistance4")
                            Try
                                Me.geometry.baseStructure(recIndex).TowerRedundantHipBoltEdgeDistance4 = tnxValue
                            Catch ex As Exception
                                Debug.Print("Error parsing TNX variable: " &amp; tnxVar)
                            End Try</v>
      </c>
      <c r="O133" s="11" t="str">
        <f t="shared" si="26"/>
        <v>newERIList.Add("TowerRedundantHipBoltEdgeDistance4=" &amp; Me.settings.USUnits.Properties.convertToERIUnits( .TowerRedundantHipBoltEdgeDistance4))</v>
      </c>
      <c r="P133" s="11" t="str">
        <f t="shared" si="27"/>
        <v>SQLInsertValues = SQLInsertValues.AddtoDBString(Me.TowerRedundantHipBoltEdgeDistance4.NullableToString.FormatDBValue)</v>
      </c>
      <c r="Q133" s="11" t="str">
        <f t="shared" si="28"/>
        <v>SQLInsertFields = SQLInsertFields.AddtoDBString("TowerRedundantHipBoltEdgeDistance4")</v>
      </c>
      <c r="R133" s="11" t="str">
        <f t="shared" si="29"/>
        <v>SQLUpdateFieldsandValues = SQLUpdateFieldsandValues.AddtoDBString("TowerRedundantHipBoltEdgeDistance4 = " &amp; Me.TowerRedundantHipBoltEdgeDistance4.NullableToString.FormatDBValue)</v>
      </c>
      <c r="S133" s="10" t="s">
        <v>286</v>
      </c>
    </row>
    <row r="134" spans="1:19" ht="150" x14ac:dyDescent="0.25">
      <c r="A134" s="11" t="s">
        <v>676</v>
      </c>
      <c r="B134" s="11" t="str" cm="1">
        <f t="array" ref="B134">Addspaces(A134)</f>
        <v>Tower Redundant Hip Gage G 1 Distance 4</v>
      </c>
      <c r="C134" s="15" t="s">
        <v>1225</v>
      </c>
      <c r="D134" s="13" t="str">
        <f>VLOOKUP(C134,Sheet8!A:C,2,FALSE)</f>
        <v>decimal(18, 6)</v>
      </c>
      <c r="E134" s="15"/>
      <c r="F134" s="13" t="str">
        <f>VLOOKUP(C134,Sheet8!A:C,3,FALSE)</f>
        <v>Double?</v>
      </c>
      <c r="G134" s="15"/>
      <c r="H134" s="11" t="str">
        <f t="shared" si="20"/>
        <v>ADD TowerRedundantHipGageG1Distance4 decimal(18, 6),</v>
      </c>
      <c r="I134" s="11" t="str">
        <f t="shared" si="21"/>
        <v xml:space="preserve">Private _TowerRedundantHipGageG1Distance4 As Double? </v>
      </c>
      <c r="J134" s="12" t="str">
        <f t="shared" si="22"/>
        <v xml:space="preserve">     		&lt;Category("TNX Tower Record"), Description(""), DisplayName("Tower Redundant Hip Gage G 1 Distance 4")&gt;
    		&lt;DataMember()&gt; Public Property TowerRedundantHipGageG1Distance4() As Double?
        			Get
            				Return Me._TowerRedundantHipGageG1Distance4
        			End Get
        			Set
            				Me._TowerRedundantHipGageG1Distance4 = Value
        			End Set
    		End Property</v>
      </c>
      <c r="K134" s="11" t="str">
        <f>"Me."&amp;A134&amp; " = " &amp; VLOOKUP(C134,Sheet8!A:D,4,FALSE)&amp;"(recRow.Item("""&amp;A134 &amp;""")" &amp; IF(C134="Number",",6","")&amp;")"</f>
        <v>Me.TowerRedundantHipGageG1Distance4 = DBtoNullableDec(recRow.Item("TowerRedundantHipGageG1Distance4"),6)</v>
      </c>
      <c r="L134" s="11" t="str">
        <f t="shared" si="23"/>
        <v>insertString = insertString.AddtoDBString(Me.TowerRedundantHipGageG1Distance4.ToString)</v>
      </c>
      <c r="M134" s="11" t="str">
        <f t="shared" si="24"/>
        <v>Equals = If(Me.TowerRedundantHipGageG1Distance4.CheckChange(otherToCompare.TowerRedundantHipGageG1Distance4, changes, categoryName, "Tower Redundant Hip Gage G 1 Distance 4"), Equals, False)</v>
      </c>
      <c r="N134" s="12" t="str">
        <f t="shared" si="25"/>
        <v xml:space="preserve"> 	Case tnxVar.Equals("TowerRedundantHipGageG1Distance4")
                            Try
                                Me.geometry.baseStructure(recIndex).TowerRedundantHipGageG1Distance4 = tnxValue
                            Catch ex As Exception
                                Debug.Print("Error parsing TNX variable: " &amp; tnxVar)
                            End Try</v>
      </c>
      <c r="O134" s="11" t="str">
        <f t="shared" si="26"/>
        <v>newERIList.Add("TowerRedundantHipGageG1Distance4=" &amp; Me.settings.USUnits.Properties.convertToERIUnits( .TowerRedundantHipGageG1Distance4))</v>
      </c>
      <c r="P134" s="11" t="str">
        <f t="shared" si="27"/>
        <v>SQLInsertValues = SQLInsertValues.AddtoDBString(Me.TowerRedundantHipGageG1Distance4.NullableToString.FormatDBValue)</v>
      </c>
      <c r="Q134" s="11" t="str">
        <f t="shared" si="28"/>
        <v>SQLInsertFields = SQLInsertFields.AddtoDBString("TowerRedundantHipGageG1Distance4")</v>
      </c>
      <c r="R134" s="11" t="str">
        <f t="shared" si="29"/>
        <v>SQLUpdateFieldsandValues = SQLUpdateFieldsandValues.AddtoDBString("TowerRedundantHipGageG1Distance4 = " &amp; Me.TowerRedundantHipGageG1Distance4.NullableToString.FormatDBValue)</v>
      </c>
      <c r="S134" s="10" t="s">
        <v>286</v>
      </c>
    </row>
    <row r="135" spans="1:19" ht="150" x14ac:dyDescent="0.25">
      <c r="A135" s="11" t="s">
        <v>677</v>
      </c>
      <c r="B135" s="11" t="str" cm="1">
        <f t="array" ref="B135">Addspaces(A135)</f>
        <v>Tower Redundant Hip Net Width Deduct 4</v>
      </c>
      <c r="C135" s="15" t="s">
        <v>1225</v>
      </c>
      <c r="D135" s="13" t="str">
        <f>VLOOKUP(C135,Sheet8!A:C,2,FALSE)</f>
        <v>decimal(18, 6)</v>
      </c>
      <c r="E135" s="15"/>
      <c r="F135" s="13" t="str">
        <f>VLOOKUP(C135,Sheet8!A:C,3,FALSE)</f>
        <v>Double?</v>
      </c>
      <c r="G135" s="15"/>
      <c r="H135" s="11" t="str">
        <f t="shared" si="20"/>
        <v>ADD TowerRedundantHipNetWidthDeduct4 decimal(18, 6),</v>
      </c>
      <c r="I135" s="11" t="str">
        <f t="shared" si="21"/>
        <v xml:space="preserve">Private _TowerRedundantHipNetWidthDeduct4 As Double? </v>
      </c>
      <c r="J135" s="12" t="str">
        <f t="shared" si="22"/>
        <v xml:space="preserve">     		&lt;Category("TNX Tower Record"), Description(""), DisplayName("Tower Redundant Hip Net Width Deduct 4")&gt;
    		&lt;DataMember()&gt; Public Property TowerRedundantHipNetWidthDeduct4() As Double?
        			Get
            				Return Me._TowerRedundantHipNetWidthDeduct4
        			End Get
        			Set
            				Me._TowerRedundantHipNetWidthDeduct4 = Value
        			End Set
    		End Property</v>
      </c>
      <c r="K135" s="11" t="str">
        <f>"Me."&amp;A135&amp; " = " &amp; VLOOKUP(C135,Sheet8!A:D,4,FALSE)&amp;"(recRow.Item("""&amp;A135 &amp;""")" &amp; IF(C135="Number",",6","")&amp;")"</f>
        <v>Me.TowerRedundantHipNetWidthDeduct4 = DBtoNullableDec(recRow.Item("TowerRedundantHipNetWidthDeduct4"),6)</v>
      </c>
      <c r="L135" s="11" t="str">
        <f t="shared" si="23"/>
        <v>insertString = insertString.AddtoDBString(Me.TowerRedundantHipNetWidthDeduct4.ToString)</v>
      </c>
      <c r="M135" s="11" t="str">
        <f t="shared" si="24"/>
        <v>Equals = If(Me.TowerRedundantHipNetWidthDeduct4.CheckChange(otherToCompare.TowerRedundantHipNetWidthDeduct4, changes, categoryName, "Tower Redundant Hip Net Width Deduct 4"), Equals, False)</v>
      </c>
      <c r="N135" s="12" t="str">
        <f t="shared" si="25"/>
        <v xml:space="preserve"> 	Case tnxVar.Equals("TowerRedundantHipNetWidthDeduct4")
                            Try
                                Me.geometry.baseStructure(recIndex).TowerRedundantHipNetWidthDeduct4 = tnxValue
                            Catch ex As Exception
                                Debug.Print("Error parsing TNX variable: " &amp; tnxVar)
                            End Try</v>
      </c>
      <c r="O135" s="11" t="str">
        <f t="shared" si="26"/>
        <v>newERIList.Add("TowerRedundantHipNetWidthDeduct4=" &amp; Me.settings.USUnits.Properties.convertToERIUnits( .TowerRedundantHipNetWidthDeduct4))</v>
      </c>
      <c r="P135" s="11" t="str">
        <f t="shared" si="27"/>
        <v>SQLInsertValues = SQLInsertValues.AddtoDBString(Me.TowerRedundantHipNetWidthDeduct4.NullableToString.FormatDBValue)</v>
      </c>
      <c r="Q135" s="11" t="str">
        <f t="shared" si="28"/>
        <v>SQLInsertFields = SQLInsertFields.AddtoDBString("TowerRedundantHipNetWidthDeduct4")</v>
      </c>
      <c r="R135" s="11" t="str">
        <f t="shared" si="29"/>
        <v>SQLUpdateFieldsandValues = SQLUpdateFieldsandValues.AddtoDBString("TowerRedundantHipNetWidthDeduct4 = " &amp; Me.TowerRedundantHipNetWidthDeduct4.NullableToString.FormatDBValue)</v>
      </c>
      <c r="S135" s="10" t="s">
        <v>286</v>
      </c>
    </row>
    <row r="136" spans="1:19" ht="150" x14ac:dyDescent="0.25">
      <c r="A136" s="11" t="s">
        <v>678</v>
      </c>
      <c r="B136" s="11" t="str" cm="1">
        <f t="array" ref="B136">Addspaces(A136)</f>
        <v>Tower Redundant Hip U Factor 4</v>
      </c>
      <c r="C136" s="15" t="s">
        <v>1225</v>
      </c>
      <c r="D136" s="13" t="str">
        <f>VLOOKUP(C136,Sheet8!A:C,2,FALSE)</f>
        <v>decimal(18, 6)</v>
      </c>
      <c r="E136" s="15"/>
      <c r="F136" s="13" t="str">
        <f>VLOOKUP(C136,Sheet8!A:C,3,FALSE)</f>
        <v>Double?</v>
      </c>
      <c r="G136" s="15"/>
      <c r="H136" s="11" t="str">
        <f t="shared" si="20"/>
        <v>ADD TowerRedundantHipUFactor4 decimal(18, 6),</v>
      </c>
      <c r="I136" s="11" t="str">
        <f t="shared" si="21"/>
        <v xml:space="preserve">Private _TowerRedundantHipUFactor4 As Double? </v>
      </c>
      <c r="J136" s="12" t="str">
        <f t="shared" si="22"/>
        <v xml:space="preserve">     		&lt;Category("TNX Tower Record"), Description(""), DisplayName("Tower Redundant Hip U Factor 4")&gt;
    		&lt;DataMember()&gt; Public Property TowerRedundantHipUFactor4() As Double?
        			Get
            				Return Me._TowerRedundantHipUFactor4
        			End Get
        			Set
            				Me._TowerRedundantHipUFactor4 = Value
        			End Set
    		End Property</v>
      </c>
      <c r="K136" s="11" t="str">
        <f>"Me."&amp;A136&amp; " = " &amp; VLOOKUP(C136,Sheet8!A:D,4,FALSE)&amp;"(recRow.Item("""&amp;A136 &amp;""")" &amp; IF(C136="Number",",6","")&amp;")"</f>
        <v>Me.TowerRedundantHipUFactor4 = DBtoNullableDec(recRow.Item("TowerRedundantHipUFactor4"),6)</v>
      </c>
      <c r="L136" s="11" t="str">
        <f t="shared" si="23"/>
        <v>insertString = insertString.AddtoDBString(Me.TowerRedundantHipUFactor4.ToString)</v>
      </c>
      <c r="M136" s="11" t="str">
        <f t="shared" si="24"/>
        <v>Equals = If(Me.TowerRedundantHipUFactor4.CheckChange(otherToCompare.TowerRedundantHipUFactor4, changes, categoryName, "Tower Redundant Hip U Factor 4"), Equals, False)</v>
      </c>
      <c r="N136" s="12" t="str">
        <f t="shared" si="25"/>
        <v xml:space="preserve"> 	Case tnxVar.Equals("TowerRedundantHipUFactor4")
                            Try
                                Me.geometry.baseStructure(recIndex).TowerRedundantHipUFactor4 = tnxValue
                            Catch ex As Exception
                                Debug.Print("Error parsing TNX variable: " &amp; tnxVar)
                            End Try</v>
      </c>
      <c r="O136" s="11" t="str">
        <f t="shared" si="26"/>
        <v>newERIList.Add("TowerRedundantHipUFactor4=" &amp; Me.settings.USUnits.Properties.convertToERIUnits( .TowerRedundantHipUFactor4))</v>
      </c>
      <c r="P136" s="11" t="str">
        <f t="shared" si="27"/>
        <v>SQLInsertValues = SQLInsertValues.AddtoDBString(Me.TowerRedundantHipUFactor4.NullableToString.FormatDBValue)</v>
      </c>
      <c r="Q136" s="11" t="str">
        <f t="shared" si="28"/>
        <v>SQLInsertFields = SQLInsertFields.AddtoDBString("TowerRedundantHipUFactor4")</v>
      </c>
      <c r="R136" s="11" t="str">
        <f t="shared" si="29"/>
        <v>SQLUpdateFieldsandValues = SQLUpdateFieldsandValues.AddtoDBString("TowerRedundantHipUFactor4 = " &amp; Me.TowerRedundantHipUFactor4.NullableToString.FormatDBValue)</v>
      </c>
      <c r="S136" s="10" t="s">
        <v>286</v>
      </c>
    </row>
    <row r="137" spans="1:19" ht="150" x14ac:dyDescent="0.25">
      <c r="A137" s="11" t="s">
        <v>679</v>
      </c>
      <c r="B137" s="11" t="str" cm="1">
        <f t="array" ref="B137">Addspaces(A137)</f>
        <v>Tower Redundant Hip Diagonal Bolt Grade 1</v>
      </c>
      <c r="C137" s="15" t="s">
        <v>1224</v>
      </c>
      <c r="D137" s="13" t="str">
        <f>VLOOKUP(C137,Sheet8!A:C,2,FALSE)</f>
        <v>varchar</v>
      </c>
      <c r="E137" s="15">
        <v>100</v>
      </c>
      <c r="F137" s="13" t="str">
        <f>VLOOKUP(C137,Sheet8!A:C,3,FALSE)</f>
        <v>String</v>
      </c>
      <c r="G137" s="15"/>
      <c r="H137" s="11" t="str">
        <f t="shared" si="20"/>
        <v>ADD TowerRedundantHipDiagonalBoltGrade1 varchar(100),</v>
      </c>
      <c r="I137" s="11" t="str">
        <f t="shared" si="21"/>
        <v xml:space="preserve">Private _TowerRedundantHipDiagonalBoltGrade1 As String </v>
      </c>
      <c r="J137" s="12" t="str">
        <f t="shared" si="22"/>
        <v xml:space="preserve">     		&lt;Category("TNX Tower Record"), Description(""), DisplayName("Tower Redundant Hip Diagonal Bolt Grade 1")&gt;
    		&lt;DataMember()&gt; Public Property TowerRedundantHipDiagonalBoltGrade1() As String
        			Get
            				Return Me._TowerRedundantHipDiagonalBoltGrade1
        			End Get
        			Set
            				Me._TowerRedundantHipDiagonalBoltGrade1 = Value
        			End Set
    		End Property</v>
      </c>
      <c r="K137" s="11" t="str">
        <f>"Me."&amp;A137&amp; " = " &amp; VLOOKUP(C137,Sheet8!A:D,4,FALSE)&amp;"(recRow.Item("""&amp;A137 &amp;""")" &amp; IF(C137="Number",",6","")&amp;")"</f>
        <v>Me.TowerRedundantHipDiagonalBoltGrade1 = DBtoStr(recRow.Item("TowerRedundantHipDiagonalBoltGrade1"))</v>
      </c>
      <c r="L137" s="11" t="str">
        <f t="shared" si="23"/>
        <v>insertString = insertString.AddtoDBString(Me.TowerRedundantHipDiagonalBoltGrade1.ToString)</v>
      </c>
      <c r="M137" s="11" t="str">
        <f t="shared" si="24"/>
        <v>Equals = If(Me.TowerRedundantHipDiagonalBoltGrade1.CheckChange(otherToCompare.TowerRedundantHipDiagonalBoltGrade1, changes, categoryName, "Tower Redundant Hip Diagonal Bolt Grade 1"), Equals, False)</v>
      </c>
      <c r="N137" s="12" t="str">
        <f t="shared" si="25"/>
        <v xml:space="preserve"> 	Case tnxVar.Equals("TowerRedundantHipDiagonalBoltGrade1")
                            Try
                                Me.geometry.baseStructure(recIndex).TowerRedundantHipDiagonalBoltGrade1 = tnxValue
                            Catch ex As Exception
                                Debug.Print("Error parsing TNX variable: " &amp; tnxVar)
                            End Try</v>
      </c>
      <c r="O137" s="11" t="str">
        <f t="shared" si="26"/>
        <v>newERIList.Add("TowerRedundantHipDiagonalBoltGrade1=" &amp;  .TowerRedundantHipDiagonalBoltGrade1)</v>
      </c>
      <c r="P137" s="11" t="str">
        <f t="shared" si="27"/>
        <v>SQLInsertValues = SQLInsertValues.AddtoDBString(Me.TowerRedundantHipDiagonalBoltGrade1.NullableToString.FormatDBValue)</v>
      </c>
      <c r="Q137" s="11" t="str">
        <f t="shared" si="28"/>
        <v>SQLInsertFields = SQLInsertFields.AddtoDBString("TowerRedundantHipDiagonalBoltGrade1")</v>
      </c>
      <c r="R137" s="11" t="str">
        <f t="shared" si="29"/>
        <v>SQLUpdateFieldsandValues = SQLUpdateFieldsandValues.AddtoDBString("TowerRedundantHipDiagonalBoltGrade1 = " &amp; Me.TowerRedundantHipDiagonalBoltGrade1.NullableToString.FormatDBValue)</v>
      </c>
      <c r="S137" s="10" t="s">
        <v>286</v>
      </c>
    </row>
    <row r="138" spans="1:19" ht="150" x14ac:dyDescent="0.25">
      <c r="A138" s="11" t="s">
        <v>680</v>
      </c>
      <c r="B138" s="11" t="str" cm="1">
        <f t="array" ref="B138">Addspaces(A138)</f>
        <v>Tower Redundant Hip Diagonal Bolt Size 1</v>
      </c>
      <c r="C138" s="15" t="s">
        <v>1225</v>
      </c>
      <c r="D138" s="13" t="str">
        <f>VLOOKUP(C138,Sheet8!A:C,2,FALSE)</f>
        <v>decimal(18, 6)</v>
      </c>
      <c r="E138" s="15"/>
      <c r="F138" s="13" t="str">
        <f>VLOOKUP(C138,Sheet8!A:C,3,FALSE)</f>
        <v>Double?</v>
      </c>
      <c r="G138" s="15"/>
      <c r="H138" s="11" t="str">
        <f t="shared" si="20"/>
        <v>ADD TowerRedundantHipDiagonalBoltSize1 decimal(18, 6),</v>
      </c>
      <c r="I138" s="11" t="str">
        <f t="shared" si="21"/>
        <v xml:space="preserve">Private _TowerRedundantHipDiagonalBoltSize1 As Double? </v>
      </c>
      <c r="J138" s="12" t="str">
        <f t="shared" si="22"/>
        <v xml:space="preserve">     		&lt;Category("TNX Tower Record"), Description(""), DisplayName("Tower Redundant Hip Diagonal Bolt Size 1")&gt;
    		&lt;DataMember()&gt; Public Property TowerRedundantHipDiagonalBoltSize1() As Double?
        			Get
            				Return Me._TowerRedundantHipDiagonalBoltSize1
        			End Get
        			Set
            				Me._TowerRedundantHipDiagonalBoltSize1 = Value
        			End Set
    		End Property</v>
      </c>
      <c r="K138" s="11" t="str">
        <f>"Me."&amp;A138&amp; " = " &amp; VLOOKUP(C138,Sheet8!A:D,4,FALSE)&amp;"(recRow.Item("""&amp;A138 &amp;""")" &amp; IF(C138="Number",",6","")&amp;")"</f>
        <v>Me.TowerRedundantHipDiagonalBoltSize1 = DBtoNullableDec(recRow.Item("TowerRedundantHipDiagonalBoltSize1"),6)</v>
      </c>
      <c r="L138" s="11" t="str">
        <f t="shared" si="23"/>
        <v>insertString = insertString.AddtoDBString(Me.TowerRedundantHipDiagonalBoltSize1.ToString)</v>
      </c>
      <c r="M138" s="11" t="str">
        <f t="shared" si="24"/>
        <v>Equals = If(Me.TowerRedundantHipDiagonalBoltSize1.CheckChange(otherToCompare.TowerRedundantHipDiagonalBoltSize1, changes, categoryName, "Tower Redundant Hip Diagonal Bolt Size 1"), Equals, False)</v>
      </c>
      <c r="N138" s="12" t="str">
        <f t="shared" si="25"/>
        <v xml:space="preserve"> 	Case tnxVar.Equals("TowerRedundantHipDiagonalBoltSize1")
                            Try
                                Me.geometry.baseStructure(recIndex).TowerRedundantHipDiagonalBoltSize1 = tnxValue
                            Catch ex As Exception
                                Debug.Print("Error parsing TNX variable: " &amp; tnxVar)
                            End Try</v>
      </c>
      <c r="O138" s="11" t="str">
        <f t="shared" si="26"/>
        <v>newERIList.Add("TowerRedundantHipDiagonalBoltSize1=" &amp; Me.settings.USUnits.Properties.convertToERIUnits( .TowerRedundantHipDiagonalBoltSize1))</v>
      </c>
      <c r="P138" s="11" t="str">
        <f t="shared" si="27"/>
        <v>SQLInsertValues = SQLInsertValues.AddtoDBString(Me.TowerRedundantHipDiagonalBoltSize1.NullableToString.FormatDBValue)</v>
      </c>
      <c r="Q138" s="11" t="str">
        <f t="shared" si="28"/>
        <v>SQLInsertFields = SQLInsertFields.AddtoDBString("TowerRedundantHipDiagonalBoltSize1")</v>
      </c>
      <c r="R138" s="11" t="str">
        <f t="shared" si="29"/>
        <v>SQLUpdateFieldsandValues = SQLUpdateFieldsandValues.AddtoDBString("TowerRedundantHipDiagonalBoltSize1 = " &amp; Me.TowerRedundantHipDiagonalBoltSize1.NullableToString.FormatDBValue)</v>
      </c>
      <c r="S138" s="10" t="s">
        <v>286</v>
      </c>
    </row>
    <row r="139" spans="1:19" ht="150" x14ac:dyDescent="0.25">
      <c r="A139" s="11" t="s">
        <v>681</v>
      </c>
      <c r="B139" s="11" t="str" cm="1">
        <f t="array" ref="B139">Addspaces(A139)</f>
        <v>Tower Redundant Hip Diagonal Num Bolts 1</v>
      </c>
      <c r="C139" s="15" t="s">
        <v>1234</v>
      </c>
      <c r="D139" s="13" t="str">
        <f>VLOOKUP(C139,Sheet8!A:C,2,FALSE)</f>
        <v>int</v>
      </c>
      <c r="E139" s="15"/>
      <c r="F139" s="13" t="str">
        <f>VLOOKUP(C139,Sheet8!A:C,3,FALSE)</f>
        <v>Integer?</v>
      </c>
      <c r="G139" s="15"/>
      <c r="H139" s="11" t="str">
        <f t="shared" si="20"/>
        <v>ADD TowerRedundantHipDiagonalNumBolts1 int,</v>
      </c>
      <c r="I139" s="11" t="str">
        <f t="shared" si="21"/>
        <v xml:space="preserve">Private _TowerRedundantHipDiagonalNumBolts1 As Integer? </v>
      </c>
      <c r="J139" s="12" t="str">
        <f t="shared" si="22"/>
        <v xml:space="preserve">     		&lt;Category("TNX Tower Record"), Description(""), DisplayName("Tower Redundant Hip Diagonal Num Bolts 1")&gt;
    		&lt;DataMember()&gt; Public Property TowerRedundantHipDiagonalNumBolts1() As Integer?
        			Get
            				Return Me._TowerRedundantHipDiagonalNumBolts1
        			End Get
        			Set
            				Me._TowerRedundantHipDiagonalNumBolts1 = Value
        			End Set
    		End Property</v>
      </c>
      <c r="K139" s="11" t="str">
        <f>"Me."&amp;A139&amp; " = " &amp; VLOOKUP(C139,Sheet8!A:D,4,FALSE)&amp;"(recRow.Item("""&amp;A139 &amp;""")" &amp; IF(C139="Number",",6","")&amp;")"</f>
        <v>Me.TowerRedundantHipDiagonalNumBolts1 = DBtoNullableInt(recRow.Item("TowerRedundantHipDiagonalNumBolts1"))</v>
      </c>
      <c r="L139" s="11" t="str">
        <f t="shared" si="23"/>
        <v>insertString = insertString.AddtoDBString(Me.TowerRedundantHipDiagonalNumBolts1.ToString)</v>
      </c>
      <c r="M139" s="11" t="str">
        <f t="shared" si="24"/>
        <v>Equals = If(Me.TowerRedundantHipDiagonalNumBolts1.CheckChange(otherToCompare.TowerRedundantHipDiagonalNumBolts1, changes, categoryName, "Tower Redundant Hip Diagonal Num Bolts 1"), Equals, False)</v>
      </c>
      <c r="N139" s="12" t="str">
        <f t="shared" si="25"/>
        <v xml:space="preserve"> 	Case tnxVar.Equals("TowerRedundantHipDiagonalNumBolts1")
                            Try
                                Me.geometry.baseStructure(recIndex).TowerRedundantHipDiagonalNumBolts1 = tnxValue
                            Catch ex As Exception
                                Debug.Print("Error parsing TNX variable: " &amp; tnxVar)
                            End Try</v>
      </c>
      <c r="O139" s="11" t="str">
        <f t="shared" si="26"/>
        <v>newERIList.Add("TowerRedundantHipDiagonalNumBolts1=" &amp;  .TowerRedundantHipDiagonalNumBolts1)</v>
      </c>
      <c r="P139" s="11" t="str">
        <f t="shared" si="27"/>
        <v>SQLInsertValues = SQLInsertValues.AddtoDBString(Me.TowerRedundantHipDiagonalNumBolts1.NullableToString.FormatDBValue)</v>
      </c>
      <c r="Q139" s="11" t="str">
        <f t="shared" si="28"/>
        <v>SQLInsertFields = SQLInsertFields.AddtoDBString("TowerRedundantHipDiagonalNumBolts1")</v>
      </c>
      <c r="R139" s="11" t="str">
        <f t="shared" si="29"/>
        <v>SQLUpdateFieldsandValues = SQLUpdateFieldsandValues.AddtoDBString("TowerRedundantHipDiagonalNumBolts1 = " &amp; Me.TowerRedundantHipDiagonalNumBolts1.NullableToString.FormatDBValue)</v>
      </c>
      <c r="S139" s="10" t="s">
        <v>286</v>
      </c>
    </row>
    <row r="140" spans="1:19" ht="165" x14ac:dyDescent="0.25">
      <c r="A140" s="11" t="s">
        <v>682</v>
      </c>
      <c r="B140" s="11" t="str" cm="1">
        <f t="array" ref="B140">Addspaces(A140)</f>
        <v>Tower Redundant Hip Diagonal Bolt Edge Distance 1</v>
      </c>
      <c r="C140" s="15" t="s">
        <v>1225</v>
      </c>
      <c r="D140" s="13" t="str">
        <f>VLOOKUP(C140,Sheet8!A:C,2,FALSE)</f>
        <v>decimal(18, 6)</v>
      </c>
      <c r="E140" s="15"/>
      <c r="F140" s="13" t="str">
        <f>VLOOKUP(C140,Sheet8!A:C,3,FALSE)</f>
        <v>Double?</v>
      </c>
      <c r="G140" s="15"/>
      <c r="H140" s="11" t="str">
        <f t="shared" si="20"/>
        <v>ADD TowerRedundantHipDiagonalBoltEdgeDistance1 decimal(18, 6),</v>
      </c>
      <c r="I140" s="11" t="str">
        <f t="shared" si="21"/>
        <v xml:space="preserve">Private _TowerRedundantHipDiagonalBoltEdgeDistance1 As Double? </v>
      </c>
      <c r="J140" s="12" t="str">
        <f t="shared" si="22"/>
        <v xml:space="preserve">     		&lt;Category("TNX Tower Record"), Description(""), DisplayName("Tower Redundant Hip Diagonal Bolt Edge Distance 1")&gt;
    		&lt;DataMember()&gt; Public Property TowerRedundantHipDiagonalBoltEdgeDistance1() As Double?
        			Get
            				Return Me._TowerRedundantHipDiagonalBoltEdgeDistance1
        			End Get
        			Set
            				Me._TowerRedundantHipDiagonalBoltEdgeDistance1 = Value
        			End Set
    		End Property</v>
      </c>
      <c r="K140" s="11" t="str">
        <f>"Me."&amp;A140&amp; " = " &amp; VLOOKUP(C140,Sheet8!A:D,4,FALSE)&amp;"(recRow.Item("""&amp;A140 &amp;""")" &amp; IF(C140="Number",",6","")&amp;")"</f>
        <v>Me.TowerRedundantHipDiagonalBoltEdgeDistance1 = DBtoNullableDec(recRow.Item("TowerRedundantHipDiagonalBoltEdgeDistance1"),6)</v>
      </c>
      <c r="L140" s="11" t="str">
        <f t="shared" si="23"/>
        <v>insertString = insertString.AddtoDBString(Me.TowerRedundantHipDiagonalBoltEdgeDistance1.ToString)</v>
      </c>
      <c r="M140" s="11" t="str">
        <f t="shared" si="24"/>
        <v>Equals = If(Me.TowerRedundantHipDiagonalBoltEdgeDistance1.CheckChange(otherToCompare.TowerRedundantHipDiagonalBoltEdgeDistance1, changes, categoryName, "Tower Redundant Hip Diagonal Bolt Edge Distance 1"), Equals, False)</v>
      </c>
      <c r="N140" s="12" t="str">
        <f t="shared" si="25"/>
        <v xml:space="preserve"> 	Case tnxVar.Equals("TowerRedundantHipDiagonalBoltEdgeDistance1")
                            Try
                                Me.geometry.baseStructure(recIndex).TowerRedundantHipDiagonalBoltEdgeDistance1 = tnxValue
                            Catch ex As Exception
                                Debug.Print("Error parsing TNX variable: " &amp; tnxVar)
                            End Try</v>
      </c>
      <c r="O140" s="11" t="str">
        <f t="shared" si="26"/>
        <v>newERIList.Add("TowerRedundantHipDiagonalBoltEdgeDistance1=" &amp; Me.settings.USUnits.Properties.convertToERIUnits( .TowerRedundantHipDiagonalBoltEdgeDistance1))</v>
      </c>
      <c r="P140" s="11" t="str">
        <f t="shared" si="27"/>
        <v>SQLInsertValues = SQLInsertValues.AddtoDBString(Me.TowerRedundantHipDiagonalBoltEdgeDistance1.NullableToString.FormatDBValue)</v>
      </c>
      <c r="Q140" s="11" t="str">
        <f t="shared" si="28"/>
        <v>SQLInsertFields = SQLInsertFields.AddtoDBString("TowerRedundantHipDiagonalBoltEdgeDistance1")</v>
      </c>
      <c r="R140" s="11" t="str">
        <f t="shared" si="29"/>
        <v>SQLUpdateFieldsandValues = SQLUpdateFieldsandValues.AddtoDBString("TowerRedundantHipDiagonalBoltEdgeDistance1 = " &amp; Me.TowerRedundantHipDiagonalBoltEdgeDistance1.NullableToString.FormatDBValue)</v>
      </c>
      <c r="S140" s="10" t="s">
        <v>286</v>
      </c>
    </row>
    <row r="141" spans="1:19" ht="165" x14ac:dyDescent="0.25">
      <c r="A141" s="11" t="s">
        <v>683</v>
      </c>
      <c r="B141" s="11" t="str" cm="1">
        <f t="array" ref="B141">Addspaces(A141)</f>
        <v>Tower Redundant Hip Diagonal Gage G 1 Distance 1</v>
      </c>
      <c r="C141" s="15" t="s">
        <v>1225</v>
      </c>
      <c r="D141" s="13" t="str">
        <f>VLOOKUP(C141,Sheet8!A:C,2,FALSE)</f>
        <v>decimal(18, 6)</v>
      </c>
      <c r="E141" s="15"/>
      <c r="F141" s="13" t="str">
        <f>VLOOKUP(C141,Sheet8!A:C,3,FALSE)</f>
        <v>Double?</v>
      </c>
      <c r="G141" s="15"/>
      <c r="H141" s="11" t="str">
        <f t="shared" si="20"/>
        <v>ADD TowerRedundantHipDiagonalGageG1Distance1 decimal(18, 6),</v>
      </c>
      <c r="I141" s="11" t="str">
        <f t="shared" si="21"/>
        <v xml:space="preserve">Private _TowerRedundantHipDiagonalGageG1Distance1 As Double? </v>
      </c>
      <c r="J141" s="12" t="str">
        <f t="shared" si="22"/>
        <v xml:space="preserve">     		&lt;Category("TNX Tower Record"), Description(""), DisplayName("Tower Redundant Hip Diagonal Gage G 1 Distance 1")&gt;
    		&lt;DataMember()&gt; Public Property TowerRedundantHipDiagonalGageG1Distance1() As Double?
        			Get
            				Return Me._TowerRedundantHipDiagonalGageG1Distance1
        			End Get
        			Set
            				Me._TowerRedundantHipDiagonalGageG1Distance1 = Value
        			End Set
    		End Property</v>
      </c>
      <c r="K141" s="11" t="str">
        <f>"Me."&amp;A141&amp; " = " &amp; VLOOKUP(C141,Sheet8!A:D,4,FALSE)&amp;"(recRow.Item("""&amp;A141 &amp;""")" &amp; IF(C141="Number",",6","")&amp;")"</f>
        <v>Me.TowerRedundantHipDiagonalGageG1Distance1 = DBtoNullableDec(recRow.Item("TowerRedundantHipDiagonalGageG1Distance1"),6)</v>
      </c>
      <c r="L141" s="11" t="str">
        <f t="shared" si="23"/>
        <v>insertString = insertString.AddtoDBString(Me.TowerRedundantHipDiagonalGageG1Distance1.ToString)</v>
      </c>
      <c r="M141" s="11" t="str">
        <f t="shared" si="24"/>
        <v>Equals = If(Me.TowerRedundantHipDiagonalGageG1Distance1.CheckChange(otherToCompare.TowerRedundantHipDiagonalGageG1Distance1, changes, categoryName, "Tower Redundant Hip Diagonal Gage G 1 Distance 1"), Equals, False)</v>
      </c>
      <c r="N141" s="12" t="str">
        <f t="shared" si="25"/>
        <v xml:space="preserve"> 	Case tnxVar.Equals("TowerRedundantHipDiagonalGageG1Distance1")
                            Try
                                Me.geometry.baseStructure(recIndex).TowerRedundantHipDiagonalGageG1Distance1 = tnxValue
                            Catch ex As Exception
                                Debug.Print("Error parsing TNX variable: " &amp; tnxVar)
                            End Try</v>
      </c>
      <c r="O141" s="11" t="str">
        <f t="shared" si="26"/>
        <v>newERIList.Add("TowerRedundantHipDiagonalGageG1Distance1=" &amp; Me.settings.USUnits.Properties.convertToERIUnits( .TowerRedundantHipDiagonalGageG1Distance1))</v>
      </c>
      <c r="P141" s="11" t="str">
        <f t="shared" si="27"/>
        <v>SQLInsertValues = SQLInsertValues.AddtoDBString(Me.TowerRedundantHipDiagonalGageG1Distance1.NullableToString.FormatDBValue)</v>
      </c>
      <c r="Q141" s="11" t="str">
        <f t="shared" si="28"/>
        <v>SQLInsertFields = SQLInsertFields.AddtoDBString("TowerRedundantHipDiagonalGageG1Distance1")</v>
      </c>
      <c r="R141" s="11" t="str">
        <f t="shared" si="29"/>
        <v>SQLUpdateFieldsandValues = SQLUpdateFieldsandValues.AddtoDBString("TowerRedundantHipDiagonalGageG1Distance1 = " &amp; Me.TowerRedundantHipDiagonalGageG1Distance1.NullableToString.FormatDBValue)</v>
      </c>
      <c r="S141" s="10" t="s">
        <v>286</v>
      </c>
    </row>
    <row r="142" spans="1:19" ht="165" x14ac:dyDescent="0.25">
      <c r="A142" s="11" t="s">
        <v>684</v>
      </c>
      <c r="B142" s="11" t="str" cm="1">
        <f t="array" ref="B142">Addspaces(A142)</f>
        <v>Tower Redundant Hip Diagonal Net Width Deduct 1</v>
      </c>
      <c r="C142" s="15" t="s">
        <v>1225</v>
      </c>
      <c r="D142" s="13" t="str">
        <f>VLOOKUP(C142,Sheet8!A:C,2,FALSE)</f>
        <v>decimal(18, 6)</v>
      </c>
      <c r="E142" s="15"/>
      <c r="F142" s="13" t="str">
        <f>VLOOKUP(C142,Sheet8!A:C,3,FALSE)</f>
        <v>Double?</v>
      </c>
      <c r="G142" s="15"/>
      <c r="H142" s="11" t="str">
        <f t="shared" si="20"/>
        <v>ADD TowerRedundantHipDiagonalNetWidthDeduct1 decimal(18, 6),</v>
      </c>
      <c r="I142" s="11" t="str">
        <f t="shared" si="21"/>
        <v xml:space="preserve">Private _TowerRedundantHipDiagonalNetWidthDeduct1 As Double? </v>
      </c>
      <c r="J142" s="12" t="str">
        <f t="shared" si="22"/>
        <v xml:space="preserve">     		&lt;Category("TNX Tower Record"), Description(""), DisplayName("Tower Redundant Hip Diagonal Net Width Deduct 1")&gt;
    		&lt;DataMember()&gt; Public Property TowerRedundantHipDiagonalNetWidthDeduct1() As Double?
        			Get
            				Return Me._TowerRedundantHipDiagonalNetWidthDeduct1
        			End Get
        			Set
            				Me._TowerRedundantHipDiagonalNetWidthDeduct1 = Value
        			End Set
    		End Property</v>
      </c>
      <c r="K142" s="11" t="str">
        <f>"Me."&amp;A142&amp; " = " &amp; VLOOKUP(C142,Sheet8!A:D,4,FALSE)&amp;"(recRow.Item("""&amp;A142 &amp;""")" &amp; IF(C142="Number",",6","")&amp;")"</f>
        <v>Me.TowerRedundantHipDiagonalNetWidthDeduct1 = DBtoNullableDec(recRow.Item("TowerRedundantHipDiagonalNetWidthDeduct1"),6)</v>
      </c>
      <c r="L142" s="11" t="str">
        <f t="shared" si="23"/>
        <v>insertString = insertString.AddtoDBString(Me.TowerRedundantHipDiagonalNetWidthDeduct1.ToString)</v>
      </c>
      <c r="M142" s="11" t="str">
        <f t="shared" si="24"/>
        <v>Equals = If(Me.TowerRedundantHipDiagonalNetWidthDeduct1.CheckChange(otherToCompare.TowerRedundantHipDiagonalNetWidthDeduct1, changes, categoryName, "Tower Redundant Hip Diagonal Net Width Deduct 1"), Equals, False)</v>
      </c>
      <c r="N142" s="12" t="str">
        <f t="shared" si="25"/>
        <v xml:space="preserve"> 	Case tnxVar.Equals("TowerRedundantHipDiagonalNetWidthDeduct1")
                            Try
                                Me.geometry.baseStructure(recIndex).TowerRedundantHipDiagonalNetWidthDeduct1 = tnxValue
                            Catch ex As Exception
                                Debug.Print("Error parsing TNX variable: " &amp; tnxVar)
                            End Try</v>
      </c>
      <c r="O142" s="11" t="str">
        <f t="shared" si="26"/>
        <v>newERIList.Add("TowerRedundantHipDiagonalNetWidthDeduct1=" &amp; Me.settings.USUnits.Properties.convertToERIUnits( .TowerRedundantHipDiagonalNetWidthDeduct1))</v>
      </c>
      <c r="P142" s="11" t="str">
        <f t="shared" si="27"/>
        <v>SQLInsertValues = SQLInsertValues.AddtoDBString(Me.TowerRedundantHipDiagonalNetWidthDeduct1.NullableToString.FormatDBValue)</v>
      </c>
      <c r="Q142" s="11" t="str">
        <f t="shared" si="28"/>
        <v>SQLInsertFields = SQLInsertFields.AddtoDBString("TowerRedundantHipDiagonalNetWidthDeduct1")</v>
      </c>
      <c r="R142" s="11" t="str">
        <f t="shared" si="29"/>
        <v>SQLUpdateFieldsandValues = SQLUpdateFieldsandValues.AddtoDBString("TowerRedundantHipDiagonalNetWidthDeduct1 = " &amp; Me.TowerRedundantHipDiagonalNetWidthDeduct1.NullableToString.FormatDBValue)</v>
      </c>
      <c r="S142" s="10" t="s">
        <v>286</v>
      </c>
    </row>
    <row r="143" spans="1:19" ht="150" x14ac:dyDescent="0.25">
      <c r="A143" s="11" t="s">
        <v>685</v>
      </c>
      <c r="B143" s="11" t="str" cm="1">
        <f t="array" ref="B143">Addspaces(A143)</f>
        <v>Tower Redundant Hip Diagonal U Factor 1</v>
      </c>
      <c r="C143" s="15" t="s">
        <v>1225</v>
      </c>
      <c r="D143" s="13" t="str">
        <f>VLOOKUP(C143,Sheet8!A:C,2,FALSE)</f>
        <v>decimal(18, 6)</v>
      </c>
      <c r="E143" s="15"/>
      <c r="F143" s="13" t="str">
        <f>VLOOKUP(C143,Sheet8!A:C,3,FALSE)</f>
        <v>Double?</v>
      </c>
      <c r="G143" s="15"/>
      <c r="H143" s="11" t="str">
        <f t="shared" si="20"/>
        <v>ADD TowerRedundantHipDiagonalUFactor1 decimal(18, 6),</v>
      </c>
      <c r="I143" s="11" t="str">
        <f t="shared" si="21"/>
        <v xml:space="preserve">Private _TowerRedundantHipDiagonalUFactor1 As Double? </v>
      </c>
      <c r="J143" s="12" t="str">
        <f t="shared" si="22"/>
        <v xml:space="preserve">     		&lt;Category("TNX Tower Record"), Description(""), DisplayName("Tower Redundant Hip Diagonal U Factor 1")&gt;
    		&lt;DataMember()&gt; Public Property TowerRedundantHipDiagonalUFactor1() As Double?
        			Get
            				Return Me._TowerRedundantHipDiagonalUFactor1
        			End Get
        			Set
            				Me._TowerRedundantHipDiagonalUFactor1 = Value
        			End Set
    		End Property</v>
      </c>
      <c r="K143" s="11" t="str">
        <f>"Me."&amp;A143&amp; " = " &amp; VLOOKUP(C143,Sheet8!A:D,4,FALSE)&amp;"(recRow.Item("""&amp;A143 &amp;""")" &amp; IF(C143="Number",",6","")&amp;")"</f>
        <v>Me.TowerRedundantHipDiagonalUFactor1 = DBtoNullableDec(recRow.Item("TowerRedundantHipDiagonalUFactor1"),6)</v>
      </c>
      <c r="L143" s="11" t="str">
        <f t="shared" si="23"/>
        <v>insertString = insertString.AddtoDBString(Me.TowerRedundantHipDiagonalUFactor1.ToString)</v>
      </c>
      <c r="M143" s="11" t="str">
        <f t="shared" si="24"/>
        <v>Equals = If(Me.TowerRedundantHipDiagonalUFactor1.CheckChange(otherToCompare.TowerRedundantHipDiagonalUFactor1, changes, categoryName, "Tower Redundant Hip Diagonal U Factor 1"), Equals, False)</v>
      </c>
      <c r="N143" s="12" t="str">
        <f t="shared" si="25"/>
        <v xml:space="preserve"> 	Case tnxVar.Equals("TowerRedundantHipDiagonalUFactor1")
                            Try
                                Me.geometry.baseStructure(recIndex).TowerRedundantHipDiagonalUFactor1 = tnxValue
                            Catch ex As Exception
                                Debug.Print("Error parsing TNX variable: " &amp; tnxVar)
                            End Try</v>
      </c>
      <c r="O143" s="11" t="str">
        <f t="shared" si="26"/>
        <v>newERIList.Add("TowerRedundantHipDiagonalUFactor1=" &amp; Me.settings.USUnits.Properties.convertToERIUnits( .TowerRedundantHipDiagonalUFactor1))</v>
      </c>
      <c r="P143" s="11" t="str">
        <f t="shared" si="27"/>
        <v>SQLInsertValues = SQLInsertValues.AddtoDBString(Me.TowerRedundantHipDiagonalUFactor1.NullableToString.FormatDBValue)</v>
      </c>
      <c r="Q143" s="11" t="str">
        <f t="shared" si="28"/>
        <v>SQLInsertFields = SQLInsertFields.AddtoDBString("TowerRedundantHipDiagonalUFactor1")</v>
      </c>
      <c r="R143" s="11" t="str">
        <f t="shared" si="29"/>
        <v>SQLUpdateFieldsandValues = SQLUpdateFieldsandValues.AddtoDBString("TowerRedundantHipDiagonalUFactor1 = " &amp; Me.TowerRedundantHipDiagonalUFactor1.NullableToString.FormatDBValue)</v>
      </c>
      <c r="S143" s="10" t="s">
        <v>286</v>
      </c>
    </row>
    <row r="144" spans="1:19" ht="150" x14ac:dyDescent="0.25">
      <c r="A144" s="11" t="s">
        <v>686</v>
      </c>
      <c r="B144" s="11" t="str" cm="1">
        <f t="array" ref="B144">Addspaces(A144)</f>
        <v>Tower Redundant Hip Diagonal Bolt Grade 2</v>
      </c>
      <c r="C144" s="15" t="s">
        <v>1224</v>
      </c>
      <c r="D144" s="13" t="str">
        <f>VLOOKUP(C144,Sheet8!A:C,2,FALSE)</f>
        <v>varchar</v>
      </c>
      <c r="E144" s="15">
        <v>100</v>
      </c>
      <c r="F144" s="13" t="str">
        <f>VLOOKUP(C144,Sheet8!A:C,3,FALSE)</f>
        <v>String</v>
      </c>
      <c r="G144" s="15"/>
      <c r="H144" s="11" t="str">
        <f t="shared" si="20"/>
        <v>ADD TowerRedundantHipDiagonalBoltGrade2 varchar(100),</v>
      </c>
      <c r="I144" s="11" t="str">
        <f t="shared" si="21"/>
        <v xml:space="preserve">Private _TowerRedundantHipDiagonalBoltGrade2 As String </v>
      </c>
      <c r="J144" s="12" t="str">
        <f t="shared" si="22"/>
        <v xml:space="preserve">     		&lt;Category("TNX Tower Record"), Description(""), DisplayName("Tower Redundant Hip Diagonal Bolt Grade 2")&gt;
    		&lt;DataMember()&gt; Public Property TowerRedundantHipDiagonalBoltGrade2() As String
        			Get
            				Return Me._TowerRedundantHipDiagonalBoltGrade2
        			End Get
        			Set
            				Me._TowerRedundantHipDiagonalBoltGrade2 = Value
        			End Set
    		End Property</v>
      </c>
      <c r="K144" s="11" t="str">
        <f>"Me."&amp;A144&amp; " = " &amp; VLOOKUP(C144,Sheet8!A:D,4,FALSE)&amp;"(recRow.Item("""&amp;A144 &amp;""")" &amp; IF(C144="Number",",6","")&amp;")"</f>
        <v>Me.TowerRedundantHipDiagonalBoltGrade2 = DBtoStr(recRow.Item("TowerRedundantHipDiagonalBoltGrade2"))</v>
      </c>
      <c r="L144" s="11" t="str">
        <f t="shared" si="23"/>
        <v>insertString = insertString.AddtoDBString(Me.TowerRedundantHipDiagonalBoltGrade2.ToString)</v>
      </c>
      <c r="M144" s="11" t="str">
        <f t="shared" si="24"/>
        <v>Equals = If(Me.TowerRedundantHipDiagonalBoltGrade2.CheckChange(otherToCompare.TowerRedundantHipDiagonalBoltGrade2, changes, categoryName, "Tower Redundant Hip Diagonal Bolt Grade 2"), Equals, False)</v>
      </c>
      <c r="N144" s="12" t="str">
        <f t="shared" si="25"/>
        <v xml:space="preserve"> 	Case tnxVar.Equals("TowerRedundantHipDiagonalBoltGrade2")
                            Try
                                Me.geometry.baseStructure(recIndex).TowerRedundantHipDiagonalBoltGrade2 = tnxValue
                            Catch ex As Exception
                                Debug.Print("Error parsing TNX variable: " &amp; tnxVar)
                            End Try</v>
      </c>
      <c r="O144" s="11" t="str">
        <f t="shared" si="26"/>
        <v>newERIList.Add("TowerRedundantHipDiagonalBoltGrade2=" &amp;  .TowerRedundantHipDiagonalBoltGrade2)</v>
      </c>
      <c r="P144" s="11" t="str">
        <f t="shared" si="27"/>
        <v>SQLInsertValues = SQLInsertValues.AddtoDBString(Me.TowerRedundantHipDiagonalBoltGrade2.NullableToString.FormatDBValue)</v>
      </c>
      <c r="Q144" s="11" t="str">
        <f t="shared" si="28"/>
        <v>SQLInsertFields = SQLInsertFields.AddtoDBString("TowerRedundantHipDiagonalBoltGrade2")</v>
      </c>
      <c r="R144" s="11" t="str">
        <f t="shared" si="29"/>
        <v>SQLUpdateFieldsandValues = SQLUpdateFieldsandValues.AddtoDBString("TowerRedundantHipDiagonalBoltGrade2 = " &amp; Me.TowerRedundantHipDiagonalBoltGrade2.NullableToString.FormatDBValue)</v>
      </c>
      <c r="S144" s="10" t="s">
        <v>286</v>
      </c>
    </row>
    <row r="145" spans="1:19" ht="150" x14ac:dyDescent="0.25">
      <c r="A145" s="11" t="s">
        <v>687</v>
      </c>
      <c r="B145" s="11" t="str" cm="1">
        <f t="array" ref="B145">Addspaces(A145)</f>
        <v>Tower Redundant Hip Diagonal Bolt Size 2</v>
      </c>
      <c r="C145" s="15" t="s">
        <v>1225</v>
      </c>
      <c r="D145" s="13" t="str">
        <f>VLOOKUP(C145,Sheet8!A:C,2,FALSE)</f>
        <v>decimal(18, 6)</v>
      </c>
      <c r="E145" s="15"/>
      <c r="F145" s="13" t="str">
        <f>VLOOKUP(C145,Sheet8!A:C,3,FALSE)</f>
        <v>Double?</v>
      </c>
      <c r="G145" s="15"/>
      <c r="H145" s="11" t="str">
        <f t="shared" si="20"/>
        <v>ADD TowerRedundantHipDiagonalBoltSize2 decimal(18, 6),</v>
      </c>
      <c r="I145" s="11" t="str">
        <f t="shared" si="21"/>
        <v xml:space="preserve">Private _TowerRedundantHipDiagonalBoltSize2 As Double? </v>
      </c>
      <c r="J145" s="12" t="str">
        <f t="shared" si="22"/>
        <v xml:space="preserve">     		&lt;Category("TNX Tower Record"), Description(""), DisplayName("Tower Redundant Hip Diagonal Bolt Size 2")&gt;
    		&lt;DataMember()&gt; Public Property TowerRedundantHipDiagonalBoltSize2() As Double?
        			Get
            				Return Me._TowerRedundantHipDiagonalBoltSize2
        			End Get
        			Set
            				Me._TowerRedundantHipDiagonalBoltSize2 = Value
        			End Set
    		End Property</v>
      </c>
      <c r="K145" s="11" t="str">
        <f>"Me."&amp;A145&amp; " = " &amp; VLOOKUP(C145,Sheet8!A:D,4,FALSE)&amp;"(recRow.Item("""&amp;A145 &amp;""")" &amp; IF(C145="Number",",6","")&amp;")"</f>
        <v>Me.TowerRedundantHipDiagonalBoltSize2 = DBtoNullableDec(recRow.Item("TowerRedundantHipDiagonalBoltSize2"),6)</v>
      </c>
      <c r="L145" s="11" t="str">
        <f t="shared" si="23"/>
        <v>insertString = insertString.AddtoDBString(Me.TowerRedundantHipDiagonalBoltSize2.ToString)</v>
      </c>
      <c r="M145" s="11" t="str">
        <f t="shared" si="24"/>
        <v>Equals = If(Me.TowerRedundantHipDiagonalBoltSize2.CheckChange(otherToCompare.TowerRedundantHipDiagonalBoltSize2, changes, categoryName, "Tower Redundant Hip Diagonal Bolt Size 2"), Equals, False)</v>
      </c>
      <c r="N145" s="12" t="str">
        <f t="shared" si="25"/>
        <v xml:space="preserve"> 	Case tnxVar.Equals("TowerRedundantHipDiagonalBoltSize2")
                            Try
                                Me.geometry.baseStructure(recIndex).TowerRedundantHipDiagonalBoltSize2 = tnxValue
                            Catch ex As Exception
                                Debug.Print("Error parsing TNX variable: " &amp; tnxVar)
                            End Try</v>
      </c>
      <c r="O145" s="11" t="str">
        <f t="shared" si="26"/>
        <v>newERIList.Add("TowerRedundantHipDiagonalBoltSize2=" &amp; Me.settings.USUnits.Properties.convertToERIUnits( .TowerRedundantHipDiagonalBoltSize2))</v>
      </c>
      <c r="P145" s="11" t="str">
        <f t="shared" si="27"/>
        <v>SQLInsertValues = SQLInsertValues.AddtoDBString(Me.TowerRedundantHipDiagonalBoltSize2.NullableToString.FormatDBValue)</v>
      </c>
      <c r="Q145" s="11" t="str">
        <f t="shared" si="28"/>
        <v>SQLInsertFields = SQLInsertFields.AddtoDBString("TowerRedundantHipDiagonalBoltSize2")</v>
      </c>
      <c r="R145" s="11" t="str">
        <f t="shared" si="29"/>
        <v>SQLUpdateFieldsandValues = SQLUpdateFieldsandValues.AddtoDBString("TowerRedundantHipDiagonalBoltSize2 = " &amp; Me.TowerRedundantHipDiagonalBoltSize2.NullableToString.FormatDBValue)</v>
      </c>
      <c r="S145" s="10" t="s">
        <v>286</v>
      </c>
    </row>
    <row r="146" spans="1:19" ht="150" x14ac:dyDescent="0.25">
      <c r="A146" s="11" t="s">
        <v>688</v>
      </c>
      <c r="B146" s="11" t="str" cm="1">
        <f t="array" ref="B146">Addspaces(A146)</f>
        <v>Tower Redundant Hip Diagonal Num Bolts 2</v>
      </c>
      <c r="C146" s="15" t="s">
        <v>1234</v>
      </c>
      <c r="D146" s="13" t="str">
        <f>VLOOKUP(C146,Sheet8!A:C,2,FALSE)</f>
        <v>int</v>
      </c>
      <c r="E146" s="15"/>
      <c r="F146" s="13" t="str">
        <f>VLOOKUP(C146,Sheet8!A:C,3,FALSE)</f>
        <v>Integer?</v>
      </c>
      <c r="G146" s="15"/>
      <c r="H146" s="11" t="str">
        <f t="shared" si="20"/>
        <v>ADD TowerRedundantHipDiagonalNumBolts2 int,</v>
      </c>
      <c r="I146" s="11" t="str">
        <f t="shared" si="21"/>
        <v xml:space="preserve">Private _TowerRedundantHipDiagonalNumBolts2 As Integer? </v>
      </c>
      <c r="J146" s="12" t="str">
        <f t="shared" si="22"/>
        <v xml:space="preserve">     		&lt;Category("TNX Tower Record"), Description(""), DisplayName("Tower Redundant Hip Diagonal Num Bolts 2")&gt;
    		&lt;DataMember()&gt; Public Property TowerRedundantHipDiagonalNumBolts2() As Integer?
        			Get
            				Return Me._TowerRedundantHipDiagonalNumBolts2
        			End Get
        			Set
            				Me._TowerRedundantHipDiagonalNumBolts2 = Value
        			End Set
    		End Property</v>
      </c>
      <c r="K146" s="11" t="str">
        <f>"Me."&amp;A146&amp; " = " &amp; VLOOKUP(C146,Sheet8!A:D,4,FALSE)&amp;"(recRow.Item("""&amp;A146 &amp;""")" &amp; IF(C146="Number",",6","")&amp;")"</f>
        <v>Me.TowerRedundantHipDiagonalNumBolts2 = DBtoNullableInt(recRow.Item("TowerRedundantHipDiagonalNumBolts2"))</v>
      </c>
      <c r="L146" s="11" t="str">
        <f t="shared" si="23"/>
        <v>insertString = insertString.AddtoDBString(Me.TowerRedundantHipDiagonalNumBolts2.ToString)</v>
      </c>
      <c r="M146" s="11" t="str">
        <f t="shared" si="24"/>
        <v>Equals = If(Me.TowerRedundantHipDiagonalNumBolts2.CheckChange(otherToCompare.TowerRedundantHipDiagonalNumBolts2, changes, categoryName, "Tower Redundant Hip Diagonal Num Bolts 2"), Equals, False)</v>
      </c>
      <c r="N146" s="12" t="str">
        <f t="shared" si="25"/>
        <v xml:space="preserve"> 	Case tnxVar.Equals("TowerRedundantHipDiagonalNumBolts2")
                            Try
                                Me.geometry.baseStructure(recIndex).TowerRedundantHipDiagonalNumBolts2 = tnxValue
                            Catch ex As Exception
                                Debug.Print("Error parsing TNX variable: " &amp; tnxVar)
                            End Try</v>
      </c>
      <c r="O146" s="11" t="str">
        <f t="shared" si="26"/>
        <v>newERIList.Add("TowerRedundantHipDiagonalNumBolts2=" &amp;  .TowerRedundantHipDiagonalNumBolts2)</v>
      </c>
      <c r="P146" s="11" t="str">
        <f t="shared" si="27"/>
        <v>SQLInsertValues = SQLInsertValues.AddtoDBString(Me.TowerRedundantHipDiagonalNumBolts2.NullableToString.FormatDBValue)</v>
      </c>
      <c r="Q146" s="11" t="str">
        <f t="shared" si="28"/>
        <v>SQLInsertFields = SQLInsertFields.AddtoDBString("TowerRedundantHipDiagonalNumBolts2")</v>
      </c>
      <c r="R146" s="11" t="str">
        <f t="shared" si="29"/>
        <v>SQLUpdateFieldsandValues = SQLUpdateFieldsandValues.AddtoDBString("TowerRedundantHipDiagonalNumBolts2 = " &amp; Me.TowerRedundantHipDiagonalNumBolts2.NullableToString.FormatDBValue)</v>
      </c>
      <c r="S146" s="10" t="s">
        <v>286</v>
      </c>
    </row>
    <row r="147" spans="1:19" ht="165" x14ac:dyDescent="0.25">
      <c r="A147" s="11" t="s">
        <v>689</v>
      </c>
      <c r="B147" s="11" t="str" cm="1">
        <f t="array" ref="B147">Addspaces(A147)</f>
        <v>Tower Redundant Hip Diagonal Bolt Edge Distance 2</v>
      </c>
      <c r="C147" s="15" t="s">
        <v>1225</v>
      </c>
      <c r="D147" s="13" t="str">
        <f>VLOOKUP(C147,Sheet8!A:C,2,FALSE)</f>
        <v>decimal(18, 6)</v>
      </c>
      <c r="E147" s="15"/>
      <c r="F147" s="13" t="str">
        <f>VLOOKUP(C147,Sheet8!A:C,3,FALSE)</f>
        <v>Double?</v>
      </c>
      <c r="G147" s="15"/>
      <c r="H147" s="11" t="str">
        <f t="shared" si="20"/>
        <v>ADD TowerRedundantHipDiagonalBoltEdgeDistance2 decimal(18, 6),</v>
      </c>
      <c r="I147" s="11" t="str">
        <f t="shared" si="21"/>
        <v xml:space="preserve">Private _TowerRedundantHipDiagonalBoltEdgeDistance2 As Double? </v>
      </c>
      <c r="J147" s="12" t="str">
        <f t="shared" si="22"/>
        <v xml:space="preserve">     		&lt;Category("TNX Tower Record"), Description(""), DisplayName("Tower Redundant Hip Diagonal Bolt Edge Distance 2")&gt;
    		&lt;DataMember()&gt; Public Property TowerRedundantHipDiagonalBoltEdgeDistance2() As Double?
        			Get
            				Return Me._TowerRedundantHipDiagonalBoltEdgeDistance2
        			End Get
        			Set
            				Me._TowerRedundantHipDiagonalBoltEdgeDistance2 = Value
        			End Set
    		End Property</v>
      </c>
      <c r="K147" s="11" t="str">
        <f>"Me."&amp;A147&amp; " = " &amp; VLOOKUP(C147,Sheet8!A:D,4,FALSE)&amp;"(recRow.Item("""&amp;A147 &amp;""")" &amp; IF(C147="Number",",6","")&amp;")"</f>
        <v>Me.TowerRedundantHipDiagonalBoltEdgeDistance2 = DBtoNullableDec(recRow.Item("TowerRedundantHipDiagonalBoltEdgeDistance2"),6)</v>
      </c>
      <c r="L147" s="11" t="str">
        <f t="shared" si="23"/>
        <v>insertString = insertString.AddtoDBString(Me.TowerRedundantHipDiagonalBoltEdgeDistance2.ToString)</v>
      </c>
      <c r="M147" s="11" t="str">
        <f t="shared" si="24"/>
        <v>Equals = If(Me.TowerRedundantHipDiagonalBoltEdgeDistance2.CheckChange(otherToCompare.TowerRedundantHipDiagonalBoltEdgeDistance2, changes, categoryName, "Tower Redundant Hip Diagonal Bolt Edge Distance 2"), Equals, False)</v>
      </c>
      <c r="N147" s="12" t="str">
        <f t="shared" si="25"/>
        <v xml:space="preserve"> 	Case tnxVar.Equals("TowerRedundantHipDiagonalBoltEdgeDistance2")
                            Try
                                Me.geometry.baseStructure(recIndex).TowerRedundantHipDiagonalBoltEdgeDistance2 = tnxValue
                            Catch ex As Exception
                                Debug.Print("Error parsing TNX variable: " &amp; tnxVar)
                            End Try</v>
      </c>
      <c r="O147" s="11" t="str">
        <f t="shared" si="26"/>
        <v>newERIList.Add("TowerRedundantHipDiagonalBoltEdgeDistance2=" &amp; Me.settings.USUnits.Properties.convertToERIUnits( .TowerRedundantHipDiagonalBoltEdgeDistance2))</v>
      </c>
      <c r="P147" s="11" t="str">
        <f t="shared" si="27"/>
        <v>SQLInsertValues = SQLInsertValues.AddtoDBString(Me.TowerRedundantHipDiagonalBoltEdgeDistance2.NullableToString.FormatDBValue)</v>
      </c>
      <c r="Q147" s="11" t="str">
        <f t="shared" si="28"/>
        <v>SQLInsertFields = SQLInsertFields.AddtoDBString("TowerRedundantHipDiagonalBoltEdgeDistance2")</v>
      </c>
      <c r="R147" s="11" t="str">
        <f t="shared" si="29"/>
        <v>SQLUpdateFieldsandValues = SQLUpdateFieldsandValues.AddtoDBString("TowerRedundantHipDiagonalBoltEdgeDistance2 = " &amp; Me.TowerRedundantHipDiagonalBoltEdgeDistance2.NullableToString.FormatDBValue)</v>
      </c>
      <c r="S147" s="10" t="s">
        <v>286</v>
      </c>
    </row>
    <row r="148" spans="1:19" ht="165" x14ac:dyDescent="0.25">
      <c r="A148" s="11" t="s">
        <v>690</v>
      </c>
      <c r="B148" s="11" t="str" cm="1">
        <f t="array" ref="B148">Addspaces(A148)</f>
        <v>Tower Redundant Hip Diagonal Gage G 1 Distance 2</v>
      </c>
      <c r="C148" s="15" t="s">
        <v>1225</v>
      </c>
      <c r="D148" s="13" t="str">
        <f>VLOOKUP(C148,Sheet8!A:C,2,FALSE)</f>
        <v>decimal(18, 6)</v>
      </c>
      <c r="E148" s="15"/>
      <c r="F148" s="13" t="str">
        <f>VLOOKUP(C148,Sheet8!A:C,3,FALSE)</f>
        <v>Double?</v>
      </c>
      <c r="G148" s="15"/>
      <c r="H148" s="11" t="str">
        <f t="shared" si="20"/>
        <v>ADD TowerRedundantHipDiagonalGageG1Distance2 decimal(18, 6),</v>
      </c>
      <c r="I148" s="11" t="str">
        <f t="shared" si="21"/>
        <v xml:space="preserve">Private _TowerRedundantHipDiagonalGageG1Distance2 As Double? </v>
      </c>
      <c r="J148" s="12" t="str">
        <f t="shared" si="22"/>
        <v xml:space="preserve">     		&lt;Category("TNX Tower Record"), Description(""), DisplayName("Tower Redundant Hip Diagonal Gage G 1 Distance 2")&gt;
    		&lt;DataMember()&gt; Public Property TowerRedundantHipDiagonalGageG1Distance2() As Double?
        			Get
            				Return Me._TowerRedundantHipDiagonalGageG1Distance2
        			End Get
        			Set
            				Me._TowerRedundantHipDiagonalGageG1Distance2 = Value
        			End Set
    		End Property</v>
      </c>
      <c r="K148" s="11" t="str">
        <f>"Me."&amp;A148&amp; " = " &amp; VLOOKUP(C148,Sheet8!A:D,4,FALSE)&amp;"(recRow.Item("""&amp;A148 &amp;""")" &amp; IF(C148="Number",",6","")&amp;")"</f>
        <v>Me.TowerRedundantHipDiagonalGageG1Distance2 = DBtoNullableDec(recRow.Item("TowerRedundantHipDiagonalGageG1Distance2"),6)</v>
      </c>
      <c r="L148" s="11" t="str">
        <f t="shared" si="23"/>
        <v>insertString = insertString.AddtoDBString(Me.TowerRedundantHipDiagonalGageG1Distance2.ToString)</v>
      </c>
      <c r="M148" s="11" t="str">
        <f t="shared" si="24"/>
        <v>Equals = If(Me.TowerRedundantHipDiagonalGageG1Distance2.CheckChange(otherToCompare.TowerRedundantHipDiagonalGageG1Distance2, changes, categoryName, "Tower Redundant Hip Diagonal Gage G 1 Distance 2"), Equals, False)</v>
      </c>
      <c r="N148" s="12" t="str">
        <f t="shared" si="25"/>
        <v xml:space="preserve"> 	Case tnxVar.Equals("TowerRedundantHipDiagonalGageG1Distance2")
                            Try
                                Me.geometry.baseStructure(recIndex).TowerRedundantHipDiagonalGageG1Distance2 = tnxValue
                            Catch ex As Exception
                                Debug.Print("Error parsing TNX variable: " &amp; tnxVar)
                            End Try</v>
      </c>
      <c r="O148" s="11" t="str">
        <f t="shared" si="26"/>
        <v>newERIList.Add("TowerRedundantHipDiagonalGageG1Distance2=" &amp; Me.settings.USUnits.Properties.convertToERIUnits( .TowerRedundantHipDiagonalGageG1Distance2))</v>
      </c>
      <c r="P148" s="11" t="str">
        <f t="shared" si="27"/>
        <v>SQLInsertValues = SQLInsertValues.AddtoDBString(Me.TowerRedundantHipDiagonalGageG1Distance2.NullableToString.FormatDBValue)</v>
      </c>
      <c r="Q148" s="11" t="str">
        <f t="shared" si="28"/>
        <v>SQLInsertFields = SQLInsertFields.AddtoDBString("TowerRedundantHipDiagonalGageG1Distance2")</v>
      </c>
      <c r="R148" s="11" t="str">
        <f t="shared" si="29"/>
        <v>SQLUpdateFieldsandValues = SQLUpdateFieldsandValues.AddtoDBString("TowerRedundantHipDiagonalGageG1Distance2 = " &amp; Me.TowerRedundantHipDiagonalGageG1Distance2.NullableToString.FormatDBValue)</v>
      </c>
      <c r="S148" s="10" t="s">
        <v>286</v>
      </c>
    </row>
    <row r="149" spans="1:19" ht="165" x14ac:dyDescent="0.25">
      <c r="A149" s="11" t="s">
        <v>691</v>
      </c>
      <c r="B149" s="11" t="str" cm="1">
        <f t="array" ref="B149">Addspaces(A149)</f>
        <v>Tower Redundant Hip Diagonal Net Width Deduct 2</v>
      </c>
      <c r="C149" s="15" t="s">
        <v>1225</v>
      </c>
      <c r="D149" s="13" t="str">
        <f>VLOOKUP(C149,Sheet8!A:C,2,FALSE)</f>
        <v>decimal(18, 6)</v>
      </c>
      <c r="E149" s="15"/>
      <c r="F149" s="13" t="str">
        <f>VLOOKUP(C149,Sheet8!A:C,3,FALSE)</f>
        <v>Double?</v>
      </c>
      <c r="G149" s="15"/>
      <c r="H149" s="11" t="str">
        <f t="shared" si="20"/>
        <v>ADD TowerRedundantHipDiagonalNetWidthDeduct2 decimal(18, 6),</v>
      </c>
      <c r="I149" s="11" t="str">
        <f t="shared" si="21"/>
        <v xml:space="preserve">Private _TowerRedundantHipDiagonalNetWidthDeduct2 As Double? </v>
      </c>
      <c r="J149" s="12" t="str">
        <f t="shared" si="22"/>
        <v xml:space="preserve">     		&lt;Category("TNX Tower Record"), Description(""), DisplayName("Tower Redundant Hip Diagonal Net Width Deduct 2")&gt;
    		&lt;DataMember()&gt; Public Property TowerRedundantHipDiagonalNetWidthDeduct2() As Double?
        			Get
            				Return Me._TowerRedundantHipDiagonalNetWidthDeduct2
        			End Get
        			Set
            				Me._TowerRedundantHipDiagonalNetWidthDeduct2 = Value
        			End Set
    		End Property</v>
      </c>
      <c r="K149" s="11" t="str">
        <f>"Me."&amp;A149&amp; " = " &amp; VLOOKUP(C149,Sheet8!A:D,4,FALSE)&amp;"(recRow.Item("""&amp;A149 &amp;""")" &amp; IF(C149="Number",",6","")&amp;")"</f>
        <v>Me.TowerRedundantHipDiagonalNetWidthDeduct2 = DBtoNullableDec(recRow.Item("TowerRedundantHipDiagonalNetWidthDeduct2"),6)</v>
      </c>
      <c r="L149" s="11" t="str">
        <f t="shared" si="23"/>
        <v>insertString = insertString.AddtoDBString(Me.TowerRedundantHipDiagonalNetWidthDeduct2.ToString)</v>
      </c>
      <c r="M149" s="11" t="str">
        <f t="shared" si="24"/>
        <v>Equals = If(Me.TowerRedundantHipDiagonalNetWidthDeduct2.CheckChange(otherToCompare.TowerRedundantHipDiagonalNetWidthDeduct2, changes, categoryName, "Tower Redundant Hip Diagonal Net Width Deduct 2"), Equals, False)</v>
      </c>
      <c r="N149" s="12" t="str">
        <f t="shared" si="25"/>
        <v xml:space="preserve"> 	Case tnxVar.Equals("TowerRedundantHipDiagonalNetWidthDeduct2")
                            Try
                                Me.geometry.baseStructure(recIndex).TowerRedundantHipDiagonalNetWidthDeduct2 = tnxValue
                            Catch ex As Exception
                                Debug.Print("Error parsing TNX variable: " &amp; tnxVar)
                            End Try</v>
      </c>
      <c r="O149" s="11" t="str">
        <f t="shared" si="26"/>
        <v>newERIList.Add("TowerRedundantHipDiagonalNetWidthDeduct2=" &amp; Me.settings.USUnits.Properties.convertToERIUnits( .TowerRedundantHipDiagonalNetWidthDeduct2))</v>
      </c>
      <c r="P149" s="11" t="str">
        <f t="shared" si="27"/>
        <v>SQLInsertValues = SQLInsertValues.AddtoDBString(Me.TowerRedundantHipDiagonalNetWidthDeduct2.NullableToString.FormatDBValue)</v>
      </c>
      <c r="Q149" s="11" t="str">
        <f t="shared" si="28"/>
        <v>SQLInsertFields = SQLInsertFields.AddtoDBString("TowerRedundantHipDiagonalNetWidthDeduct2")</v>
      </c>
      <c r="R149" s="11" t="str">
        <f t="shared" si="29"/>
        <v>SQLUpdateFieldsandValues = SQLUpdateFieldsandValues.AddtoDBString("TowerRedundantHipDiagonalNetWidthDeduct2 = " &amp; Me.TowerRedundantHipDiagonalNetWidthDeduct2.NullableToString.FormatDBValue)</v>
      </c>
      <c r="S149" s="10" t="s">
        <v>286</v>
      </c>
    </row>
    <row r="150" spans="1:19" ht="150" x14ac:dyDescent="0.25">
      <c r="A150" s="11" t="s">
        <v>692</v>
      </c>
      <c r="B150" s="11" t="str" cm="1">
        <f t="array" ref="B150">Addspaces(A150)</f>
        <v>Tower Redundant Hip Diagonal U Factor 2</v>
      </c>
      <c r="C150" s="15" t="s">
        <v>1225</v>
      </c>
      <c r="D150" s="13" t="str">
        <f>VLOOKUP(C150,Sheet8!A:C,2,FALSE)</f>
        <v>decimal(18, 6)</v>
      </c>
      <c r="E150" s="15"/>
      <c r="F150" s="13" t="str">
        <f>VLOOKUP(C150,Sheet8!A:C,3,FALSE)</f>
        <v>Double?</v>
      </c>
      <c r="G150" s="15"/>
      <c r="H150" s="11" t="str">
        <f t="shared" si="20"/>
        <v>ADD TowerRedundantHipDiagonalUFactor2 decimal(18, 6),</v>
      </c>
      <c r="I150" s="11" t="str">
        <f t="shared" si="21"/>
        <v xml:space="preserve">Private _TowerRedundantHipDiagonalUFactor2 As Double? </v>
      </c>
      <c r="J150" s="12" t="str">
        <f t="shared" si="22"/>
        <v xml:space="preserve">     		&lt;Category("TNX Tower Record"), Description(""), DisplayName("Tower Redundant Hip Diagonal U Factor 2")&gt;
    		&lt;DataMember()&gt; Public Property TowerRedundantHipDiagonalUFactor2() As Double?
        			Get
            				Return Me._TowerRedundantHipDiagonalUFactor2
        			End Get
        			Set
            				Me._TowerRedundantHipDiagonalUFactor2 = Value
        			End Set
    		End Property</v>
      </c>
      <c r="K150" s="11" t="str">
        <f>"Me."&amp;A150&amp; " = " &amp; VLOOKUP(C150,Sheet8!A:D,4,FALSE)&amp;"(recRow.Item("""&amp;A150 &amp;""")" &amp; IF(C150="Number",",6","")&amp;")"</f>
        <v>Me.TowerRedundantHipDiagonalUFactor2 = DBtoNullableDec(recRow.Item("TowerRedundantHipDiagonalUFactor2"),6)</v>
      </c>
      <c r="L150" s="11" t="str">
        <f t="shared" si="23"/>
        <v>insertString = insertString.AddtoDBString(Me.TowerRedundantHipDiagonalUFactor2.ToString)</v>
      </c>
      <c r="M150" s="11" t="str">
        <f t="shared" si="24"/>
        <v>Equals = If(Me.TowerRedundantHipDiagonalUFactor2.CheckChange(otherToCompare.TowerRedundantHipDiagonalUFactor2, changes, categoryName, "Tower Redundant Hip Diagonal U Factor 2"), Equals, False)</v>
      </c>
      <c r="N150" s="12" t="str">
        <f t="shared" si="25"/>
        <v xml:space="preserve"> 	Case tnxVar.Equals("TowerRedundantHipDiagonalUFactor2")
                            Try
                                Me.geometry.baseStructure(recIndex).TowerRedundantHipDiagonalUFactor2 = tnxValue
                            Catch ex As Exception
                                Debug.Print("Error parsing TNX variable: " &amp; tnxVar)
                            End Try</v>
      </c>
      <c r="O150" s="11" t="str">
        <f t="shared" si="26"/>
        <v>newERIList.Add("TowerRedundantHipDiagonalUFactor2=" &amp; Me.settings.USUnits.Properties.convertToERIUnits( .TowerRedundantHipDiagonalUFactor2))</v>
      </c>
      <c r="P150" s="11" t="str">
        <f t="shared" si="27"/>
        <v>SQLInsertValues = SQLInsertValues.AddtoDBString(Me.TowerRedundantHipDiagonalUFactor2.NullableToString.FormatDBValue)</v>
      </c>
      <c r="Q150" s="11" t="str">
        <f t="shared" si="28"/>
        <v>SQLInsertFields = SQLInsertFields.AddtoDBString("TowerRedundantHipDiagonalUFactor2")</v>
      </c>
      <c r="R150" s="11" t="str">
        <f t="shared" si="29"/>
        <v>SQLUpdateFieldsandValues = SQLUpdateFieldsandValues.AddtoDBString("TowerRedundantHipDiagonalUFactor2 = " &amp; Me.TowerRedundantHipDiagonalUFactor2.NullableToString.FormatDBValue)</v>
      </c>
      <c r="S150" s="10" t="s">
        <v>286</v>
      </c>
    </row>
    <row r="151" spans="1:19" ht="150" x14ac:dyDescent="0.25">
      <c r="A151" s="11" t="s">
        <v>693</v>
      </c>
      <c r="B151" s="11" t="str" cm="1">
        <f t="array" ref="B151">Addspaces(A151)</f>
        <v>Tower Redundant Hip Diagonal Bolt Grade 3</v>
      </c>
      <c r="C151" s="15" t="s">
        <v>1224</v>
      </c>
      <c r="D151" s="13" t="str">
        <f>VLOOKUP(C151,Sheet8!A:C,2,FALSE)</f>
        <v>varchar</v>
      </c>
      <c r="E151" s="15">
        <v>100</v>
      </c>
      <c r="F151" s="13" t="str">
        <f>VLOOKUP(C151,Sheet8!A:C,3,FALSE)</f>
        <v>String</v>
      </c>
      <c r="G151" s="15"/>
      <c r="H151" s="11" t="str">
        <f t="shared" si="20"/>
        <v>ADD TowerRedundantHipDiagonalBoltGrade3 varchar(100),</v>
      </c>
      <c r="I151" s="11" t="str">
        <f t="shared" si="21"/>
        <v xml:space="preserve">Private _TowerRedundantHipDiagonalBoltGrade3 As String </v>
      </c>
      <c r="J151" s="12" t="str">
        <f t="shared" si="22"/>
        <v xml:space="preserve">     		&lt;Category("TNX Tower Record"), Description(""), DisplayName("Tower Redundant Hip Diagonal Bolt Grade 3")&gt;
    		&lt;DataMember()&gt; Public Property TowerRedundantHipDiagonalBoltGrade3() As String
        			Get
            				Return Me._TowerRedundantHipDiagonalBoltGrade3
        			End Get
        			Set
            				Me._TowerRedundantHipDiagonalBoltGrade3 = Value
        			End Set
    		End Property</v>
      </c>
      <c r="K151" s="11" t="str">
        <f>"Me."&amp;A151&amp; " = " &amp; VLOOKUP(C151,Sheet8!A:D,4,FALSE)&amp;"(recRow.Item("""&amp;A151 &amp;""")" &amp; IF(C151="Number",",6","")&amp;")"</f>
        <v>Me.TowerRedundantHipDiagonalBoltGrade3 = DBtoStr(recRow.Item("TowerRedundantHipDiagonalBoltGrade3"))</v>
      </c>
      <c r="L151" s="11" t="str">
        <f t="shared" si="23"/>
        <v>insertString = insertString.AddtoDBString(Me.TowerRedundantHipDiagonalBoltGrade3.ToString)</v>
      </c>
      <c r="M151" s="11" t="str">
        <f t="shared" si="24"/>
        <v>Equals = If(Me.TowerRedundantHipDiagonalBoltGrade3.CheckChange(otherToCompare.TowerRedundantHipDiagonalBoltGrade3, changes, categoryName, "Tower Redundant Hip Diagonal Bolt Grade 3"), Equals, False)</v>
      </c>
      <c r="N151" s="12" t="str">
        <f t="shared" si="25"/>
        <v xml:space="preserve"> 	Case tnxVar.Equals("TowerRedundantHipDiagonalBoltGrade3")
                            Try
                                Me.geometry.baseStructure(recIndex).TowerRedundantHipDiagonalBoltGrade3 = tnxValue
                            Catch ex As Exception
                                Debug.Print("Error parsing TNX variable: " &amp; tnxVar)
                            End Try</v>
      </c>
      <c r="O151" s="11" t="str">
        <f t="shared" si="26"/>
        <v>newERIList.Add("TowerRedundantHipDiagonalBoltGrade3=" &amp;  .TowerRedundantHipDiagonalBoltGrade3)</v>
      </c>
      <c r="P151" s="11" t="str">
        <f t="shared" si="27"/>
        <v>SQLInsertValues = SQLInsertValues.AddtoDBString(Me.TowerRedundantHipDiagonalBoltGrade3.NullableToString.FormatDBValue)</v>
      </c>
      <c r="Q151" s="11" t="str">
        <f t="shared" si="28"/>
        <v>SQLInsertFields = SQLInsertFields.AddtoDBString("TowerRedundantHipDiagonalBoltGrade3")</v>
      </c>
      <c r="R151" s="11" t="str">
        <f t="shared" si="29"/>
        <v>SQLUpdateFieldsandValues = SQLUpdateFieldsandValues.AddtoDBString("TowerRedundantHipDiagonalBoltGrade3 = " &amp; Me.TowerRedundantHipDiagonalBoltGrade3.NullableToString.FormatDBValue)</v>
      </c>
      <c r="S151" s="10" t="s">
        <v>286</v>
      </c>
    </row>
    <row r="152" spans="1:19" ht="150" x14ac:dyDescent="0.25">
      <c r="A152" s="11" t="s">
        <v>694</v>
      </c>
      <c r="B152" s="11" t="str" cm="1">
        <f t="array" ref="B152">Addspaces(A152)</f>
        <v>Tower Redundant Hip Diagonal Bolt Size 3</v>
      </c>
      <c r="C152" s="15" t="s">
        <v>1225</v>
      </c>
      <c r="D152" s="13" t="str">
        <f>VLOOKUP(C152,Sheet8!A:C,2,FALSE)</f>
        <v>decimal(18, 6)</v>
      </c>
      <c r="E152" s="15"/>
      <c r="F152" s="13" t="str">
        <f>VLOOKUP(C152,Sheet8!A:C,3,FALSE)</f>
        <v>Double?</v>
      </c>
      <c r="G152" s="15"/>
      <c r="H152" s="11" t="str">
        <f t="shared" si="20"/>
        <v>ADD TowerRedundantHipDiagonalBoltSize3 decimal(18, 6),</v>
      </c>
      <c r="I152" s="11" t="str">
        <f t="shared" si="21"/>
        <v xml:space="preserve">Private _TowerRedundantHipDiagonalBoltSize3 As Double? </v>
      </c>
      <c r="J152" s="12" t="str">
        <f t="shared" si="22"/>
        <v xml:space="preserve">     		&lt;Category("TNX Tower Record"), Description(""), DisplayName("Tower Redundant Hip Diagonal Bolt Size 3")&gt;
    		&lt;DataMember()&gt; Public Property TowerRedundantHipDiagonalBoltSize3() As Double?
        			Get
            				Return Me._TowerRedundantHipDiagonalBoltSize3
        			End Get
        			Set
            				Me._TowerRedundantHipDiagonalBoltSize3 = Value
        			End Set
    		End Property</v>
      </c>
      <c r="K152" s="11" t="str">
        <f>"Me."&amp;A152&amp; " = " &amp; VLOOKUP(C152,Sheet8!A:D,4,FALSE)&amp;"(recRow.Item("""&amp;A152 &amp;""")" &amp; IF(C152="Number",",6","")&amp;")"</f>
        <v>Me.TowerRedundantHipDiagonalBoltSize3 = DBtoNullableDec(recRow.Item("TowerRedundantHipDiagonalBoltSize3"),6)</v>
      </c>
      <c r="L152" s="11" t="str">
        <f t="shared" si="23"/>
        <v>insertString = insertString.AddtoDBString(Me.TowerRedundantHipDiagonalBoltSize3.ToString)</v>
      </c>
      <c r="M152" s="11" t="str">
        <f t="shared" si="24"/>
        <v>Equals = If(Me.TowerRedundantHipDiagonalBoltSize3.CheckChange(otherToCompare.TowerRedundantHipDiagonalBoltSize3, changes, categoryName, "Tower Redundant Hip Diagonal Bolt Size 3"), Equals, False)</v>
      </c>
      <c r="N152" s="12" t="str">
        <f t="shared" si="25"/>
        <v xml:space="preserve"> 	Case tnxVar.Equals("TowerRedundantHipDiagonalBoltSize3")
                            Try
                                Me.geometry.baseStructure(recIndex).TowerRedundantHipDiagonalBoltSize3 = tnxValue
                            Catch ex As Exception
                                Debug.Print("Error parsing TNX variable: " &amp; tnxVar)
                            End Try</v>
      </c>
      <c r="O152" s="11" t="str">
        <f t="shared" si="26"/>
        <v>newERIList.Add("TowerRedundantHipDiagonalBoltSize3=" &amp; Me.settings.USUnits.Properties.convertToERIUnits( .TowerRedundantHipDiagonalBoltSize3))</v>
      </c>
      <c r="P152" s="11" t="str">
        <f t="shared" si="27"/>
        <v>SQLInsertValues = SQLInsertValues.AddtoDBString(Me.TowerRedundantHipDiagonalBoltSize3.NullableToString.FormatDBValue)</v>
      </c>
      <c r="Q152" s="11" t="str">
        <f t="shared" si="28"/>
        <v>SQLInsertFields = SQLInsertFields.AddtoDBString("TowerRedundantHipDiagonalBoltSize3")</v>
      </c>
      <c r="R152" s="11" t="str">
        <f t="shared" si="29"/>
        <v>SQLUpdateFieldsandValues = SQLUpdateFieldsandValues.AddtoDBString("TowerRedundantHipDiagonalBoltSize3 = " &amp; Me.TowerRedundantHipDiagonalBoltSize3.NullableToString.FormatDBValue)</v>
      </c>
      <c r="S152" s="10" t="s">
        <v>286</v>
      </c>
    </row>
    <row r="153" spans="1:19" ht="150" x14ac:dyDescent="0.25">
      <c r="A153" s="11" t="s">
        <v>695</v>
      </c>
      <c r="B153" s="11" t="str" cm="1">
        <f t="array" ref="B153">Addspaces(A153)</f>
        <v>Tower Redundant Hip Diagonal Num Bolts 3</v>
      </c>
      <c r="C153" s="15" t="s">
        <v>1234</v>
      </c>
      <c r="D153" s="13" t="str">
        <f>VLOOKUP(C153,Sheet8!A:C,2,FALSE)</f>
        <v>int</v>
      </c>
      <c r="E153" s="15"/>
      <c r="F153" s="13" t="str">
        <f>VLOOKUP(C153,Sheet8!A:C,3,FALSE)</f>
        <v>Integer?</v>
      </c>
      <c r="G153" s="15"/>
      <c r="H153" s="11" t="str">
        <f t="shared" si="20"/>
        <v>ADD TowerRedundantHipDiagonalNumBolts3 int,</v>
      </c>
      <c r="I153" s="11" t="str">
        <f t="shared" si="21"/>
        <v xml:space="preserve">Private _TowerRedundantHipDiagonalNumBolts3 As Integer? </v>
      </c>
      <c r="J153" s="12" t="str">
        <f t="shared" si="22"/>
        <v xml:space="preserve">     		&lt;Category("TNX Tower Record"), Description(""), DisplayName("Tower Redundant Hip Diagonal Num Bolts 3")&gt;
    		&lt;DataMember()&gt; Public Property TowerRedundantHipDiagonalNumBolts3() As Integer?
        			Get
            				Return Me._TowerRedundantHipDiagonalNumBolts3
        			End Get
        			Set
            				Me._TowerRedundantHipDiagonalNumBolts3 = Value
        			End Set
    		End Property</v>
      </c>
      <c r="K153" s="11" t="str">
        <f>"Me."&amp;A153&amp; " = " &amp; VLOOKUP(C153,Sheet8!A:D,4,FALSE)&amp;"(recRow.Item("""&amp;A153 &amp;""")" &amp; IF(C153="Number",",6","")&amp;")"</f>
        <v>Me.TowerRedundantHipDiagonalNumBolts3 = DBtoNullableInt(recRow.Item("TowerRedundantHipDiagonalNumBolts3"))</v>
      </c>
      <c r="L153" s="11" t="str">
        <f t="shared" si="23"/>
        <v>insertString = insertString.AddtoDBString(Me.TowerRedundantHipDiagonalNumBolts3.ToString)</v>
      </c>
      <c r="M153" s="11" t="str">
        <f t="shared" si="24"/>
        <v>Equals = If(Me.TowerRedundantHipDiagonalNumBolts3.CheckChange(otherToCompare.TowerRedundantHipDiagonalNumBolts3, changes, categoryName, "Tower Redundant Hip Diagonal Num Bolts 3"), Equals, False)</v>
      </c>
      <c r="N153" s="12" t="str">
        <f t="shared" si="25"/>
        <v xml:space="preserve"> 	Case tnxVar.Equals("TowerRedundantHipDiagonalNumBolts3")
                            Try
                                Me.geometry.baseStructure(recIndex).TowerRedundantHipDiagonalNumBolts3 = tnxValue
                            Catch ex As Exception
                                Debug.Print("Error parsing TNX variable: " &amp; tnxVar)
                            End Try</v>
      </c>
      <c r="O153" s="11" t="str">
        <f t="shared" si="26"/>
        <v>newERIList.Add("TowerRedundantHipDiagonalNumBolts3=" &amp;  .TowerRedundantHipDiagonalNumBolts3)</v>
      </c>
      <c r="P153" s="11" t="str">
        <f t="shared" si="27"/>
        <v>SQLInsertValues = SQLInsertValues.AddtoDBString(Me.TowerRedundantHipDiagonalNumBolts3.NullableToString.FormatDBValue)</v>
      </c>
      <c r="Q153" s="11" t="str">
        <f t="shared" si="28"/>
        <v>SQLInsertFields = SQLInsertFields.AddtoDBString("TowerRedundantHipDiagonalNumBolts3")</v>
      </c>
      <c r="R153" s="11" t="str">
        <f t="shared" si="29"/>
        <v>SQLUpdateFieldsandValues = SQLUpdateFieldsandValues.AddtoDBString("TowerRedundantHipDiagonalNumBolts3 = " &amp; Me.TowerRedundantHipDiagonalNumBolts3.NullableToString.FormatDBValue)</v>
      </c>
      <c r="S153" s="10" t="s">
        <v>286</v>
      </c>
    </row>
    <row r="154" spans="1:19" ht="165" x14ac:dyDescent="0.25">
      <c r="A154" s="11" t="s">
        <v>696</v>
      </c>
      <c r="B154" s="11" t="str" cm="1">
        <f t="array" ref="B154">Addspaces(A154)</f>
        <v>Tower Redundant Hip Diagonal Bolt Edge Distance 3</v>
      </c>
      <c r="C154" s="15" t="s">
        <v>1225</v>
      </c>
      <c r="D154" s="13" t="str">
        <f>VLOOKUP(C154,Sheet8!A:C,2,FALSE)</f>
        <v>decimal(18, 6)</v>
      </c>
      <c r="E154" s="15"/>
      <c r="F154" s="13" t="str">
        <f>VLOOKUP(C154,Sheet8!A:C,3,FALSE)</f>
        <v>Double?</v>
      </c>
      <c r="G154" s="15"/>
      <c r="H154" s="11" t="str">
        <f t="shared" si="20"/>
        <v>ADD TowerRedundantHipDiagonalBoltEdgeDistance3 decimal(18, 6),</v>
      </c>
      <c r="I154" s="11" t="str">
        <f t="shared" si="21"/>
        <v xml:space="preserve">Private _TowerRedundantHipDiagonalBoltEdgeDistance3 As Double? </v>
      </c>
      <c r="J154" s="12" t="str">
        <f t="shared" si="22"/>
        <v xml:space="preserve">     		&lt;Category("TNX Tower Record"), Description(""), DisplayName("Tower Redundant Hip Diagonal Bolt Edge Distance 3")&gt;
    		&lt;DataMember()&gt; Public Property TowerRedundantHipDiagonalBoltEdgeDistance3() As Double?
        			Get
            				Return Me._TowerRedundantHipDiagonalBoltEdgeDistance3
        			End Get
        			Set
            				Me._TowerRedundantHipDiagonalBoltEdgeDistance3 = Value
        			End Set
    		End Property</v>
      </c>
      <c r="K154" s="11" t="str">
        <f>"Me."&amp;A154&amp; " = " &amp; VLOOKUP(C154,Sheet8!A:D,4,FALSE)&amp;"(recRow.Item("""&amp;A154 &amp;""")" &amp; IF(C154="Number",",6","")&amp;")"</f>
        <v>Me.TowerRedundantHipDiagonalBoltEdgeDistance3 = DBtoNullableDec(recRow.Item("TowerRedundantHipDiagonalBoltEdgeDistance3"),6)</v>
      </c>
      <c r="L154" s="11" t="str">
        <f t="shared" si="23"/>
        <v>insertString = insertString.AddtoDBString(Me.TowerRedundantHipDiagonalBoltEdgeDistance3.ToString)</v>
      </c>
      <c r="M154" s="11" t="str">
        <f t="shared" si="24"/>
        <v>Equals = If(Me.TowerRedundantHipDiagonalBoltEdgeDistance3.CheckChange(otherToCompare.TowerRedundantHipDiagonalBoltEdgeDistance3, changes, categoryName, "Tower Redundant Hip Diagonal Bolt Edge Distance 3"), Equals, False)</v>
      </c>
      <c r="N154" s="12" t="str">
        <f t="shared" si="25"/>
        <v xml:space="preserve"> 	Case tnxVar.Equals("TowerRedundantHipDiagonalBoltEdgeDistance3")
                            Try
                                Me.geometry.baseStructure(recIndex).TowerRedundantHipDiagonalBoltEdgeDistance3 = tnxValue
                            Catch ex As Exception
                                Debug.Print("Error parsing TNX variable: " &amp; tnxVar)
                            End Try</v>
      </c>
      <c r="O154" s="11" t="str">
        <f t="shared" si="26"/>
        <v>newERIList.Add("TowerRedundantHipDiagonalBoltEdgeDistance3=" &amp; Me.settings.USUnits.Properties.convertToERIUnits( .TowerRedundantHipDiagonalBoltEdgeDistance3))</v>
      </c>
      <c r="P154" s="11" t="str">
        <f t="shared" si="27"/>
        <v>SQLInsertValues = SQLInsertValues.AddtoDBString(Me.TowerRedundantHipDiagonalBoltEdgeDistance3.NullableToString.FormatDBValue)</v>
      </c>
      <c r="Q154" s="11" t="str">
        <f t="shared" si="28"/>
        <v>SQLInsertFields = SQLInsertFields.AddtoDBString("TowerRedundantHipDiagonalBoltEdgeDistance3")</v>
      </c>
      <c r="R154" s="11" t="str">
        <f t="shared" si="29"/>
        <v>SQLUpdateFieldsandValues = SQLUpdateFieldsandValues.AddtoDBString("TowerRedundantHipDiagonalBoltEdgeDistance3 = " &amp; Me.TowerRedundantHipDiagonalBoltEdgeDistance3.NullableToString.FormatDBValue)</v>
      </c>
      <c r="S154" s="10" t="s">
        <v>286</v>
      </c>
    </row>
    <row r="155" spans="1:19" ht="165" x14ac:dyDescent="0.25">
      <c r="A155" s="11" t="s">
        <v>697</v>
      </c>
      <c r="B155" s="11" t="str" cm="1">
        <f t="array" ref="B155">Addspaces(A155)</f>
        <v>Tower Redundant Hip Diagonal Gage G 1 Distance 3</v>
      </c>
      <c r="C155" s="15" t="s">
        <v>1225</v>
      </c>
      <c r="D155" s="13" t="str">
        <f>VLOOKUP(C155,Sheet8!A:C,2,FALSE)</f>
        <v>decimal(18, 6)</v>
      </c>
      <c r="E155" s="15"/>
      <c r="F155" s="13" t="str">
        <f>VLOOKUP(C155,Sheet8!A:C,3,FALSE)</f>
        <v>Double?</v>
      </c>
      <c r="G155" s="15"/>
      <c r="H155" s="11" t="str">
        <f t="shared" si="20"/>
        <v>ADD TowerRedundantHipDiagonalGageG1Distance3 decimal(18, 6),</v>
      </c>
      <c r="I155" s="11" t="str">
        <f t="shared" si="21"/>
        <v xml:space="preserve">Private _TowerRedundantHipDiagonalGageG1Distance3 As Double? </v>
      </c>
      <c r="J155" s="12" t="str">
        <f t="shared" si="22"/>
        <v xml:space="preserve">     		&lt;Category("TNX Tower Record"), Description(""), DisplayName("Tower Redundant Hip Diagonal Gage G 1 Distance 3")&gt;
    		&lt;DataMember()&gt; Public Property TowerRedundantHipDiagonalGageG1Distance3() As Double?
        			Get
            				Return Me._TowerRedundantHipDiagonalGageG1Distance3
        			End Get
        			Set
            				Me._TowerRedundantHipDiagonalGageG1Distance3 = Value
        			End Set
    		End Property</v>
      </c>
      <c r="K155" s="11" t="str">
        <f>"Me."&amp;A155&amp; " = " &amp; VLOOKUP(C155,Sheet8!A:D,4,FALSE)&amp;"(recRow.Item("""&amp;A155 &amp;""")" &amp; IF(C155="Number",",6","")&amp;")"</f>
        <v>Me.TowerRedundantHipDiagonalGageG1Distance3 = DBtoNullableDec(recRow.Item("TowerRedundantHipDiagonalGageG1Distance3"),6)</v>
      </c>
      <c r="L155" s="11" t="str">
        <f t="shared" si="23"/>
        <v>insertString = insertString.AddtoDBString(Me.TowerRedundantHipDiagonalGageG1Distance3.ToString)</v>
      </c>
      <c r="M155" s="11" t="str">
        <f t="shared" si="24"/>
        <v>Equals = If(Me.TowerRedundantHipDiagonalGageG1Distance3.CheckChange(otherToCompare.TowerRedundantHipDiagonalGageG1Distance3, changes, categoryName, "Tower Redundant Hip Diagonal Gage G 1 Distance 3"), Equals, False)</v>
      </c>
      <c r="N155" s="12" t="str">
        <f t="shared" si="25"/>
        <v xml:space="preserve"> 	Case tnxVar.Equals("TowerRedundantHipDiagonalGageG1Distance3")
                            Try
                                Me.geometry.baseStructure(recIndex).TowerRedundantHipDiagonalGageG1Distance3 = tnxValue
                            Catch ex As Exception
                                Debug.Print("Error parsing TNX variable: " &amp; tnxVar)
                            End Try</v>
      </c>
      <c r="O155" s="11" t="str">
        <f t="shared" si="26"/>
        <v>newERIList.Add("TowerRedundantHipDiagonalGageG1Distance3=" &amp; Me.settings.USUnits.Properties.convertToERIUnits( .TowerRedundantHipDiagonalGageG1Distance3))</v>
      </c>
      <c r="P155" s="11" t="str">
        <f t="shared" si="27"/>
        <v>SQLInsertValues = SQLInsertValues.AddtoDBString(Me.TowerRedundantHipDiagonalGageG1Distance3.NullableToString.FormatDBValue)</v>
      </c>
      <c r="Q155" s="11" t="str">
        <f t="shared" si="28"/>
        <v>SQLInsertFields = SQLInsertFields.AddtoDBString("TowerRedundantHipDiagonalGageG1Distance3")</v>
      </c>
      <c r="R155" s="11" t="str">
        <f t="shared" si="29"/>
        <v>SQLUpdateFieldsandValues = SQLUpdateFieldsandValues.AddtoDBString("TowerRedundantHipDiagonalGageG1Distance3 = " &amp; Me.TowerRedundantHipDiagonalGageG1Distance3.NullableToString.FormatDBValue)</v>
      </c>
      <c r="S155" s="10" t="s">
        <v>286</v>
      </c>
    </row>
    <row r="156" spans="1:19" ht="165" x14ac:dyDescent="0.25">
      <c r="A156" s="11" t="s">
        <v>698</v>
      </c>
      <c r="B156" s="11" t="str" cm="1">
        <f t="array" ref="B156">Addspaces(A156)</f>
        <v>Tower Redundant Hip Diagonal Net Width Deduct 3</v>
      </c>
      <c r="C156" s="15" t="s">
        <v>1225</v>
      </c>
      <c r="D156" s="13" t="str">
        <f>VLOOKUP(C156,Sheet8!A:C,2,FALSE)</f>
        <v>decimal(18, 6)</v>
      </c>
      <c r="E156" s="15"/>
      <c r="F156" s="13" t="str">
        <f>VLOOKUP(C156,Sheet8!A:C,3,FALSE)</f>
        <v>Double?</v>
      </c>
      <c r="G156" s="15"/>
      <c r="H156" s="11" t="str">
        <f t="shared" si="20"/>
        <v>ADD TowerRedundantHipDiagonalNetWidthDeduct3 decimal(18, 6),</v>
      </c>
      <c r="I156" s="11" t="str">
        <f t="shared" si="21"/>
        <v xml:space="preserve">Private _TowerRedundantHipDiagonalNetWidthDeduct3 As Double? </v>
      </c>
      <c r="J156" s="12" t="str">
        <f t="shared" si="22"/>
        <v xml:space="preserve">     		&lt;Category("TNX Tower Record"), Description(""), DisplayName("Tower Redundant Hip Diagonal Net Width Deduct 3")&gt;
    		&lt;DataMember()&gt; Public Property TowerRedundantHipDiagonalNetWidthDeduct3() As Double?
        			Get
            				Return Me._TowerRedundantHipDiagonalNetWidthDeduct3
        			End Get
        			Set
            				Me._TowerRedundantHipDiagonalNetWidthDeduct3 = Value
        			End Set
    		End Property</v>
      </c>
      <c r="K156" s="11" t="str">
        <f>"Me."&amp;A156&amp; " = " &amp; VLOOKUP(C156,Sheet8!A:D,4,FALSE)&amp;"(recRow.Item("""&amp;A156 &amp;""")" &amp; IF(C156="Number",",6","")&amp;")"</f>
        <v>Me.TowerRedundantHipDiagonalNetWidthDeduct3 = DBtoNullableDec(recRow.Item("TowerRedundantHipDiagonalNetWidthDeduct3"),6)</v>
      </c>
      <c r="L156" s="11" t="str">
        <f t="shared" si="23"/>
        <v>insertString = insertString.AddtoDBString(Me.TowerRedundantHipDiagonalNetWidthDeduct3.ToString)</v>
      </c>
      <c r="M156" s="11" t="str">
        <f t="shared" si="24"/>
        <v>Equals = If(Me.TowerRedundantHipDiagonalNetWidthDeduct3.CheckChange(otherToCompare.TowerRedundantHipDiagonalNetWidthDeduct3, changes, categoryName, "Tower Redundant Hip Diagonal Net Width Deduct 3"), Equals, False)</v>
      </c>
      <c r="N156" s="12" t="str">
        <f t="shared" si="25"/>
        <v xml:space="preserve"> 	Case tnxVar.Equals("TowerRedundantHipDiagonalNetWidthDeduct3")
                            Try
                                Me.geometry.baseStructure(recIndex).TowerRedundantHipDiagonalNetWidthDeduct3 = tnxValue
                            Catch ex As Exception
                                Debug.Print("Error parsing TNX variable: " &amp; tnxVar)
                            End Try</v>
      </c>
      <c r="O156" s="11" t="str">
        <f t="shared" si="26"/>
        <v>newERIList.Add("TowerRedundantHipDiagonalNetWidthDeduct3=" &amp; Me.settings.USUnits.Properties.convertToERIUnits( .TowerRedundantHipDiagonalNetWidthDeduct3))</v>
      </c>
      <c r="P156" s="11" t="str">
        <f t="shared" si="27"/>
        <v>SQLInsertValues = SQLInsertValues.AddtoDBString(Me.TowerRedundantHipDiagonalNetWidthDeduct3.NullableToString.FormatDBValue)</v>
      </c>
      <c r="Q156" s="11" t="str">
        <f t="shared" si="28"/>
        <v>SQLInsertFields = SQLInsertFields.AddtoDBString("TowerRedundantHipDiagonalNetWidthDeduct3")</v>
      </c>
      <c r="R156" s="11" t="str">
        <f t="shared" si="29"/>
        <v>SQLUpdateFieldsandValues = SQLUpdateFieldsandValues.AddtoDBString("TowerRedundantHipDiagonalNetWidthDeduct3 = " &amp; Me.TowerRedundantHipDiagonalNetWidthDeduct3.NullableToString.FormatDBValue)</v>
      </c>
      <c r="S156" s="10" t="s">
        <v>286</v>
      </c>
    </row>
    <row r="157" spans="1:19" ht="150" x14ac:dyDescent="0.25">
      <c r="A157" s="11" t="s">
        <v>699</v>
      </c>
      <c r="B157" s="11" t="str" cm="1">
        <f t="array" ref="B157">Addspaces(A157)</f>
        <v>Tower Redundant Hip Diagonal U Factor 3</v>
      </c>
      <c r="C157" s="15" t="s">
        <v>1225</v>
      </c>
      <c r="D157" s="13" t="str">
        <f>VLOOKUP(C157,Sheet8!A:C,2,FALSE)</f>
        <v>decimal(18, 6)</v>
      </c>
      <c r="E157" s="15"/>
      <c r="F157" s="13" t="str">
        <f>VLOOKUP(C157,Sheet8!A:C,3,FALSE)</f>
        <v>Double?</v>
      </c>
      <c r="G157" s="15"/>
      <c r="H157" s="11" t="str">
        <f t="shared" si="20"/>
        <v>ADD TowerRedundantHipDiagonalUFactor3 decimal(18, 6),</v>
      </c>
      <c r="I157" s="11" t="str">
        <f t="shared" si="21"/>
        <v xml:space="preserve">Private _TowerRedundantHipDiagonalUFactor3 As Double? </v>
      </c>
      <c r="J157" s="12" t="str">
        <f t="shared" si="22"/>
        <v xml:space="preserve">     		&lt;Category("TNX Tower Record"), Description(""), DisplayName("Tower Redundant Hip Diagonal U Factor 3")&gt;
    		&lt;DataMember()&gt; Public Property TowerRedundantHipDiagonalUFactor3() As Double?
        			Get
            				Return Me._TowerRedundantHipDiagonalUFactor3
        			End Get
        			Set
            				Me._TowerRedundantHipDiagonalUFactor3 = Value
        			End Set
    		End Property</v>
      </c>
      <c r="K157" s="11" t="str">
        <f>"Me."&amp;A157&amp; " = " &amp; VLOOKUP(C157,Sheet8!A:D,4,FALSE)&amp;"(recRow.Item("""&amp;A157 &amp;""")" &amp; IF(C157="Number",",6","")&amp;")"</f>
        <v>Me.TowerRedundantHipDiagonalUFactor3 = DBtoNullableDec(recRow.Item("TowerRedundantHipDiagonalUFactor3"),6)</v>
      </c>
      <c r="L157" s="11" t="str">
        <f t="shared" si="23"/>
        <v>insertString = insertString.AddtoDBString(Me.TowerRedundantHipDiagonalUFactor3.ToString)</v>
      </c>
      <c r="M157" s="11" t="str">
        <f t="shared" si="24"/>
        <v>Equals = If(Me.TowerRedundantHipDiagonalUFactor3.CheckChange(otherToCompare.TowerRedundantHipDiagonalUFactor3, changes, categoryName, "Tower Redundant Hip Diagonal U Factor 3"), Equals, False)</v>
      </c>
      <c r="N157" s="12" t="str">
        <f t="shared" si="25"/>
        <v xml:space="preserve"> 	Case tnxVar.Equals("TowerRedundantHipDiagonalUFactor3")
                            Try
                                Me.geometry.baseStructure(recIndex).TowerRedundantHipDiagonalUFactor3 = tnxValue
                            Catch ex As Exception
                                Debug.Print("Error parsing TNX variable: " &amp; tnxVar)
                            End Try</v>
      </c>
      <c r="O157" s="11" t="str">
        <f t="shared" si="26"/>
        <v>newERIList.Add("TowerRedundantHipDiagonalUFactor3=" &amp; Me.settings.USUnits.Properties.convertToERIUnits( .TowerRedundantHipDiagonalUFactor3))</v>
      </c>
      <c r="P157" s="11" t="str">
        <f t="shared" si="27"/>
        <v>SQLInsertValues = SQLInsertValues.AddtoDBString(Me.TowerRedundantHipDiagonalUFactor3.NullableToString.FormatDBValue)</v>
      </c>
      <c r="Q157" s="11" t="str">
        <f t="shared" si="28"/>
        <v>SQLInsertFields = SQLInsertFields.AddtoDBString("TowerRedundantHipDiagonalUFactor3")</v>
      </c>
      <c r="R157" s="11" t="str">
        <f t="shared" si="29"/>
        <v>SQLUpdateFieldsandValues = SQLUpdateFieldsandValues.AddtoDBString("TowerRedundantHipDiagonalUFactor3 = " &amp; Me.TowerRedundantHipDiagonalUFactor3.NullableToString.FormatDBValue)</v>
      </c>
      <c r="S157" s="10" t="s">
        <v>286</v>
      </c>
    </row>
    <row r="158" spans="1:19" ht="150" x14ac:dyDescent="0.25">
      <c r="A158" s="11" t="s">
        <v>700</v>
      </c>
      <c r="B158" s="11" t="str" cm="1">
        <f t="array" ref="B158">Addspaces(A158)</f>
        <v>Tower Redundant Hip Diagonal Bolt Grade 4</v>
      </c>
      <c r="C158" s="15" t="s">
        <v>1224</v>
      </c>
      <c r="D158" s="13" t="str">
        <f>VLOOKUP(C158,Sheet8!A:C,2,FALSE)</f>
        <v>varchar</v>
      </c>
      <c r="E158" s="15">
        <v>100</v>
      </c>
      <c r="F158" s="13" t="str">
        <f>VLOOKUP(C158,Sheet8!A:C,3,FALSE)</f>
        <v>String</v>
      </c>
      <c r="G158" s="15"/>
      <c r="H158" s="11" t="str">
        <f t="shared" si="20"/>
        <v>ADD TowerRedundantHipDiagonalBoltGrade4 varchar(100),</v>
      </c>
      <c r="I158" s="11" t="str">
        <f t="shared" si="21"/>
        <v xml:space="preserve">Private _TowerRedundantHipDiagonalBoltGrade4 As String </v>
      </c>
      <c r="J158" s="12" t="str">
        <f t="shared" si="22"/>
        <v xml:space="preserve">     		&lt;Category("TNX Tower Record"), Description(""), DisplayName("Tower Redundant Hip Diagonal Bolt Grade 4")&gt;
    		&lt;DataMember()&gt; Public Property TowerRedundantHipDiagonalBoltGrade4() As String
        			Get
            				Return Me._TowerRedundantHipDiagonalBoltGrade4
        			End Get
        			Set
            				Me._TowerRedundantHipDiagonalBoltGrade4 = Value
        			End Set
    		End Property</v>
      </c>
      <c r="K158" s="11" t="str">
        <f>"Me."&amp;A158&amp; " = " &amp; VLOOKUP(C158,Sheet8!A:D,4,FALSE)&amp;"(recRow.Item("""&amp;A158 &amp;""")" &amp; IF(C158="Number",",6","")&amp;")"</f>
        <v>Me.TowerRedundantHipDiagonalBoltGrade4 = DBtoStr(recRow.Item("TowerRedundantHipDiagonalBoltGrade4"))</v>
      </c>
      <c r="L158" s="11" t="str">
        <f t="shared" si="23"/>
        <v>insertString = insertString.AddtoDBString(Me.TowerRedundantHipDiagonalBoltGrade4.ToString)</v>
      </c>
      <c r="M158" s="11" t="str">
        <f t="shared" si="24"/>
        <v>Equals = If(Me.TowerRedundantHipDiagonalBoltGrade4.CheckChange(otherToCompare.TowerRedundantHipDiagonalBoltGrade4, changes, categoryName, "Tower Redundant Hip Diagonal Bolt Grade 4"), Equals, False)</v>
      </c>
      <c r="N158" s="12" t="str">
        <f t="shared" si="25"/>
        <v xml:space="preserve"> 	Case tnxVar.Equals("TowerRedundantHipDiagonalBoltGrade4")
                            Try
                                Me.geometry.baseStructure(recIndex).TowerRedundantHipDiagonalBoltGrade4 = tnxValue
                            Catch ex As Exception
                                Debug.Print("Error parsing TNX variable: " &amp; tnxVar)
                            End Try</v>
      </c>
      <c r="O158" s="11" t="str">
        <f t="shared" si="26"/>
        <v>newERIList.Add("TowerRedundantHipDiagonalBoltGrade4=" &amp;  .TowerRedundantHipDiagonalBoltGrade4)</v>
      </c>
      <c r="P158" s="11" t="str">
        <f t="shared" si="27"/>
        <v>SQLInsertValues = SQLInsertValues.AddtoDBString(Me.TowerRedundantHipDiagonalBoltGrade4.NullableToString.FormatDBValue)</v>
      </c>
      <c r="Q158" s="11" t="str">
        <f t="shared" si="28"/>
        <v>SQLInsertFields = SQLInsertFields.AddtoDBString("TowerRedundantHipDiagonalBoltGrade4")</v>
      </c>
      <c r="R158" s="11" t="str">
        <f t="shared" si="29"/>
        <v>SQLUpdateFieldsandValues = SQLUpdateFieldsandValues.AddtoDBString("TowerRedundantHipDiagonalBoltGrade4 = " &amp; Me.TowerRedundantHipDiagonalBoltGrade4.NullableToString.FormatDBValue)</v>
      </c>
      <c r="S158" s="10" t="s">
        <v>286</v>
      </c>
    </row>
    <row r="159" spans="1:19" ht="150" x14ac:dyDescent="0.25">
      <c r="A159" s="11" t="s">
        <v>701</v>
      </c>
      <c r="B159" s="11" t="str" cm="1">
        <f t="array" ref="B159">Addspaces(A159)</f>
        <v>Tower Redundant Hip Diagonal Bolt Size 4</v>
      </c>
      <c r="C159" s="15" t="s">
        <v>1225</v>
      </c>
      <c r="D159" s="13" t="str">
        <f>VLOOKUP(C159,Sheet8!A:C,2,FALSE)</f>
        <v>decimal(18, 6)</v>
      </c>
      <c r="E159" s="15"/>
      <c r="F159" s="13" t="str">
        <f>VLOOKUP(C159,Sheet8!A:C,3,FALSE)</f>
        <v>Double?</v>
      </c>
      <c r="G159" s="15"/>
      <c r="H159" s="11" t="str">
        <f t="shared" si="20"/>
        <v>ADD TowerRedundantHipDiagonalBoltSize4 decimal(18, 6),</v>
      </c>
      <c r="I159" s="11" t="str">
        <f t="shared" si="21"/>
        <v xml:space="preserve">Private _TowerRedundantHipDiagonalBoltSize4 As Double? </v>
      </c>
      <c r="J159" s="12" t="str">
        <f t="shared" si="22"/>
        <v xml:space="preserve">     		&lt;Category("TNX Tower Record"), Description(""), DisplayName("Tower Redundant Hip Diagonal Bolt Size 4")&gt;
    		&lt;DataMember()&gt; Public Property TowerRedundantHipDiagonalBoltSize4() As Double?
        			Get
            				Return Me._TowerRedundantHipDiagonalBoltSize4
        			End Get
        			Set
            				Me._TowerRedundantHipDiagonalBoltSize4 = Value
        			End Set
    		End Property</v>
      </c>
      <c r="K159" s="11" t="str">
        <f>"Me."&amp;A159&amp; " = " &amp; VLOOKUP(C159,Sheet8!A:D,4,FALSE)&amp;"(recRow.Item("""&amp;A159 &amp;""")" &amp; IF(C159="Number",",6","")&amp;")"</f>
        <v>Me.TowerRedundantHipDiagonalBoltSize4 = DBtoNullableDec(recRow.Item("TowerRedundantHipDiagonalBoltSize4"),6)</v>
      </c>
      <c r="L159" s="11" t="str">
        <f t="shared" si="23"/>
        <v>insertString = insertString.AddtoDBString(Me.TowerRedundantHipDiagonalBoltSize4.ToString)</v>
      </c>
      <c r="M159" s="11" t="str">
        <f t="shared" si="24"/>
        <v>Equals = If(Me.TowerRedundantHipDiagonalBoltSize4.CheckChange(otherToCompare.TowerRedundantHipDiagonalBoltSize4, changes, categoryName, "Tower Redundant Hip Diagonal Bolt Size 4"), Equals, False)</v>
      </c>
      <c r="N159" s="12" t="str">
        <f t="shared" si="25"/>
        <v xml:space="preserve"> 	Case tnxVar.Equals("TowerRedundantHipDiagonalBoltSize4")
                            Try
                                Me.geometry.baseStructure(recIndex).TowerRedundantHipDiagonalBoltSize4 = tnxValue
                            Catch ex As Exception
                                Debug.Print("Error parsing TNX variable: " &amp; tnxVar)
                            End Try</v>
      </c>
      <c r="O159" s="11" t="str">
        <f t="shared" si="26"/>
        <v>newERIList.Add("TowerRedundantHipDiagonalBoltSize4=" &amp; Me.settings.USUnits.Properties.convertToERIUnits( .TowerRedundantHipDiagonalBoltSize4))</v>
      </c>
      <c r="P159" s="11" t="str">
        <f t="shared" si="27"/>
        <v>SQLInsertValues = SQLInsertValues.AddtoDBString(Me.TowerRedundantHipDiagonalBoltSize4.NullableToString.FormatDBValue)</v>
      </c>
      <c r="Q159" s="11" t="str">
        <f t="shared" si="28"/>
        <v>SQLInsertFields = SQLInsertFields.AddtoDBString("TowerRedundantHipDiagonalBoltSize4")</v>
      </c>
      <c r="R159" s="11" t="str">
        <f t="shared" si="29"/>
        <v>SQLUpdateFieldsandValues = SQLUpdateFieldsandValues.AddtoDBString("TowerRedundantHipDiagonalBoltSize4 = " &amp; Me.TowerRedundantHipDiagonalBoltSize4.NullableToString.FormatDBValue)</v>
      </c>
      <c r="S159" s="10" t="s">
        <v>286</v>
      </c>
    </row>
    <row r="160" spans="1:19" ht="150" x14ac:dyDescent="0.25">
      <c r="A160" s="11" t="s">
        <v>702</v>
      </c>
      <c r="B160" s="11" t="str" cm="1">
        <f t="array" ref="B160">Addspaces(A160)</f>
        <v>Tower Redundant Hip Diagonal Num Bolts 4</v>
      </c>
      <c r="C160" s="15" t="s">
        <v>1234</v>
      </c>
      <c r="D160" s="13" t="str">
        <f>VLOOKUP(C160,Sheet8!A:C,2,FALSE)</f>
        <v>int</v>
      </c>
      <c r="E160" s="15"/>
      <c r="F160" s="13" t="str">
        <f>VLOOKUP(C160,Sheet8!A:C,3,FALSE)</f>
        <v>Integer?</v>
      </c>
      <c r="G160" s="15"/>
      <c r="H160" s="11" t="str">
        <f t="shared" si="20"/>
        <v>ADD TowerRedundantHipDiagonalNumBolts4 int,</v>
      </c>
      <c r="I160" s="11" t="str">
        <f t="shared" si="21"/>
        <v xml:space="preserve">Private _TowerRedundantHipDiagonalNumBolts4 As Integer? </v>
      </c>
      <c r="J160" s="12" t="str">
        <f t="shared" si="22"/>
        <v xml:space="preserve">     		&lt;Category("TNX Tower Record"), Description(""), DisplayName("Tower Redundant Hip Diagonal Num Bolts 4")&gt;
    		&lt;DataMember()&gt; Public Property TowerRedundantHipDiagonalNumBolts4() As Integer?
        			Get
            				Return Me._TowerRedundantHipDiagonalNumBolts4
        			End Get
        			Set
            				Me._TowerRedundantHipDiagonalNumBolts4 = Value
        			End Set
    		End Property</v>
      </c>
      <c r="K160" s="11" t="str">
        <f>"Me."&amp;A160&amp; " = " &amp; VLOOKUP(C160,Sheet8!A:D,4,FALSE)&amp;"(recRow.Item("""&amp;A160 &amp;""")" &amp; IF(C160="Number",",6","")&amp;")"</f>
        <v>Me.TowerRedundantHipDiagonalNumBolts4 = DBtoNullableInt(recRow.Item("TowerRedundantHipDiagonalNumBolts4"))</v>
      </c>
      <c r="L160" s="11" t="str">
        <f t="shared" si="23"/>
        <v>insertString = insertString.AddtoDBString(Me.TowerRedundantHipDiagonalNumBolts4.ToString)</v>
      </c>
      <c r="M160" s="11" t="str">
        <f t="shared" si="24"/>
        <v>Equals = If(Me.TowerRedundantHipDiagonalNumBolts4.CheckChange(otherToCompare.TowerRedundantHipDiagonalNumBolts4, changes, categoryName, "Tower Redundant Hip Diagonal Num Bolts 4"), Equals, False)</v>
      </c>
      <c r="N160" s="12" t="str">
        <f t="shared" si="25"/>
        <v xml:space="preserve"> 	Case tnxVar.Equals("TowerRedundantHipDiagonalNumBolts4")
                            Try
                                Me.geometry.baseStructure(recIndex).TowerRedundantHipDiagonalNumBolts4 = tnxValue
                            Catch ex As Exception
                                Debug.Print("Error parsing TNX variable: " &amp; tnxVar)
                            End Try</v>
      </c>
      <c r="O160" s="11" t="str">
        <f t="shared" si="26"/>
        <v>newERIList.Add("TowerRedundantHipDiagonalNumBolts4=" &amp;  .TowerRedundantHipDiagonalNumBolts4)</v>
      </c>
      <c r="P160" s="11" t="str">
        <f t="shared" si="27"/>
        <v>SQLInsertValues = SQLInsertValues.AddtoDBString(Me.TowerRedundantHipDiagonalNumBolts4.NullableToString.FormatDBValue)</v>
      </c>
      <c r="Q160" s="11" t="str">
        <f t="shared" si="28"/>
        <v>SQLInsertFields = SQLInsertFields.AddtoDBString("TowerRedundantHipDiagonalNumBolts4")</v>
      </c>
      <c r="R160" s="11" t="str">
        <f t="shared" si="29"/>
        <v>SQLUpdateFieldsandValues = SQLUpdateFieldsandValues.AddtoDBString("TowerRedundantHipDiagonalNumBolts4 = " &amp; Me.TowerRedundantHipDiagonalNumBolts4.NullableToString.FormatDBValue)</v>
      </c>
      <c r="S160" s="10" t="s">
        <v>286</v>
      </c>
    </row>
    <row r="161" spans="1:19" ht="165" x14ac:dyDescent="0.25">
      <c r="A161" s="11" t="s">
        <v>703</v>
      </c>
      <c r="B161" s="11" t="str" cm="1">
        <f t="array" ref="B161">Addspaces(A161)</f>
        <v>Tower Redundant Hip Diagonal Bolt Edge Distance 4</v>
      </c>
      <c r="C161" s="15" t="s">
        <v>1225</v>
      </c>
      <c r="D161" s="13" t="str">
        <f>VLOOKUP(C161,Sheet8!A:C,2,FALSE)</f>
        <v>decimal(18, 6)</v>
      </c>
      <c r="E161" s="15"/>
      <c r="F161" s="13" t="str">
        <f>VLOOKUP(C161,Sheet8!A:C,3,FALSE)</f>
        <v>Double?</v>
      </c>
      <c r="G161" s="15"/>
      <c r="H161" s="11" t="str">
        <f t="shared" si="20"/>
        <v>ADD TowerRedundantHipDiagonalBoltEdgeDistance4 decimal(18, 6),</v>
      </c>
      <c r="I161" s="11" t="str">
        <f t="shared" si="21"/>
        <v xml:space="preserve">Private _TowerRedundantHipDiagonalBoltEdgeDistance4 As Double? </v>
      </c>
      <c r="J161" s="12" t="str">
        <f t="shared" si="22"/>
        <v xml:space="preserve">     		&lt;Category("TNX Tower Record"), Description(""), DisplayName("Tower Redundant Hip Diagonal Bolt Edge Distance 4")&gt;
    		&lt;DataMember()&gt; Public Property TowerRedundantHipDiagonalBoltEdgeDistance4() As Double?
        			Get
            				Return Me._TowerRedundantHipDiagonalBoltEdgeDistance4
        			End Get
        			Set
            				Me._TowerRedundantHipDiagonalBoltEdgeDistance4 = Value
        			End Set
    		End Property</v>
      </c>
      <c r="K161" s="11" t="str">
        <f>"Me."&amp;A161&amp; " = " &amp; VLOOKUP(C161,Sheet8!A:D,4,FALSE)&amp;"(recRow.Item("""&amp;A161 &amp;""")" &amp; IF(C161="Number",",6","")&amp;")"</f>
        <v>Me.TowerRedundantHipDiagonalBoltEdgeDistance4 = DBtoNullableDec(recRow.Item("TowerRedundantHipDiagonalBoltEdgeDistance4"),6)</v>
      </c>
      <c r="L161" s="11" t="str">
        <f t="shared" si="23"/>
        <v>insertString = insertString.AddtoDBString(Me.TowerRedundantHipDiagonalBoltEdgeDistance4.ToString)</v>
      </c>
      <c r="M161" s="11" t="str">
        <f t="shared" si="24"/>
        <v>Equals = If(Me.TowerRedundantHipDiagonalBoltEdgeDistance4.CheckChange(otherToCompare.TowerRedundantHipDiagonalBoltEdgeDistance4, changes, categoryName, "Tower Redundant Hip Diagonal Bolt Edge Distance 4"), Equals, False)</v>
      </c>
      <c r="N161" s="12" t="str">
        <f t="shared" si="25"/>
        <v xml:space="preserve"> 	Case tnxVar.Equals("TowerRedundantHipDiagonalBoltEdgeDistance4")
                            Try
                                Me.geometry.baseStructure(recIndex).TowerRedundantHipDiagonalBoltEdgeDistance4 = tnxValue
                            Catch ex As Exception
                                Debug.Print("Error parsing TNX variable: " &amp; tnxVar)
                            End Try</v>
      </c>
      <c r="O161" s="11" t="str">
        <f t="shared" si="26"/>
        <v>newERIList.Add("TowerRedundantHipDiagonalBoltEdgeDistance4=" &amp; Me.settings.USUnits.Properties.convertToERIUnits( .TowerRedundantHipDiagonalBoltEdgeDistance4))</v>
      </c>
      <c r="P161" s="11" t="str">
        <f t="shared" si="27"/>
        <v>SQLInsertValues = SQLInsertValues.AddtoDBString(Me.TowerRedundantHipDiagonalBoltEdgeDistance4.NullableToString.FormatDBValue)</v>
      </c>
      <c r="Q161" s="11" t="str">
        <f t="shared" si="28"/>
        <v>SQLInsertFields = SQLInsertFields.AddtoDBString("TowerRedundantHipDiagonalBoltEdgeDistance4")</v>
      </c>
      <c r="R161" s="11" t="str">
        <f t="shared" si="29"/>
        <v>SQLUpdateFieldsandValues = SQLUpdateFieldsandValues.AddtoDBString("TowerRedundantHipDiagonalBoltEdgeDistance4 = " &amp; Me.TowerRedundantHipDiagonalBoltEdgeDistance4.NullableToString.FormatDBValue)</v>
      </c>
      <c r="S161" s="10" t="s">
        <v>286</v>
      </c>
    </row>
    <row r="162" spans="1:19" ht="165" x14ac:dyDescent="0.25">
      <c r="A162" s="11" t="s">
        <v>704</v>
      </c>
      <c r="B162" s="11" t="str" cm="1">
        <f t="array" ref="B162">Addspaces(A162)</f>
        <v>Tower Redundant Hip Diagonal Gage G 1 Distance 4</v>
      </c>
      <c r="C162" s="15" t="s">
        <v>1225</v>
      </c>
      <c r="D162" s="13" t="str">
        <f>VLOOKUP(C162,Sheet8!A:C,2,FALSE)</f>
        <v>decimal(18, 6)</v>
      </c>
      <c r="E162" s="15"/>
      <c r="F162" s="13" t="str">
        <f>VLOOKUP(C162,Sheet8!A:C,3,FALSE)</f>
        <v>Double?</v>
      </c>
      <c r="G162" s="15"/>
      <c r="H162" s="11" t="str">
        <f t="shared" si="20"/>
        <v>ADD TowerRedundantHipDiagonalGageG1Distance4 decimal(18, 6),</v>
      </c>
      <c r="I162" s="11" t="str">
        <f t="shared" si="21"/>
        <v xml:space="preserve">Private _TowerRedundantHipDiagonalGageG1Distance4 As Double? </v>
      </c>
      <c r="J162" s="12" t="str">
        <f t="shared" si="22"/>
        <v xml:space="preserve">     		&lt;Category("TNX Tower Record"), Description(""), DisplayName("Tower Redundant Hip Diagonal Gage G 1 Distance 4")&gt;
    		&lt;DataMember()&gt; Public Property TowerRedundantHipDiagonalGageG1Distance4() As Double?
        			Get
            				Return Me._TowerRedundantHipDiagonalGageG1Distance4
        			End Get
        			Set
            				Me._TowerRedundantHipDiagonalGageG1Distance4 = Value
        			End Set
    		End Property</v>
      </c>
      <c r="K162" s="11" t="str">
        <f>"Me."&amp;A162&amp; " = " &amp; VLOOKUP(C162,Sheet8!A:D,4,FALSE)&amp;"(recRow.Item("""&amp;A162 &amp;""")" &amp; IF(C162="Number",",6","")&amp;")"</f>
        <v>Me.TowerRedundantHipDiagonalGageG1Distance4 = DBtoNullableDec(recRow.Item("TowerRedundantHipDiagonalGageG1Distance4"),6)</v>
      </c>
      <c r="L162" s="11" t="str">
        <f t="shared" si="23"/>
        <v>insertString = insertString.AddtoDBString(Me.TowerRedundantHipDiagonalGageG1Distance4.ToString)</v>
      </c>
      <c r="M162" s="11" t="str">
        <f t="shared" si="24"/>
        <v>Equals = If(Me.TowerRedundantHipDiagonalGageG1Distance4.CheckChange(otherToCompare.TowerRedundantHipDiagonalGageG1Distance4, changes, categoryName, "Tower Redundant Hip Diagonal Gage G 1 Distance 4"), Equals, False)</v>
      </c>
      <c r="N162" s="12" t="str">
        <f t="shared" si="25"/>
        <v xml:space="preserve"> 	Case tnxVar.Equals("TowerRedundantHipDiagonalGageG1Distance4")
                            Try
                                Me.geometry.baseStructure(recIndex).TowerRedundantHipDiagonalGageG1Distance4 = tnxValue
                            Catch ex As Exception
                                Debug.Print("Error parsing TNX variable: " &amp; tnxVar)
                            End Try</v>
      </c>
      <c r="O162" s="11" t="str">
        <f t="shared" si="26"/>
        <v>newERIList.Add("TowerRedundantHipDiagonalGageG1Distance4=" &amp; Me.settings.USUnits.Properties.convertToERIUnits( .TowerRedundantHipDiagonalGageG1Distance4))</v>
      </c>
      <c r="P162" s="11" t="str">
        <f t="shared" si="27"/>
        <v>SQLInsertValues = SQLInsertValues.AddtoDBString(Me.TowerRedundantHipDiagonalGageG1Distance4.NullableToString.FormatDBValue)</v>
      </c>
      <c r="Q162" s="11" t="str">
        <f t="shared" si="28"/>
        <v>SQLInsertFields = SQLInsertFields.AddtoDBString("TowerRedundantHipDiagonalGageG1Distance4")</v>
      </c>
      <c r="R162" s="11" t="str">
        <f t="shared" si="29"/>
        <v>SQLUpdateFieldsandValues = SQLUpdateFieldsandValues.AddtoDBString("TowerRedundantHipDiagonalGageG1Distance4 = " &amp; Me.TowerRedundantHipDiagonalGageG1Distance4.NullableToString.FormatDBValue)</v>
      </c>
      <c r="S162" s="10" t="s">
        <v>286</v>
      </c>
    </row>
    <row r="163" spans="1:19" ht="165" x14ac:dyDescent="0.25">
      <c r="A163" s="11" t="s">
        <v>705</v>
      </c>
      <c r="B163" s="11" t="str" cm="1">
        <f t="array" ref="B163">Addspaces(A163)</f>
        <v>Tower Redundant Hip Diagonal Net Width Deduct 4</v>
      </c>
      <c r="C163" s="15" t="s">
        <v>1225</v>
      </c>
      <c r="D163" s="13" t="str">
        <f>VLOOKUP(C163,Sheet8!A:C,2,FALSE)</f>
        <v>decimal(18, 6)</v>
      </c>
      <c r="E163" s="15"/>
      <c r="F163" s="13" t="str">
        <f>VLOOKUP(C163,Sheet8!A:C,3,FALSE)</f>
        <v>Double?</v>
      </c>
      <c r="G163" s="15"/>
      <c r="H163" s="11" t="str">
        <f t="shared" si="20"/>
        <v>ADD TowerRedundantHipDiagonalNetWidthDeduct4 decimal(18, 6),</v>
      </c>
      <c r="I163" s="11" t="str">
        <f t="shared" si="21"/>
        <v xml:space="preserve">Private _TowerRedundantHipDiagonalNetWidthDeduct4 As Double? </v>
      </c>
      <c r="J163" s="12" t="str">
        <f t="shared" si="22"/>
        <v xml:space="preserve">     		&lt;Category("TNX Tower Record"), Description(""), DisplayName("Tower Redundant Hip Diagonal Net Width Deduct 4")&gt;
    		&lt;DataMember()&gt; Public Property TowerRedundantHipDiagonalNetWidthDeduct4() As Double?
        			Get
            				Return Me._TowerRedundantHipDiagonalNetWidthDeduct4
        			End Get
        			Set
            				Me._TowerRedundantHipDiagonalNetWidthDeduct4 = Value
        			End Set
    		End Property</v>
      </c>
      <c r="K163" s="11" t="str">
        <f>"Me."&amp;A163&amp; " = " &amp; VLOOKUP(C163,Sheet8!A:D,4,FALSE)&amp;"(recRow.Item("""&amp;A163 &amp;""")" &amp; IF(C163="Number",",6","")&amp;")"</f>
        <v>Me.TowerRedundantHipDiagonalNetWidthDeduct4 = DBtoNullableDec(recRow.Item("TowerRedundantHipDiagonalNetWidthDeduct4"),6)</v>
      </c>
      <c r="L163" s="11" t="str">
        <f t="shared" si="23"/>
        <v>insertString = insertString.AddtoDBString(Me.TowerRedundantHipDiagonalNetWidthDeduct4.ToString)</v>
      </c>
      <c r="M163" s="11" t="str">
        <f t="shared" si="24"/>
        <v>Equals = If(Me.TowerRedundantHipDiagonalNetWidthDeduct4.CheckChange(otherToCompare.TowerRedundantHipDiagonalNetWidthDeduct4, changes, categoryName, "Tower Redundant Hip Diagonal Net Width Deduct 4"), Equals, False)</v>
      </c>
      <c r="N163" s="12" t="str">
        <f t="shared" si="25"/>
        <v xml:space="preserve"> 	Case tnxVar.Equals("TowerRedundantHipDiagonalNetWidthDeduct4")
                            Try
                                Me.geometry.baseStructure(recIndex).TowerRedundantHipDiagonalNetWidthDeduct4 = tnxValue
                            Catch ex As Exception
                                Debug.Print("Error parsing TNX variable: " &amp; tnxVar)
                            End Try</v>
      </c>
      <c r="O163" s="11" t="str">
        <f t="shared" si="26"/>
        <v>newERIList.Add("TowerRedundantHipDiagonalNetWidthDeduct4=" &amp; Me.settings.USUnits.Properties.convertToERIUnits( .TowerRedundantHipDiagonalNetWidthDeduct4))</v>
      </c>
      <c r="P163" s="11" t="str">
        <f t="shared" si="27"/>
        <v>SQLInsertValues = SQLInsertValues.AddtoDBString(Me.TowerRedundantHipDiagonalNetWidthDeduct4.NullableToString.FormatDBValue)</v>
      </c>
      <c r="Q163" s="11" t="str">
        <f t="shared" si="28"/>
        <v>SQLInsertFields = SQLInsertFields.AddtoDBString("TowerRedundantHipDiagonalNetWidthDeduct4")</v>
      </c>
      <c r="R163" s="11" t="str">
        <f t="shared" si="29"/>
        <v>SQLUpdateFieldsandValues = SQLUpdateFieldsandValues.AddtoDBString("TowerRedundantHipDiagonalNetWidthDeduct4 = " &amp; Me.TowerRedundantHipDiagonalNetWidthDeduct4.NullableToString.FormatDBValue)</v>
      </c>
      <c r="S163" s="10" t="s">
        <v>286</v>
      </c>
    </row>
    <row r="164" spans="1:19" ht="150" x14ac:dyDescent="0.25">
      <c r="A164" s="11" t="s">
        <v>706</v>
      </c>
      <c r="B164" s="11" t="str" cm="1">
        <f t="array" ref="B164">Addspaces(A164)</f>
        <v>Tower Redundant Hip Diagonal U Factor 4</v>
      </c>
      <c r="C164" s="15" t="s">
        <v>1225</v>
      </c>
      <c r="D164" s="13" t="str">
        <f>VLOOKUP(C164,Sheet8!A:C,2,FALSE)</f>
        <v>decimal(18, 6)</v>
      </c>
      <c r="E164" s="15"/>
      <c r="F164" s="13" t="str">
        <f>VLOOKUP(C164,Sheet8!A:C,3,FALSE)</f>
        <v>Double?</v>
      </c>
      <c r="G164" s="15"/>
      <c r="H164" s="11" t="str">
        <f t="shared" si="20"/>
        <v>ADD TowerRedundantHipDiagonalUFactor4 decimal(18, 6),</v>
      </c>
      <c r="I164" s="11" t="str">
        <f t="shared" si="21"/>
        <v xml:space="preserve">Private _TowerRedundantHipDiagonalUFactor4 As Double? </v>
      </c>
      <c r="J164" s="12" t="str">
        <f t="shared" si="22"/>
        <v xml:space="preserve">     		&lt;Category("TNX Tower Record"), Description(""), DisplayName("Tower Redundant Hip Diagonal U Factor 4")&gt;
    		&lt;DataMember()&gt; Public Property TowerRedundantHipDiagonalUFactor4() As Double?
        			Get
            				Return Me._TowerRedundantHipDiagonalUFactor4
        			End Get
        			Set
            				Me._TowerRedundantHipDiagonalUFactor4 = Value
        			End Set
    		End Property</v>
      </c>
      <c r="K164" s="11" t="str">
        <f>"Me."&amp;A164&amp; " = " &amp; VLOOKUP(C164,Sheet8!A:D,4,FALSE)&amp;"(recRow.Item("""&amp;A164 &amp;""")" &amp; IF(C164="Number",",6","")&amp;")"</f>
        <v>Me.TowerRedundantHipDiagonalUFactor4 = DBtoNullableDec(recRow.Item("TowerRedundantHipDiagonalUFactor4"),6)</v>
      </c>
      <c r="L164" s="11" t="str">
        <f t="shared" si="23"/>
        <v>insertString = insertString.AddtoDBString(Me.TowerRedundantHipDiagonalUFactor4.ToString)</v>
      </c>
      <c r="M164" s="11" t="str">
        <f t="shared" si="24"/>
        <v>Equals = If(Me.TowerRedundantHipDiagonalUFactor4.CheckChange(otherToCompare.TowerRedundantHipDiagonalUFactor4, changes, categoryName, "Tower Redundant Hip Diagonal U Factor 4"), Equals, False)</v>
      </c>
      <c r="N164" s="12" t="str">
        <f t="shared" si="25"/>
        <v xml:space="preserve"> 	Case tnxVar.Equals("TowerRedundantHipDiagonalUFactor4")
                            Try
                                Me.geometry.baseStructure(recIndex).TowerRedundantHipDiagonalUFactor4 = tnxValue
                            Catch ex As Exception
                                Debug.Print("Error parsing TNX variable: " &amp; tnxVar)
                            End Try</v>
      </c>
      <c r="O164" s="11" t="str">
        <f t="shared" si="26"/>
        <v>newERIList.Add("TowerRedundantHipDiagonalUFactor4=" &amp; Me.settings.USUnits.Properties.convertToERIUnits( .TowerRedundantHipDiagonalUFactor4))</v>
      </c>
      <c r="P164" s="11" t="str">
        <f t="shared" si="27"/>
        <v>SQLInsertValues = SQLInsertValues.AddtoDBString(Me.TowerRedundantHipDiagonalUFactor4.NullableToString.FormatDBValue)</v>
      </c>
      <c r="Q164" s="11" t="str">
        <f t="shared" si="28"/>
        <v>SQLInsertFields = SQLInsertFields.AddtoDBString("TowerRedundantHipDiagonalUFactor4")</v>
      </c>
      <c r="R164" s="11" t="str">
        <f t="shared" si="29"/>
        <v>SQLUpdateFieldsandValues = SQLUpdateFieldsandValues.AddtoDBString("TowerRedundantHipDiagonalUFactor4 = " &amp; Me.TowerRedundantHipDiagonalUFactor4.NullableToString.FormatDBValue)</v>
      </c>
      <c r="S164" s="10" t="s">
        <v>286</v>
      </c>
    </row>
    <row r="165" spans="1:19" ht="165" x14ac:dyDescent="0.25">
      <c r="A165" t="s">
        <v>2797</v>
      </c>
      <c r="B165" s="11" t="str" cm="1">
        <f t="array" ref="B165">Addspaces(A165)</f>
        <v>Tower Redundant Diagonal Type</v>
      </c>
      <c r="C165" s="15" t="s">
        <v>1224</v>
      </c>
      <c r="D165" s="13" t="str">
        <f>VLOOKUP(C165,Sheet8!A:C,2,FALSE)</f>
        <v>varchar</v>
      </c>
      <c r="E165" s="15">
        <v>100</v>
      </c>
      <c r="F165" s="13" t="str">
        <f>VLOOKUP(C165,Sheet8!A:C,3,FALSE)</f>
        <v>String</v>
      </c>
      <c r="G165" s="15"/>
      <c r="H165" s="11" t="str">
        <f t="shared" ref="H165:H168" si="30">"ADD " &amp; A165&amp;" "&amp;D165&amp;IF(E165="","","("&amp;E165&amp;")") &amp; ","</f>
        <v>ADD TowerRedundantDiagonalType varchar(100),</v>
      </c>
      <c r="I165" s="11" t="str">
        <f t="shared" ref="I165:I168" si="31">"Private _"&amp;A165&amp;" As "&amp;F165&amp;" "</f>
        <v xml:space="preserve">Private _TowerRedundantDiagonalType As String </v>
      </c>
      <c r="J165" s="12" t="str">
        <f t="shared" ref="J165:J168" si="32">"     		&lt;Category(""TNX Tower Record""), Description(""""), DisplayName("""&amp;B165&amp;""")&gt;
    		&lt;DataMember()&gt; Public Property "&amp;A165&amp;"() As "&amp;F165 &amp;IF(G165,"?","") &amp;"
        			Get
            				Return Me._"&amp;A165&amp;"
        			End Get
        			Set
            				Me._"&amp;A165&amp;" = Value
        			End Set
    		End Property"</f>
        <v xml:space="preserve">     		&lt;Category("TNX Tower Record"), Description(""), DisplayName("Tower Redundant Diagonal Type")&gt;
    		&lt;DataMember()&gt; Public Property TowerRedundantDiagonalType() As String
        			Get
            				Return Me._TowerRedundantDiagonalType
        			End Get
        			Set
            				Me._TowerRedundantDiagonalType = Value
        			End Set
    		End Property</v>
      </c>
      <c r="K165" s="11" t="str">
        <f>"Me."&amp;A165&amp; " = " &amp; VLOOKUP(C165,Sheet8!A:D,4,FALSE)&amp;"(recRow.Item("""&amp;A165 &amp;""")" &amp; IF(C165="Number",",6","")&amp;")"</f>
        <v>Me.TowerRedundantDiagonalType = DBtoStr(recRow.Item("TowerRedundantDiagonalType"))</v>
      </c>
      <c r="L165" s="11" t="str">
        <f t="shared" ref="L165:L168" si="33">"insertString = insertString.AddtoDBString(Me."&amp;A165&amp;".ToString)"</f>
        <v>insertString = insertString.AddtoDBString(Me.TowerRedundantDiagonalType.ToString)</v>
      </c>
      <c r="M165" s="11" t="str">
        <f t="shared" ref="M165:M168" si="34">"Equals = If(Me."&amp;A165&amp;".CheckChange(otherToCompare."&amp;A165&amp;", changes, categoryName, """&amp;B165&amp;"""), Equals, False)"</f>
        <v>Equals = If(Me.TowerRedundantDiagonalType.CheckChange(otherToCompare.TowerRedundantDiagonalType, changes, categoryName, "Tower Redundant Diagonal Type"), Equals, False)</v>
      </c>
      <c r="N165" s="12" t="str">
        <f t="shared" ref="N165:N168" si="35">" 	Case tnxVar.Equals("""&amp;A165&amp;""")
                            Try
                                Me.geometry.baseStructure(recIndex)."&amp;A165&amp;" = tnxValue
                            Catch ex As Exception
                                Debug.Print(""Error parsing TNX variable: "" &amp; tnxVar)
                            End Try"</f>
        <v xml:space="preserve"> 	Case tnxVar.Equals("TowerRedundantDiagonalType")
                            Try
                                Me.geometry.baseStructure(recIndex).TowerRedundantDiagonalType = tnxValue
                            Catch ex As Exception
                                Debug.Print("Error parsing TNX variable: " &amp; tnxVar)
                            End Try</v>
      </c>
      <c r="O165" s="11" t="str">
        <f t="shared" ref="O165:O168" si="36">"newERIList.Add("""&amp;A165&amp;"="" &amp; " &amp; IF(C165="Number","Me.settings.USUnits.Properties.convertToERIUnits(","") &amp; " ."&amp;A165&amp;")"&amp; IF(C165="Number",")","")</f>
        <v>newERIList.Add("TowerRedundantDiagonalType=" &amp;  .TowerRedundantDiagonalType)</v>
      </c>
      <c r="P165" s="11" t="str">
        <f t="shared" ref="P165:P168" si="37">"SQLInsertValues = SQLInsertValues.AddtoDBString(Me."&amp;A165&amp;".NullableToString.FormatDBValue)"</f>
        <v>SQLInsertValues = SQLInsertValues.AddtoDBString(Me.TowerRedundantDiagonalType.NullableToString.FormatDBValue)</v>
      </c>
      <c r="Q165" s="11" t="str">
        <f t="shared" ref="Q165:Q168" si="38">"SQLInsertFields = SQLInsertFields.AddtoDBString("""&amp;A165&amp;""")"</f>
        <v>SQLInsertFields = SQLInsertFields.AddtoDBString("TowerRedundantDiagonalType")</v>
      </c>
      <c r="R165" s="11" t="str">
        <f t="shared" ref="R165:R168" si="39">"SQLUpdateFieldsandValues = SQLUpdateFieldsandValues.AddtoDBString("""&amp;A165&amp;" = "" &amp; Me."&amp;A165&amp;".NullableToString.FormatDBValue)"</f>
        <v>SQLUpdateFieldsandValues = SQLUpdateFieldsandValues.AddtoDBString("TowerRedundantDiagonalType = " &amp; Me.TowerRedundantDiagonalType.NullableToString.FormatDBValue)</v>
      </c>
    </row>
    <row r="166" spans="1:19" ht="165" x14ac:dyDescent="0.25">
      <c r="A166" t="s">
        <v>2798</v>
      </c>
      <c r="B166" s="11" t="str" cm="1">
        <f t="array" ref="B166">Addspaces(A166)</f>
        <v>Tower Redundant Diagonal Type 2</v>
      </c>
      <c r="C166" s="15" t="s">
        <v>1224</v>
      </c>
      <c r="D166" s="13" t="str">
        <f>VLOOKUP(C166,Sheet8!A:C,2,FALSE)</f>
        <v>varchar</v>
      </c>
      <c r="E166" s="15">
        <v>100</v>
      </c>
      <c r="F166" s="13" t="str">
        <f>VLOOKUP(C166,Sheet8!A:C,3,FALSE)</f>
        <v>String</v>
      </c>
      <c r="G166" s="15"/>
      <c r="H166" s="11" t="str">
        <f t="shared" si="30"/>
        <v>ADD TowerRedundantDiagonalType2 varchar(100),</v>
      </c>
      <c r="I166" s="11" t="str">
        <f t="shared" si="31"/>
        <v xml:space="preserve">Private _TowerRedundantDiagonalType2 As String </v>
      </c>
      <c r="J166" s="12" t="str">
        <f t="shared" si="32"/>
        <v xml:space="preserve">     		&lt;Category("TNX Tower Record"), Description(""), DisplayName("Tower Redundant Diagonal Type 2")&gt;
    		&lt;DataMember()&gt; Public Property TowerRedundantDiagonalType2() As String
        			Get
            				Return Me._TowerRedundantDiagonalType2
        			End Get
        			Set
            				Me._TowerRedundantDiagonalType2 = Value
        			End Set
    		End Property</v>
      </c>
      <c r="K166" s="11" t="str">
        <f>"Me."&amp;A166&amp; " = " &amp; VLOOKUP(C166,Sheet8!A:D,4,FALSE)&amp;"(recRow.Item("""&amp;A166 &amp;""")" &amp; IF(C166="Number",",6","")&amp;")"</f>
        <v>Me.TowerRedundantDiagonalType2 = DBtoStr(recRow.Item("TowerRedundantDiagonalType2"))</v>
      </c>
      <c r="L166" s="11" t="str">
        <f t="shared" si="33"/>
        <v>insertString = insertString.AddtoDBString(Me.TowerRedundantDiagonalType2.ToString)</v>
      </c>
      <c r="M166" s="11" t="str">
        <f t="shared" si="34"/>
        <v>Equals = If(Me.TowerRedundantDiagonalType2.CheckChange(otherToCompare.TowerRedundantDiagonalType2, changes, categoryName, "Tower Redundant Diagonal Type 2"), Equals, False)</v>
      </c>
      <c r="N166" s="12" t="str">
        <f t="shared" si="35"/>
        <v xml:space="preserve"> 	Case tnxVar.Equals("TowerRedundantDiagonalType2")
                            Try
                                Me.geometry.baseStructure(recIndex).TowerRedundantDiagonalType2 = tnxValue
                            Catch ex As Exception
                                Debug.Print("Error parsing TNX variable: " &amp; tnxVar)
                            End Try</v>
      </c>
      <c r="O166" s="11" t="str">
        <f t="shared" si="36"/>
        <v>newERIList.Add("TowerRedundantDiagonalType2=" &amp;  .TowerRedundantDiagonalType2)</v>
      </c>
      <c r="P166" s="11" t="str">
        <f t="shared" si="37"/>
        <v>SQLInsertValues = SQLInsertValues.AddtoDBString(Me.TowerRedundantDiagonalType2.NullableToString.FormatDBValue)</v>
      </c>
      <c r="Q166" s="11" t="str">
        <f t="shared" si="38"/>
        <v>SQLInsertFields = SQLInsertFields.AddtoDBString("TowerRedundantDiagonalType2")</v>
      </c>
      <c r="R166" s="11" t="str">
        <f t="shared" si="39"/>
        <v>SQLUpdateFieldsandValues = SQLUpdateFieldsandValues.AddtoDBString("TowerRedundantDiagonalType2 = " &amp; Me.TowerRedundantDiagonalType2.NullableToString.FormatDBValue)</v>
      </c>
    </row>
    <row r="167" spans="1:19" ht="165" x14ac:dyDescent="0.25">
      <c r="A167" t="s">
        <v>2799</v>
      </c>
      <c r="B167" s="11" t="str" cm="1">
        <f t="array" ref="B167">Addspaces(A167)</f>
        <v>Tower Redundant Diagonal Type 3</v>
      </c>
      <c r="C167" s="15" t="s">
        <v>1224</v>
      </c>
      <c r="D167" s="13" t="str">
        <f>VLOOKUP(C167,Sheet8!A:C,2,FALSE)</f>
        <v>varchar</v>
      </c>
      <c r="E167" s="15">
        <v>100</v>
      </c>
      <c r="F167" s="13" t="str">
        <f>VLOOKUP(C167,Sheet8!A:C,3,FALSE)</f>
        <v>String</v>
      </c>
      <c r="G167" s="15"/>
      <c r="H167" s="11" t="str">
        <f t="shared" si="30"/>
        <v>ADD TowerRedundantDiagonalType3 varchar(100),</v>
      </c>
      <c r="I167" s="11" t="str">
        <f t="shared" si="31"/>
        <v xml:space="preserve">Private _TowerRedundantDiagonalType3 As String </v>
      </c>
      <c r="J167" s="12" t="str">
        <f t="shared" si="32"/>
        <v xml:space="preserve">     		&lt;Category("TNX Tower Record"), Description(""), DisplayName("Tower Redundant Diagonal Type 3")&gt;
    		&lt;DataMember()&gt; Public Property TowerRedundantDiagonalType3() As String
        			Get
            				Return Me._TowerRedundantDiagonalType3
        			End Get
        			Set
            				Me._TowerRedundantDiagonalType3 = Value
        			End Set
    		End Property</v>
      </c>
      <c r="K167" s="11" t="str">
        <f>"Me."&amp;A167&amp; " = " &amp; VLOOKUP(C167,Sheet8!A:D,4,FALSE)&amp;"(recRow.Item("""&amp;A167 &amp;""")" &amp; IF(C167="Number",",6","")&amp;")"</f>
        <v>Me.TowerRedundantDiagonalType3 = DBtoStr(recRow.Item("TowerRedundantDiagonalType3"))</v>
      </c>
      <c r="L167" s="11" t="str">
        <f t="shared" si="33"/>
        <v>insertString = insertString.AddtoDBString(Me.TowerRedundantDiagonalType3.ToString)</v>
      </c>
      <c r="M167" s="11" t="str">
        <f t="shared" si="34"/>
        <v>Equals = If(Me.TowerRedundantDiagonalType3.CheckChange(otherToCompare.TowerRedundantDiagonalType3, changes, categoryName, "Tower Redundant Diagonal Type 3"), Equals, False)</v>
      </c>
      <c r="N167" s="12" t="str">
        <f t="shared" si="35"/>
        <v xml:space="preserve"> 	Case tnxVar.Equals("TowerRedundantDiagonalType3")
                            Try
                                Me.geometry.baseStructure(recIndex).TowerRedundantDiagonalType3 = tnxValue
                            Catch ex As Exception
                                Debug.Print("Error parsing TNX variable: " &amp; tnxVar)
                            End Try</v>
      </c>
      <c r="O167" s="11" t="str">
        <f t="shared" si="36"/>
        <v>newERIList.Add("TowerRedundantDiagonalType3=" &amp;  .TowerRedundantDiagonalType3)</v>
      </c>
      <c r="P167" s="11" t="str">
        <f t="shared" si="37"/>
        <v>SQLInsertValues = SQLInsertValues.AddtoDBString(Me.TowerRedundantDiagonalType3.NullableToString.FormatDBValue)</v>
      </c>
      <c r="Q167" s="11" t="str">
        <f t="shared" si="38"/>
        <v>SQLInsertFields = SQLInsertFields.AddtoDBString("TowerRedundantDiagonalType3")</v>
      </c>
      <c r="R167" s="11" t="str">
        <f t="shared" si="39"/>
        <v>SQLUpdateFieldsandValues = SQLUpdateFieldsandValues.AddtoDBString("TowerRedundantDiagonalType3 = " &amp; Me.TowerRedundantDiagonalType3.NullableToString.FormatDBValue)</v>
      </c>
    </row>
    <row r="168" spans="1:19" ht="165" x14ac:dyDescent="0.25">
      <c r="A168" t="s">
        <v>2800</v>
      </c>
      <c r="B168" s="11" t="str" cm="1">
        <f t="array" ref="B168">Addspaces(A168)</f>
        <v>Tower Redundant Diagonal Type 4</v>
      </c>
      <c r="C168" s="15" t="s">
        <v>1224</v>
      </c>
      <c r="D168" s="13" t="str">
        <f>VLOOKUP(C168,Sheet8!A:C,2,FALSE)</f>
        <v>varchar</v>
      </c>
      <c r="E168" s="15">
        <v>100</v>
      </c>
      <c r="F168" s="13" t="str">
        <f>VLOOKUP(C168,Sheet8!A:C,3,FALSE)</f>
        <v>String</v>
      </c>
      <c r="G168" s="15"/>
      <c r="H168" s="11" t="str">
        <f t="shared" si="30"/>
        <v>ADD TowerRedundantDiagonalType4 varchar(100),</v>
      </c>
      <c r="I168" s="11" t="str">
        <f t="shared" si="31"/>
        <v xml:space="preserve">Private _TowerRedundantDiagonalType4 As String </v>
      </c>
      <c r="J168" s="12" t="str">
        <f t="shared" si="32"/>
        <v xml:space="preserve">     		&lt;Category("TNX Tower Record"), Description(""), DisplayName("Tower Redundant Diagonal Type 4")&gt;
    		&lt;DataMember()&gt; Public Property TowerRedundantDiagonalType4() As String
        			Get
            				Return Me._TowerRedundantDiagonalType4
        			End Get
        			Set
            				Me._TowerRedundantDiagonalType4 = Value
        			End Set
    		End Property</v>
      </c>
      <c r="K168" s="11" t="str">
        <f>"Me."&amp;A168&amp; " = " &amp; VLOOKUP(C168,Sheet8!A:D,4,FALSE)&amp;"(recRow.Item("""&amp;A168 &amp;""")" &amp; IF(C168="Number",",6","")&amp;")"</f>
        <v>Me.TowerRedundantDiagonalType4 = DBtoStr(recRow.Item("TowerRedundantDiagonalType4"))</v>
      </c>
      <c r="L168" s="11" t="str">
        <f t="shared" si="33"/>
        <v>insertString = insertString.AddtoDBString(Me.TowerRedundantDiagonalType4.ToString)</v>
      </c>
      <c r="M168" s="11" t="str">
        <f t="shared" si="34"/>
        <v>Equals = If(Me.TowerRedundantDiagonalType4.CheckChange(otherToCompare.TowerRedundantDiagonalType4, changes, categoryName, "Tower Redundant Diagonal Type 4"), Equals, False)</v>
      </c>
      <c r="N168" s="12" t="str">
        <f t="shared" si="35"/>
        <v xml:space="preserve"> 	Case tnxVar.Equals("TowerRedundantDiagonalType4")
                            Try
                                Me.geometry.baseStructure(recIndex).TowerRedundantDiagonalType4 = tnxValue
                            Catch ex As Exception
                                Debug.Print("Error parsing TNX variable: " &amp; tnxVar)
                            End Try</v>
      </c>
      <c r="O168" s="11" t="str">
        <f t="shared" si="36"/>
        <v>newERIList.Add("TowerRedundantDiagonalType4=" &amp;  .TowerRedundantDiagonalType4)</v>
      </c>
      <c r="P168" s="11" t="str">
        <f t="shared" si="37"/>
        <v>SQLInsertValues = SQLInsertValues.AddtoDBString(Me.TowerRedundantDiagonalType4.NullableToString.FormatDBValue)</v>
      </c>
      <c r="Q168" s="11" t="str">
        <f t="shared" si="38"/>
        <v>SQLInsertFields = SQLInsertFields.AddtoDBString("TowerRedundantDiagonalType4")</v>
      </c>
      <c r="R168" s="11" t="str">
        <f t="shared" si="39"/>
        <v>SQLUpdateFieldsandValues = SQLUpdateFieldsandValues.AddtoDBString("TowerRedundantDiagonalType4 = " &amp; Me.TowerRedundantDiagonalType4.NullableToString.FormatDBValue)</v>
      </c>
    </row>
    <row r="169" spans="1:19" x14ac:dyDescent="0.25">
      <c r="B169" s="11"/>
      <c r="C169" s="15"/>
      <c r="D169" s="13"/>
      <c r="E169" s="15"/>
      <c r="F169" s="13"/>
      <c r="G169" s="15"/>
      <c r="H169" s="11"/>
      <c r="I169" s="11"/>
      <c r="J169" s="12"/>
      <c r="K169" s="11"/>
      <c r="L169" s="11"/>
      <c r="M169" s="11"/>
      <c r="N169" s="12"/>
      <c r="O169" s="11"/>
      <c r="P169" s="11"/>
      <c r="Q169" s="11"/>
      <c r="R169" s="11"/>
    </row>
    <row r="170" spans="1:19" x14ac:dyDescent="0.25">
      <c r="B170" s="11"/>
      <c r="C170" s="15"/>
      <c r="D170" s="13"/>
      <c r="E170" s="15"/>
      <c r="F170" s="13"/>
      <c r="G170" s="15"/>
      <c r="H170" s="11"/>
      <c r="I170" s="11"/>
      <c r="J170" s="12"/>
      <c r="K170" s="11"/>
      <c r="L170" s="11"/>
      <c r="M170" s="11"/>
      <c r="N170" s="12"/>
      <c r="O170" s="11"/>
      <c r="P170" s="11"/>
      <c r="Q170" s="11"/>
      <c r="R170" s="11"/>
    </row>
    <row r="171" spans="1:19" x14ac:dyDescent="0.25">
      <c r="B171" s="11"/>
      <c r="C171" s="15"/>
      <c r="D171" s="13"/>
      <c r="E171" s="15"/>
      <c r="F171" s="13"/>
      <c r="G171" s="15"/>
      <c r="H171" s="11"/>
      <c r="I171" s="11"/>
      <c r="J171" s="12"/>
      <c r="K171" s="11"/>
      <c r="L171" s="11"/>
      <c r="M171" s="11"/>
      <c r="N171" s="12"/>
      <c r="O171" s="11"/>
      <c r="P171" s="11"/>
      <c r="Q171" s="11"/>
      <c r="R171" s="11"/>
    </row>
    <row r="172" spans="1:19" x14ac:dyDescent="0.25">
      <c r="B172" s="11"/>
      <c r="C172" s="15"/>
      <c r="D172" s="13"/>
      <c r="E172" s="15"/>
      <c r="F172" s="13"/>
      <c r="G172" s="15"/>
      <c r="H172" s="11"/>
      <c r="I172" s="11"/>
      <c r="J172" s="12"/>
      <c r="K172" s="11"/>
      <c r="L172" s="11"/>
      <c r="M172" s="11"/>
      <c r="N172" s="12"/>
      <c r="O172" s="11"/>
      <c r="P172" s="11"/>
      <c r="Q172" s="11"/>
      <c r="R172" s="11"/>
    </row>
    <row r="173" spans="1:19" x14ac:dyDescent="0.25">
      <c r="B173" s="11"/>
      <c r="C173" s="15"/>
      <c r="D173" s="13"/>
      <c r="E173" s="15"/>
      <c r="F173" s="13"/>
      <c r="G173" s="15"/>
      <c r="H173" s="11"/>
      <c r="I173" s="11"/>
      <c r="J173" s="12"/>
      <c r="K173" s="11"/>
      <c r="L173" s="11"/>
      <c r="M173" s="11"/>
      <c r="N173" s="12"/>
      <c r="O173" s="11"/>
      <c r="P173" s="11"/>
      <c r="Q173" s="11"/>
      <c r="R173" s="11"/>
    </row>
    <row r="174" spans="1:19" x14ac:dyDescent="0.25">
      <c r="B174" s="11"/>
      <c r="C174" s="15"/>
      <c r="D174" s="13"/>
      <c r="E174" s="15"/>
      <c r="F174" s="13"/>
      <c r="G174" s="15"/>
      <c r="H174" s="11"/>
      <c r="I174" s="11"/>
      <c r="J174" s="12"/>
      <c r="K174" s="11"/>
      <c r="L174" s="11"/>
      <c r="M174" s="11"/>
      <c r="N174" s="12"/>
      <c r="O174" s="11"/>
      <c r="P174" s="11"/>
      <c r="Q174" s="11"/>
      <c r="R174" s="11"/>
    </row>
    <row r="175" spans="1:19" x14ac:dyDescent="0.25">
      <c r="B175" s="11"/>
      <c r="C175" s="15"/>
      <c r="D175" s="13"/>
      <c r="E175" s="15"/>
      <c r="F175" s="13"/>
      <c r="G175" s="15"/>
      <c r="H175" s="11"/>
      <c r="I175" s="11"/>
      <c r="J175" s="12"/>
      <c r="K175" s="11"/>
      <c r="L175" s="11"/>
      <c r="M175" s="11"/>
      <c r="N175" s="12"/>
      <c r="O175" s="11"/>
      <c r="P175" s="11"/>
      <c r="Q175" s="11"/>
      <c r="R175" s="11"/>
    </row>
    <row r="176" spans="1:19" x14ac:dyDescent="0.25">
      <c r="B176" s="11"/>
      <c r="C176" s="15"/>
      <c r="D176" s="13"/>
      <c r="E176" s="15"/>
      <c r="F176" s="13"/>
      <c r="G176" s="15"/>
      <c r="H176" s="11"/>
      <c r="I176" s="11"/>
      <c r="J176" s="12"/>
      <c r="K176" s="11"/>
      <c r="L176" s="11"/>
      <c r="M176" s="11"/>
      <c r="N176" s="12"/>
      <c r="O176" s="11"/>
      <c r="P176" s="11"/>
      <c r="Q176" s="11"/>
      <c r="R176" s="11"/>
    </row>
    <row r="177" spans="2:18" x14ac:dyDescent="0.25">
      <c r="B177" s="11"/>
      <c r="C177" s="15"/>
      <c r="D177" s="13"/>
      <c r="E177" s="15"/>
      <c r="F177" s="13"/>
      <c r="G177" s="15"/>
      <c r="H177" s="11"/>
      <c r="I177" s="11"/>
      <c r="J177" s="12"/>
      <c r="K177" s="11"/>
      <c r="L177" s="11"/>
      <c r="M177" s="11"/>
      <c r="N177" s="12"/>
      <c r="O177" s="11"/>
      <c r="P177" s="11"/>
      <c r="Q177" s="11"/>
      <c r="R177" s="11"/>
    </row>
    <row r="178" spans="2:18" x14ac:dyDescent="0.25">
      <c r="B178" s="11"/>
      <c r="C178" s="15"/>
      <c r="D178" s="13"/>
      <c r="E178" s="15"/>
      <c r="F178" s="13"/>
      <c r="G178" s="15"/>
      <c r="H178" s="11"/>
      <c r="I178" s="11"/>
      <c r="J178" s="12"/>
      <c r="K178" s="11"/>
      <c r="L178" s="11"/>
      <c r="M178" s="11"/>
      <c r="N178" s="12"/>
      <c r="O178" s="11"/>
      <c r="P178" s="11"/>
      <c r="Q178" s="11"/>
      <c r="R178" s="11"/>
    </row>
    <row r="179" spans="2:18" x14ac:dyDescent="0.25">
      <c r="B179" s="11"/>
      <c r="C179" s="15"/>
      <c r="D179" s="13"/>
      <c r="E179" s="15"/>
      <c r="F179" s="13"/>
      <c r="G179" s="15"/>
      <c r="H179" s="11"/>
      <c r="I179" s="11"/>
      <c r="J179" s="12"/>
      <c r="K179" s="11"/>
      <c r="L179" s="11"/>
      <c r="M179" s="11"/>
      <c r="N179" s="12"/>
      <c r="O179" s="11"/>
      <c r="P179" s="11"/>
      <c r="Q179" s="11"/>
      <c r="R179" s="11"/>
    </row>
    <row r="180" spans="2:18" x14ac:dyDescent="0.25">
      <c r="B180" s="11"/>
      <c r="C180" s="15"/>
      <c r="D180" s="13"/>
      <c r="E180" s="15"/>
      <c r="F180" s="13"/>
      <c r="G180" s="15"/>
      <c r="H180" s="11"/>
      <c r="I180" s="11"/>
      <c r="J180" s="12"/>
      <c r="K180" s="11"/>
      <c r="L180" s="11"/>
      <c r="M180" s="11"/>
      <c r="N180" s="12"/>
      <c r="O180" s="11"/>
      <c r="P180" s="11"/>
      <c r="Q180" s="11"/>
      <c r="R180" s="11"/>
    </row>
    <row r="181" spans="2:18" x14ac:dyDescent="0.25">
      <c r="B181" s="11"/>
      <c r="C181" s="15"/>
      <c r="D181" s="13"/>
      <c r="E181" s="15"/>
      <c r="F181" s="13"/>
      <c r="G181" s="15"/>
      <c r="H181" s="11"/>
      <c r="I181" s="11"/>
      <c r="J181" s="12"/>
      <c r="K181" s="11"/>
      <c r="L181" s="11"/>
      <c r="M181" s="11"/>
      <c r="N181" s="12"/>
      <c r="O181" s="11"/>
      <c r="P181" s="11"/>
      <c r="Q181" s="11"/>
      <c r="R181" s="11"/>
    </row>
    <row r="182" spans="2:18" x14ac:dyDescent="0.25">
      <c r="B182" s="11"/>
      <c r="C182" s="15"/>
      <c r="D182" s="13"/>
      <c r="E182" s="15"/>
      <c r="F182" s="13"/>
      <c r="G182" s="15"/>
      <c r="H182" s="11"/>
      <c r="I182" s="11"/>
      <c r="J182" s="12"/>
      <c r="K182" s="11"/>
      <c r="L182" s="11"/>
      <c r="M182" s="11"/>
      <c r="N182" s="12"/>
      <c r="O182" s="11"/>
      <c r="P182" s="11"/>
      <c r="Q182" s="11"/>
      <c r="R182" s="11"/>
    </row>
    <row r="183" spans="2:18" x14ac:dyDescent="0.25">
      <c r="B183" s="11"/>
      <c r="C183" s="15"/>
      <c r="D183" s="13"/>
      <c r="E183" s="15"/>
      <c r="F183" s="13"/>
      <c r="G183" s="15"/>
      <c r="H183" s="11"/>
      <c r="I183" s="11"/>
      <c r="J183" s="12"/>
      <c r="K183" s="11"/>
      <c r="L183" s="11"/>
      <c r="M183" s="11"/>
      <c r="N183" s="12"/>
      <c r="O183" s="11"/>
      <c r="P183" s="11"/>
      <c r="Q183" s="11"/>
      <c r="R183" s="11"/>
    </row>
    <row r="184" spans="2:18" x14ac:dyDescent="0.25">
      <c r="B184" s="11"/>
      <c r="C184" s="15"/>
      <c r="D184" s="13"/>
      <c r="E184" s="15"/>
      <c r="F184" s="13"/>
      <c r="G184" s="15"/>
      <c r="H184" s="11"/>
      <c r="I184" s="11"/>
      <c r="J184" s="12"/>
      <c r="K184" s="11"/>
      <c r="L184" s="11"/>
      <c r="M184" s="11"/>
      <c r="N184" s="12"/>
      <c r="O184" s="11"/>
      <c r="P184" s="11"/>
      <c r="Q184" s="11"/>
      <c r="R184" s="11"/>
    </row>
    <row r="185" spans="2:18" x14ac:dyDescent="0.25">
      <c r="B185" s="11"/>
      <c r="C185" s="15"/>
      <c r="D185" s="13"/>
      <c r="E185" s="15"/>
      <c r="F185" s="13"/>
      <c r="G185" s="15"/>
      <c r="H185" s="11"/>
      <c r="I185" s="11"/>
      <c r="J185" s="12"/>
      <c r="K185" s="11"/>
      <c r="L185" s="11"/>
      <c r="M185" s="11"/>
      <c r="N185" s="12"/>
      <c r="O185" s="11"/>
      <c r="P185" s="11"/>
      <c r="Q185" s="11"/>
      <c r="R185" s="11"/>
    </row>
    <row r="186" spans="2:18" x14ac:dyDescent="0.25">
      <c r="B186" s="11"/>
      <c r="C186" s="15"/>
      <c r="D186" s="13"/>
      <c r="E186" s="15"/>
      <c r="F186" s="13"/>
      <c r="G186" s="15"/>
      <c r="H186" s="11"/>
      <c r="I186" s="11"/>
      <c r="J186" s="12"/>
      <c r="K186" s="11"/>
      <c r="L186" s="11"/>
      <c r="M186" s="11"/>
      <c r="N186" s="12"/>
      <c r="O186" s="11"/>
      <c r="P186" s="11"/>
      <c r="Q186" s="11"/>
      <c r="R186" s="11"/>
    </row>
    <row r="187" spans="2:18" x14ac:dyDescent="0.25">
      <c r="B187" s="11"/>
      <c r="C187" s="15"/>
      <c r="D187" s="13"/>
      <c r="E187" s="15"/>
      <c r="F187" s="13"/>
      <c r="G187" s="15"/>
      <c r="H187" s="11"/>
      <c r="I187" s="11"/>
      <c r="J187" s="12"/>
      <c r="K187" s="11"/>
      <c r="L187" s="11"/>
      <c r="M187" s="11"/>
      <c r="N187" s="12"/>
      <c r="O187" s="11"/>
      <c r="P187" s="11"/>
      <c r="Q187" s="11"/>
      <c r="R187" s="11"/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115E2-B9C4-4D30-99C8-8CE6724D7131}">
  <sheetPr codeName="Sheet10" filterMode="1"/>
  <dimension ref="A1:M1700"/>
  <sheetViews>
    <sheetView tabSelected="1" workbookViewId="0">
      <selection activeCell="R1442" sqref="R1442"/>
    </sheetView>
  </sheetViews>
  <sheetFormatPr defaultRowHeight="15" x14ac:dyDescent="0.25"/>
  <cols>
    <col min="1" max="1" width="24" bestFit="1" customWidth="1"/>
    <col min="2" max="2" width="48.28515625" bestFit="1" customWidth="1"/>
    <col min="12" max="12" width="48.5703125" customWidth="1"/>
  </cols>
  <sheetData>
    <row r="1" spans="1:13" x14ac:dyDescent="0.25">
      <c r="A1" t="s">
        <v>3018</v>
      </c>
      <c r="B1" t="s">
        <v>722</v>
      </c>
      <c r="L1" t="s">
        <v>3024</v>
      </c>
      <c r="M1" t="s">
        <v>3019</v>
      </c>
    </row>
    <row r="2" spans="1:13" hidden="1" x14ac:dyDescent="0.25">
      <c r="A2" s="16" t="s">
        <v>2097</v>
      </c>
      <c r="B2" s="16" t="s">
        <v>288</v>
      </c>
      <c r="C2">
        <f>MATCH(B2,L:L,0)</f>
        <v>604</v>
      </c>
      <c r="L2" t="s">
        <v>2340</v>
      </c>
      <c r="M2">
        <f>MATCH(L2,B:B,0)</f>
        <v>755</v>
      </c>
    </row>
    <row r="3" spans="1:13" hidden="1" x14ac:dyDescent="0.25">
      <c r="A3" s="16" t="s">
        <v>2097</v>
      </c>
      <c r="B3" s="16" t="s">
        <v>289</v>
      </c>
      <c r="C3">
        <f t="shared" ref="C3:C66" si="0">MATCH(B3,L:L,0)</f>
        <v>605</v>
      </c>
      <c r="L3" t="s">
        <v>2341</v>
      </c>
      <c r="M3">
        <f t="shared" ref="M3:M66" si="1">MATCH(L3,B:B,0)</f>
        <v>756</v>
      </c>
    </row>
    <row r="4" spans="1:13" hidden="1" x14ac:dyDescent="0.25">
      <c r="A4" s="16" t="s">
        <v>2097</v>
      </c>
      <c r="B4" s="16" t="s">
        <v>290</v>
      </c>
      <c r="C4">
        <f t="shared" si="0"/>
        <v>606</v>
      </c>
      <c r="L4" t="s">
        <v>2342</v>
      </c>
      <c r="M4">
        <f t="shared" si="1"/>
        <v>757</v>
      </c>
    </row>
    <row r="5" spans="1:13" hidden="1" x14ac:dyDescent="0.25">
      <c r="A5" s="16" t="s">
        <v>2097</v>
      </c>
      <c r="B5" s="16" t="s">
        <v>291</v>
      </c>
      <c r="C5">
        <f t="shared" si="0"/>
        <v>607</v>
      </c>
      <c r="L5" t="s">
        <v>2343</v>
      </c>
      <c r="M5">
        <f t="shared" si="1"/>
        <v>758</v>
      </c>
    </row>
    <row r="6" spans="1:13" hidden="1" x14ac:dyDescent="0.25">
      <c r="A6" s="16" t="s">
        <v>2097</v>
      </c>
      <c r="B6" s="16" t="s">
        <v>292</v>
      </c>
      <c r="C6">
        <f t="shared" si="0"/>
        <v>608</v>
      </c>
      <c r="L6" t="s">
        <v>2344</v>
      </c>
      <c r="M6">
        <f t="shared" si="1"/>
        <v>759</v>
      </c>
    </row>
    <row r="7" spans="1:13" hidden="1" x14ac:dyDescent="0.25">
      <c r="A7" s="16" t="s">
        <v>2097</v>
      </c>
      <c r="B7" s="16" t="s">
        <v>293</v>
      </c>
      <c r="C7">
        <f t="shared" si="0"/>
        <v>609</v>
      </c>
      <c r="L7" t="s">
        <v>2345</v>
      </c>
      <c r="M7">
        <f t="shared" si="1"/>
        <v>760</v>
      </c>
    </row>
    <row r="8" spans="1:13" hidden="1" x14ac:dyDescent="0.25">
      <c r="A8" s="16" t="s">
        <v>2097</v>
      </c>
      <c r="B8" s="16" t="s">
        <v>294</v>
      </c>
      <c r="C8">
        <f t="shared" si="0"/>
        <v>610</v>
      </c>
      <c r="L8" t="s">
        <v>2346</v>
      </c>
      <c r="M8">
        <f t="shared" si="1"/>
        <v>761</v>
      </c>
    </row>
    <row r="9" spans="1:13" hidden="1" x14ac:dyDescent="0.25">
      <c r="A9" s="16" t="s">
        <v>2097</v>
      </c>
      <c r="B9" s="16" t="s">
        <v>295</v>
      </c>
      <c r="C9">
        <f t="shared" si="0"/>
        <v>611</v>
      </c>
      <c r="L9" t="s">
        <v>2347</v>
      </c>
      <c r="M9">
        <f t="shared" si="1"/>
        <v>762</v>
      </c>
    </row>
    <row r="10" spans="1:13" hidden="1" x14ac:dyDescent="0.25">
      <c r="A10" s="16" t="s">
        <v>2097</v>
      </c>
      <c r="B10" s="16" t="s">
        <v>296</v>
      </c>
      <c r="C10">
        <f t="shared" si="0"/>
        <v>612</v>
      </c>
      <c r="L10" t="s">
        <v>2348</v>
      </c>
      <c r="M10">
        <f t="shared" si="1"/>
        <v>763</v>
      </c>
    </row>
    <row r="11" spans="1:13" hidden="1" x14ac:dyDescent="0.25">
      <c r="A11" s="16" t="s">
        <v>2097</v>
      </c>
      <c r="B11" s="16" t="s">
        <v>297</v>
      </c>
      <c r="C11">
        <f t="shared" si="0"/>
        <v>613</v>
      </c>
      <c r="L11" t="s">
        <v>2349</v>
      </c>
      <c r="M11">
        <f t="shared" si="1"/>
        <v>764</v>
      </c>
    </row>
    <row r="12" spans="1:13" hidden="1" x14ac:dyDescent="0.25">
      <c r="A12" s="16" t="s">
        <v>2097</v>
      </c>
      <c r="B12" s="16" t="s">
        <v>299</v>
      </c>
      <c r="C12">
        <f t="shared" si="0"/>
        <v>614</v>
      </c>
      <c r="L12" t="s">
        <v>2350</v>
      </c>
      <c r="M12">
        <f t="shared" si="1"/>
        <v>765</v>
      </c>
    </row>
    <row r="13" spans="1:13" hidden="1" x14ac:dyDescent="0.25">
      <c r="A13" s="16" t="s">
        <v>2097</v>
      </c>
      <c r="B13" s="16" t="s">
        <v>300</v>
      </c>
      <c r="C13">
        <f t="shared" si="0"/>
        <v>615</v>
      </c>
      <c r="L13" t="s">
        <v>2351</v>
      </c>
      <c r="M13">
        <f t="shared" si="1"/>
        <v>766</v>
      </c>
    </row>
    <row r="14" spans="1:13" hidden="1" x14ac:dyDescent="0.25">
      <c r="A14" s="16" t="s">
        <v>2097</v>
      </c>
      <c r="B14" s="16" t="s">
        <v>301</v>
      </c>
      <c r="C14">
        <f t="shared" si="0"/>
        <v>616</v>
      </c>
      <c r="L14" t="s">
        <v>2352</v>
      </c>
      <c r="M14">
        <f t="shared" si="1"/>
        <v>767</v>
      </c>
    </row>
    <row r="15" spans="1:13" hidden="1" x14ac:dyDescent="0.25">
      <c r="A15" s="16" t="s">
        <v>2097</v>
      </c>
      <c r="B15" s="16" t="s">
        <v>302</v>
      </c>
      <c r="C15">
        <f t="shared" si="0"/>
        <v>617</v>
      </c>
      <c r="L15" t="s">
        <v>2353</v>
      </c>
      <c r="M15">
        <f t="shared" si="1"/>
        <v>768</v>
      </c>
    </row>
    <row r="16" spans="1:13" hidden="1" x14ac:dyDescent="0.25">
      <c r="A16" s="16" t="s">
        <v>2097</v>
      </c>
      <c r="B16" s="16" t="s">
        <v>304</v>
      </c>
      <c r="C16">
        <f t="shared" si="0"/>
        <v>618</v>
      </c>
      <c r="L16" t="s">
        <v>2354</v>
      </c>
      <c r="M16">
        <f t="shared" si="1"/>
        <v>769</v>
      </c>
    </row>
    <row r="17" spans="1:13" hidden="1" x14ac:dyDescent="0.25">
      <c r="A17" s="16" t="s">
        <v>2097</v>
      </c>
      <c r="B17" s="16" t="s">
        <v>306</v>
      </c>
      <c r="C17">
        <f t="shared" si="0"/>
        <v>619</v>
      </c>
      <c r="L17" t="s">
        <v>2355</v>
      </c>
      <c r="M17">
        <f t="shared" si="1"/>
        <v>770</v>
      </c>
    </row>
    <row r="18" spans="1:13" hidden="1" x14ac:dyDescent="0.25">
      <c r="A18" s="16" t="s">
        <v>2097</v>
      </c>
      <c r="B18" s="16" t="s">
        <v>308</v>
      </c>
      <c r="C18">
        <f t="shared" si="0"/>
        <v>620</v>
      </c>
      <c r="L18" t="s">
        <v>2356</v>
      </c>
      <c r="M18">
        <f t="shared" si="1"/>
        <v>771</v>
      </c>
    </row>
    <row r="19" spans="1:13" hidden="1" x14ac:dyDescent="0.25">
      <c r="A19" s="16" t="s">
        <v>2097</v>
      </c>
      <c r="B19" s="16" t="s">
        <v>310</v>
      </c>
      <c r="C19">
        <f t="shared" si="0"/>
        <v>621</v>
      </c>
      <c r="L19" t="s">
        <v>2357</v>
      </c>
      <c r="M19">
        <f t="shared" si="1"/>
        <v>772</v>
      </c>
    </row>
    <row r="20" spans="1:13" hidden="1" x14ac:dyDescent="0.25">
      <c r="A20" s="16" t="s">
        <v>2097</v>
      </c>
      <c r="B20" s="16" t="s">
        <v>311</v>
      </c>
      <c r="C20">
        <f t="shared" si="0"/>
        <v>622</v>
      </c>
      <c r="L20" t="s">
        <v>2358</v>
      </c>
      <c r="M20">
        <f t="shared" si="1"/>
        <v>773</v>
      </c>
    </row>
    <row r="21" spans="1:13" hidden="1" x14ac:dyDescent="0.25">
      <c r="A21" s="16" t="s">
        <v>2097</v>
      </c>
      <c r="B21" s="16" t="s">
        <v>313</v>
      </c>
      <c r="C21">
        <f t="shared" si="0"/>
        <v>623</v>
      </c>
      <c r="L21" t="s">
        <v>2359</v>
      </c>
      <c r="M21">
        <f t="shared" si="1"/>
        <v>774</v>
      </c>
    </row>
    <row r="22" spans="1:13" hidden="1" x14ac:dyDescent="0.25">
      <c r="A22" s="16" t="s">
        <v>2097</v>
      </c>
      <c r="B22" s="16" t="s">
        <v>314</v>
      </c>
      <c r="C22">
        <f t="shared" si="0"/>
        <v>624</v>
      </c>
      <c r="L22" t="s">
        <v>2360</v>
      </c>
      <c r="M22">
        <f t="shared" si="1"/>
        <v>775</v>
      </c>
    </row>
    <row r="23" spans="1:13" hidden="1" x14ac:dyDescent="0.25">
      <c r="A23" s="16" t="s">
        <v>2097</v>
      </c>
      <c r="B23" s="16" t="s">
        <v>316</v>
      </c>
      <c r="C23">
        <f t="shared" si="0"/>
        <v>625</v>
      </c>
      <c r="L23" t="s">
        <v>2361</v>
      </c>
      <c r="M23">
        <f t="shared" si="1"/>
        <v>776</v>
      </c>
    </row>
    <row r="24" spans="1:13" hidden="1" x14ac:dyDescent="0.25">
      <c r="A24" s="16" t="s">
        <v>2097</v>
      </c>
      <c r="B24" s="16" t="s">
        <v>317</v>
      </c>
      <c r="C24">
        <f t="shared" si="0"/>
        <v>626</v>
      </c>
      <c r="L24" t="s">
        <v>2362</v>
      </c>
      <c r="M24">
        <f t="shared" si="1"/>
        <v>777</v>
      </c>
    </row>
    <row r="25" spans="1:13" hidden="1" x14ac:dyDescent="0.25">
      <c r="A25" s="16" t="s">
        <v>2097</v>
      </c>
      <c r="B25" s="16" t="s">
        <v>318</v>
      </c>
      <c r="C25">
        <f t="shared" si="0"/>
        <v>627</v>
      </c>
      <c r="L25" t="s">
        <v>2363</v>
      </c>
      <c r="M25">
        <f t="shared" si="1"/>
        <v>778</v>
      </c>
    </row>
    <row r="26" spans="1:13" hidden="1" x14ac:dyDescent="0.25">
      <c r="A26" s="16" t="s">
        <v>2097</v>
      </c>
      <c r="B26" s="16" t="s">
        <v>319</v>
      </c>
      <c r="C26">
        <f t="shared" si="0"/>
        <v>628</v>
      </c>
      <c r="L26" t="s">
        <v>2364</v>
      </c>
      <c r="M26">
        <f t="shared" si="1"/>
        <v>779</v>
      </c>
    </row>
    <row r="27" spans="1:13" hidden="1" x14ac:dyDescent="0.25">
      <c r="A27" s="16" t="s">
        <v>2097</v>
      </c>
      <c r="B27" s="16" t="s">
        <v>321</v>
      </c>
      <c r="C27">
        <f t="shared" si="0"/>
        <v>629</v>
      </c>
      <c r="L27" t="s">
        <v>2365</v>
      </c>
      <c r="M27">
        <f t="shared" si="1"/>
        <v>780</v>
      </c>
    </row>
    <row r="28" spans="1:13" hidden="1" x14ac:dyDescent="0.25">
      <c r="A28" s="16" t="s">
        <v>2097</v>
      </c>
      <c r="B28" s="16" t="s">
        <v>322</v>
      </c>
      <c r="C28">
        <f t="shared" si="0"/>
        <v>630</v>
      </c>
      <c r="L28" t="s">
        <v>2366</v>
      </c>
      <c r="M28">
        <f t="shared" si="1"/>
        <v>781</v>
      </c>
    </row>
    <row r="29" spans="1:13" hidden="1" x14ac:dyDescent="0.25">
      <c r="A29" s="16" t="s">
        <v>2097</v>
      </c>
      <c r="B29" s="16" t="s">
        <v>323</v>
      </c>
      <c r="C29">
        <f t="shared" si="0"/>
        <v>631</v>
      </c>
      <c r="L29" t="s">
        <v>2367</v>
      </c>
      <c r="M29">
        <f t="shared" si="1"/>
        <v>782</v>
      </c>
    </row>
    <row r="30" spans="1:13" hidden="1" x14ac:dyDescent="0.25">
      <c r="A30" s="16" t="s">
        <v>2097</v>
      </c>
      <c r="B30" s="16" t="s">
        <v>324</v>
      </c>
      <c r="C30">
        <f t="shared" si="0"/>
        <v>632</v>
      </c>
      <c r="L30" t="s">
        <v>2368</v>
      </c>
      <c r="M30">
        <f t="shared" si="1"/>
        <v>783</v>
      </c>
    </row>
    <row r="31" spans="1:13" hidden="1" x14ac:dyDescent="0.25">
      <c r="A31" s="16" t="s">
        <v>2097</v>
      </c>
      <c r="B31" s="16" t="s">
        <v>325</v>
      </c>
      <c r="C31">
        <f t="shared" si="0"/>
        <v>633</v>
      </c>
      <c r="L31" t="s">
        <v>2369</v>
      </c>
      <c r="M31">
        <f t="shared" si="1"/>
        <v>784</v>
      </c>
    </row>
    <row r="32" spans="1:13" hidden="1" x14ac:dyDescent="0.25">
      <c r="A32" s="16" t="s">
        <v>2097</v>
      </c>
      <c r="B32" s="16" t="s">
        <v>326</v>
      </c>
      <c r="C32">
        <f t="shared" si="0"/>
        <v>634</v>
      </c>
      <c r="L32" t="s">
        <v>2370</v>
      </c>
      <c r="M32">
        <f t="shared" si="1"/>
        <v>785</v>
      </c>
    </row>
    <row r="33" spans="1:13" hidden="1" x14ac:dyDescent="0.25">
      <c r="A33" s="16" t="s">
        <v>2097</v>
      </c>
      <c r="B33" s="16" t="s">
        <v>327</v>
      </c>
      <c r="C33">
        <f t="shared" si="0"/>
        <v>635</v>
      </c>
      <c r="L33" t="s">
        <v>2371</v>
      </c>
      <c r="M33">
        <f t="shared" si="1"/>
        <v>786</v>
      </c>
    </row>
    <row r="34" spans="1:13" hidden="1" x14ac:dyDescent="0.25">
      <c r="A34" s="16" t="s">
        <v>2097</v>
      </c>
      <c r="B34" s="16" t="s">
        <v>328</v>
      </c>
      <c r="C34">
        <f t="shared" si="0"/>
        <v>636</v>
      </c>
      <c r="L34" t="s">
        <v>2372</v>
      </c>
      <c r="M34">
        <f t="shared" si="1"/>
        <v>787</v>
      </c>
    </row>
    <row r="35" spans="1:13" x14ac:dyDescent="0.25">
      <c r="A35" s="16" t="s">
        <v>2097</v>
      </c>
      <c r="B35" s="16" t="s">
        <v>329</v>
      </c>
      <c r="C35">
        <f t="shared" si="0"/>
        <v>637</v>
      </c>
      <c r="L35" s="17" t="s">
        <v>2771</v>
      </c>
      <c r="M35" t="e">
        <f t="shared" si="1"/>
        <v>#N/A</v>
      </c>
    </row>
    <row r="36" spans="1:13" hidden="1" x14ac:dyDescent="0.25">
      <c r="A36" s="16" t="s">
        <v>2097</v>
      </c>
      <c r="B36" s="16" t="s">
        <v>330</v>
      </c>
      <c r="C36">
        <f t="shared" si="0"/>
        <v>638</v>
      </c>
      <c r="L36" t="s">
        <v>2383</v>
      </c>
      <c r="M36">
        <f t="shared" si="1"/>
        <v>798</v>
      </c>
    </row>
    <row r="37" spans="1:13" x14ac:dyDescent="0.25">
      <c r="A37" s="16" t="s">
        <v>2097</v>
      </c>
      <c r="B37" s="16" t="s">
        <v>332</v>
      </c>
      <c r="C37">
        <f t="shared" si="0"/>
        <v>639</v>
      </c>
      <c r="L37" s="17" t="s">
        <v>2772</v>
      </c>
      <c r="M37" t="e">
        <f t="shared" si="1"/>
        <v>#N/A</v>
      </c>
    </row>
    <row r="38" spans="1:13" x14ac:dyDescent="0.25">
      <c r="A38" s="16" t="s">
        <v>2097</v>
      </c>
      <c r="B38" s="16" t="s">
        <v>333</v>
      </c>
      <c r="C38">
        <f t="shared" si="0"/>
        <v>640</v>
      </c>
      <c r="L38" s="17" t="s">
        <v>2773</v>
      </c>
      <c r="M38" t="e">
        <f t="shared" si="1"/>
        <v>#N/A</v>
      </c>
    </row>
    <row r="39" spans="1:13" x14ac:dyDescent="0.25">
      <c r="A39" s="16" t="s">
        <v>2097</v>
      </c>
      <c r="B39" s="16" t="s">
        <v>335</v>
      </c>
      <c r="C39">
        <f t="shared" si="0"/>
        <v>641</v>
      </c>
      <c r="L39" s="17" t="s">
        <v>2774</v>
      </c>
      <c r="M39" t="e">
        <f t="shared" si="1"/>
        <v>#N/A</v>
      </c>
    </row>
    <row r="40" spans="1:13" x14ac:dyDescent="0.25">
      <c r="A40" s="16" t="s">
        <v>2097</v>
      </c>
      <c r="B40" s="16" t="s">
        <v>337</v>
      </c>
      <c r="C40">
        <f t="shared" si="0"/>
        <v>642</v>
      </c>
      <c r="L40" s="17" t="s">
        <v>2775</v>
      </c>
      <c r="M40" t="e">
        <f t="shared" si="1"/>
        <v>#N/A</v>
      </c>
    </row>
    <row r="41" spans="1:13" x14ac:dyDescent="0.25">
      <c r="A41" s="16" t="s">
        <v>2097</v>
      </c>
      <c r="B41" s="16" t="s">
        <v>338</v>
      </c>
      <c r="C41">
        <f t="shared" si="0"/>
        <v>643</v>
      </c>
      <c r="L41" s="17" t="s">
        <v>2776</v>
      </c>
      <c r="M41" t="e">
        <f t="shared" si="1"/>
        <v>#N/A</v>
      </c>
    </row>
    <row r="42" spans="1:13" hidden="1" x14ac:dyDescent="0.25">
      <c r="A42" s="16" t="s">
        <v>2097</v>
      </c>
      <c r="B42" s="16" t="s">
        <v>339</v>
      </c>
      <c r="C42">
        <f t="shared" si="0"/>
        <v>644</v>
      </c>
      <c r="L42" t="s">
        <v>2384</v>
      </c>
      <c r="M42">
        <f t="shared" si="1"/>
        <v>799</v>
      </c>
    </row>
    <row r="43" spans="1:13" hidden="1" x14ac:dyDescent="0.25">
      <c r="A43" s="16" t="s">
        <v>2097</v>
      </c>
      <c r="B43" s="16" t="s">
        <v>340</v>
      </c>
      <c r="C43">
        <f t="shared" si="0"/>
        <v>645</v>
      </c>
      <c r="L43" t="s">
        <v>2385</v>
      </c>
      <c r="M43">
        <f t="shared" si="1"/>
        <v>800</v>
      </c>
    </row>
    <row r="44" spans="1:13" hidden="1" x14ac:dyDescent="0.25">
      <c r="A44" s="16" t="s">
        <v>2097</v>
      </c>
      <c r="B44" s="16" t="s">
        <v>341</v>
      </c>
      <c r="C44">
        <f t="shared" si="0"/>
        <v>646</v>
      </c>
      <c r="L44" t="s">
        <v>2386</v>
      </c>
      <c r="M44">
        <f t="shared" si="1"/>
        <v>801</v>
      </c>
    </row>
    <row r="45" spans="1:13" hidden="1" x14ac:dyDescent="0.25">
      <c r="A45" s="16" t="s">
        <v>2097</v>
      </c>
      <c r="B45" s="16" t="s">
        <v>343</v>
      </c>
      <c r="C45">
        <f t="shared" si="0"/>
        <v>647</v>
      </c>
      <c r="L45" t="s">
        <v>2387</v>
      </c>
      <c r="M45">
        <f t="shared" si="1"/>
        <v>802</v>
      </c>
    </row>
    <row r="46" spans="1:13" hidden="1" x14ac:dyDescent="0.25">
      <c r="A46" s="16" t="s">
        <v>2097</v>
      </c>
      <c r="B46" s="16" t="s">
        <v>344</v>
      </c>
      <c r="C46">
        <f t="shared" si="0"/>
        <v>648</v>
      </c>
      <c r="L46" t="s">
        <v>2388</v>
      </c>
      <c r="M46">
        <f t="shared" si="1"/>
        <v>803</v>
      </c>
    </row>
    <row r="47" spans="1:13" hidden="1" x14ac:dyDescent="0.25">
      <c r="A47" s="16" t="s">
        <v>2097</v>
      </c>
      <c r="B47" s="16" t="s">
        <v>345</v>
      </c>
      <c r="C47">
        <f t="shared" si="0"/>
        <v>649</v>
      </c>
      <c r="L47" t="s">
        <v>2389</v>
      </c>
      <c r="M47">
        <f t="shared" si="1"/>
        <v>804</v>
      </c>
    </row>
    <row r="48" spans="1:13" hidden="1" x14ac:dyDescent="0.25">
      <c r="A48" s="16" t="s">
        <v>2097</v>
      </c>
      <c r="B48" s="16" t="s">
        <v>347</v>
      </c>
      <c r="C48">
        <f t="shared" si="0"/>
        <v>650</v>
      </c>
      <c r="L48" t="s">
        <v>2390</v>
      </c>
      <c r="M48">
        <f t="shared" si="1"/>
        <v>805</v>
      </c>
    </row>
    <row r="49" spans="1:13" hidden="1" x14ac:dyDescent="0.25">
      <c r="A49" s="16" t="s">
        <v>2097</v>
      </c>
      <c r="B49" s="16" t="s">
        <v>348</v>
      </c>
      <c r="C49">
        <f t="shared" si="0"/>
        <v>651</v>
      </c>
      <c r="L49" t="s">
        <v>2391</v>
      </c>
      <c r="M49">
        <f t="shared" si="1"/>
        <v>806</v>
      </c>
    </row>
    <row r="50" spans="1:13" hidden="1" x14ac:dyDescent="0.25">
      <c r="A50" s="16" t="s">
        <v>2097</v>
      </c>
      <c r="B50" s="16" t="s">
        <v>730</v>
      </c>
      <c r="C50" t="e">
        <f t="shared" si="0"/>
        <v>#N/A</v>
      </c>
      <c r="L50" t="s">
        <v>2392</v>
      </c>
      <c r="M50">
        <f t="shared" si="1"/>
        <v>807</v>
      </c>
    </row>
    <row r="51" spans="1:13" hidden="1" x14ac:dyDescent="0.25">
      <c r="A51" s="16" t="s">
        <v>2097</v>
      </c>
      <c r="B51" s="16" t="s">
        <v>731</v>
      </c>
      <c r="C51" t="e">
        <f t="shared" si="0"/>
        <v>#N/A</v>
      </c>
      <c r="L51" t="s">
        <v>2393</v>
      </c>
      <c r="M51">
        <f t="shared" si="1"/>
        <v>808</v>
      </c>
    </row>
    <row r="52" spans="1:13" hidden="1" x14ac:dyDescent="0.25">
      <c r="A52" s="16" t="s">
        <v>2097</v>
      </c>
      <c r="B52" s="16" t="s">
        <v>732</v>
      </c>
      <c r="C52" t="e">
        <f t="shared" si="0"/>
        <v>#N/A</v>
      </c>
      <c r="L52" t="s">
        <v>2394</v>
      </c>
      <c r="M52">
        <f t="shared" si="1"/>
        <v>809</v>
      </c>
    </row>
    <row r="53" spans="1:13" hidden="1" x14ac:dyDescent="0.25">
      <c r="A53" s="16" t="s">
        <v>2097</v>
      </c>
      <c r="B53" s="16" t="s">
        <v>429</v>
      </c>
      <c r="C53" t="e">
        <f t="shared" si="0"/>
        <v>#N/A</v>
      </c>
      <c r="L53" t="s">
        <v>2395</v>
      </c>
      <c r="M53">
        <f t="shared" si="1"/>
        <v>810</v>
      </c>
    </row>
    <row r="54" spans="1:13" hidden="1" x14ac:dyDescent="0.25">
      <c r="A54" s="16" t="s">
        <v>2097</v>
      </c>
      <c r="B54" s="16" t="s">
        <v>433</v>
      </c>
      <c r="C54">
        <f t="shared" si="0"/>
        <v>698</v>
      </c>
      <c r="L54" t="s">
        <v>2396</v>
      </c>
      <c r="M54">
        <f t="shared" si="1"/>
        <v>811</v>
      </c>
    </row>
    <row r="55" spans="1:13" hidden="1" x14ac:dyDescent="0.25">
      <c r="A55" s="16" t="s">
        <v>2097</v>
      </c>
      <c r="B55" s="16" t="s">
        <v>435</v>
      </c>
      <c r="C55">
        <f t="shared" si="0"/>
        <v>699</v>
      </c>
      <c r="L55" t="s">
        <v>2397</v>
      </c>
      <c r="M55">
        <f t="shared" si="1"/>
        <v>812</v>
      </c>
    </row>
    <row r="56" spans="1:13" x14ac:dyDescent="0.25">
      <c r="A56" s="16" t="s">
        <v>2097</v>
      </c>
      <c r="B56" s="16" t="s">
        <v>436</v>
      </c>
      <c r="C56">
        <f t="shared" si="0"/>
        <v>700</v>
      </c>
      <c r="L56" s="17" t="s">
        <v>2777</v>
      </c>
      <c r="M56" t="e">
        <f t="shared" si="1"/>
        <v>#N/A</v>
      </c>
    </row>
    <row r="57" spans="1:13" hidden="1" x14ac:dyDescent="0.25">
      <c r="A57" s="16" t="s">
        <v>2097</v>
      </c>
      <c r="B57" s="16" t="s">
        <v>437</v>
      </c>
      <c r="C57">
        <f t="shared" si="0"/>
        <v>701</v>
      </c>
      <c r="L57" t="s">
        <v>2402</v>
      </c>
      <c r="M57">
        <f t="shared" si="1"/>
        <v>817</v>
      </c>
    </row>
    <row r="58" spans="1:13" hidden="1" x14ac:dyDescent="0.25">
      <c r="A58" s="16" t="s">
        <v>2097</v>
      </c>
      <c r="B58" s="16" t="s">
        <v>441</v>
      </c>
      <c r="C58">
        <f t="shared" si="0"/>
        <v>705</v>
      </c>
      <c r="L58" t="s">
        <v>2403</v>
      </c>
      <c r="M58">
        <f t="shared" si="1"/>
        <v>818</v>
      </c>
    </row>
    <row r="59" spans="1:13" hidden="1" x14ac:dyDescent="0.25">
      <c r="A59" s="16" t="s">
        <v>2097</v>
      </c>
      <c r="B59" s="16" t="s">
        <v>445</v>
      </c>
      <c r="C59">
        <f t="shared" si="0"/>
        <v>709</v>
      </c>
      <c r="L59" t="s">
        <v>2404</v>
      </c>
      <c r="M59">
        <f t="shared" si="1"/>
        <v>819</v>
      </c>
    </row>
    <row r="60" spans="1:13" hidden="1" x14ac:dyDescent="0.25">
      <c r="A60" s="16" t="s">
        <v>2097</v>
      </c>
      <c r="B60" s="16" t="s">
        <v>447</v>
      </c>
      <c r="C60">
        <f t="shared" si="0"/>
        <v>710</v>
      </c>
      <c r="L60" t="s">
        <v>2405</v>
      </c>
      <c r="M60">
        <f t="shared" si="1"/>
        <v>820</v>
      </c>
    </row>
    <row r="61" spans="1:13" hidden="1" x14ac:dyDescent="0.25">
      <c r="A61" s="16" t="s">
        <v>2097</v>
      </c>
      <c r="B61" s="16" t="s">
        <v>448</v>
      </c>
      <c r="C61">
        <f t="shared" si="0"/>
        <v>711</v>
      </c>
      <c r="L61" t="s">
        <v>2406</v>
      </c>
      <c r="M61">
        <f t="shared" si="1"/>
        <v>821</v>
      </c>
    </row>
    <row r="62" spans="1:13" hidden="1" x14ac:dyDescent="0.25">
      <c r="A62" s="16" t="s">
        <v>2097</v>
      </c>
      <c r="B62" s="16" t="s">
        <v>449</v>
      </c>
      <c r="C62">
        <f t="shared" si="0"/>
        <v>712</v>
      </c>
      <c r="L62" t="s">
        <v>2407</v>
      </c>
      <c r="M62">
        <f t="shared" si="1"/>
        <v>822</v>
      </c>
    </row>
    <row r="63" spans="1:13" hidden="1" x14ac:dyDescent="0.25">
      <c r="A63" s="16" t="s">
        <v>2097</v>
      </c>
      <c r="B63" s="16" t="s">
        <v>450</v>
      </c>
      <c r="C63">
        <f t="shared" si="0"/>
        <v>713</v>
      </c>
      <c r="L63" t="s">
        <v>2408</v>
      </c>
      <c r="M63">
        <f t="shared" si="1"/>
        <v>823</v>
      </c>
    </row>
    <row r="64" spans="1:13" hidden="1" x14ac:dyDescent="0.25">
      <c r="A64" s="16" t="s">
        <v>2097</v>
      </c>
      <c r="B64" s="16" t="s">
        <v>451</v>
      </c>
      <c r="C64">
        <f t="shared" si="0"/>
        <v>714</v>
      </c>
      <c r="L64" t="s">
        <v>2409</v>
      </c>
      <c r="M64">
        <f t="shared" si="1"/>
        <v>824</v>
      </c>
    </row>
    <row r="65" spans="1:13" hidden="1" x14ac:dyDescent="0.25">
      <c r="A65" s="16" t="s">
        <v>2097</v>
      </c>
      <c r="B65" s="16" t="s">
        <v>452</v>
      </c>
      <c r="C65">
        <f t="shared" si="0"/>
        <v>715</v>
      </c>
      <c r="L65" t="s">
        <v>2410</v>
      </c>
      <c r="M65">
        <f t="shared" si="1"/>
        <v>825</v>
      </c>
    </row>
    <row r="66" spans="1:13" hidden="1" x14ac:dyDescent="0.25">
      <c r="A66" s="16" t="s">
        <v>2097</v>
      </c>
      <c r="B66" s="16" t="s">
        <v>453</v>
      </c>
      <c r="C66">
        <f t="shared" si="0"/>
        <v>716</v>
      </c>
      <c r="L66" t="s">
        <v>2411</v>
      </c>
      <c r="M66">
        <f t="shared" si="1"/>
        <v>826</v>
      </c>
    </row>
    <row r="67" spans="1:13" hidden="1" x14ac:dyDescent="0.25">
      <c r="A67" s="16" t="s">
        <v>2097</v>
      </c>
      <c r="B67" s="16" t="s">
        <v>454</v>
      </c>
      <c r="C67">
        <f t="shared" ref="C67:C130" si="2">MATCH(B67,L:L,0)</f>
        <v>717</v>
      </c>
      <c r="L67" t="s">
        <v>2412</v>
      </c>
      <c r="M67">
        <f t="shared" ref="M67:M130" si="3">MATCH(L67,B:B,0)</f>
        <v>827</v>
      </c>
    </row>
    <row r="68" spans="1:13" hidden="1" x14ac:dyDescent="0.25">
      <c r="A68" s="16" t="s">
        <v>2097</v>
      </c>
      <c r="B68" s="16" t="s">
        <v>455</v>
      </c>
      <c r="C68">
        <f t="shared" si="2"/>
        <v>718</v>
      </c>
      <c r="L68" t="s">
        <v>2413</v>
      </c>
      <c r="M68">
        <f t="shared" si="3"/>
        <v>828</v>
      </c>
    </row>
    <row r="69" spans="1:13" hidden="1" x14ac:dyDescent="0.25">
      <c r="A69" s="16" t="s">
        <v>2097</v>
      </c>
      <c r="B69" s="16" t="s">
        <v>456</v>
      </c>
      <c r="C69">
        <f t="shared" si="2"/>
        <v>719</v>
      </c>
      <c r="L69" t="s">
        <v>2414</v>
      </c>
      <c r="M69">
        <f t="shared" si="3"/>
        <v>829</v>
      </c>
    </row>
    <row r="70" spans="1:13" hidden="1" x14ac:dyDescent="0.25">
      <c r="A70" s="16" t="s">
        <v>2097</v>
      </c>
      <c r="B70" s="16" t="s">
        <v>457</v>
      </c>
      <c r="C70">
        <f t="shared" si="2"/>
        <v>720</v>
      </c>
      <c r="L70" t="s">
        <v>2415</v>
      </c>
      <c r="M70">
        <f t="shared" si="3"/>
        <v>830</v>
      </c>
    </row>
    <row r="71" spans="1:13" hidden="1" x14ac:dyDescent="0.25">
      <c r="A71" s="16" t="s">
        <v>2097</v>
      </c>
      <c r="B71" s="16" t="s">
        <v>458</v>
      </c>
      <c r="C71">
        <f t="shared" si="2"/>
        <v>721</v>
      </c>
      <c r="L71" t="s">
        <v>2416</v>
      </c>
      <c r="M71">
        <f t="shared" si="3"/>
        <v>831</v>
      </c>
    </row>
    <row r="72" spans="1:13" hidden="1" x14ac:dyDescent="0.25">
      <c r="A72" s="16" t="s">
        <v>2097</v>
      </c>
      <c r="B72" s="16" t="s">
        <v>459</v>
      </c>
      <c r="C72">
        <f t="shared" si="2"/>
        <v>722</v>
      </c>
      <c r="L72" t="s">
        <v>2417</v>
      </c>
      <c r="M72">
        <f t="shared" si="3"/>
        <v>832</v>
      </c>
    </row>
    <row r="73" spans="1:13" hidden="1" x14ac:dyDescent="0.25">
      <c r="A73" s="16" t="s">
        <v>2097</v>
      </c>
      <c r="B73" s="16" t="s">
        <v>460</v>
      </c>
      <c r="C73">
        <f t="shared" si="2"/>
        <v>723</v>
      </c>
      <c r="L73" t="s">
        <v>2418</v>
      </c>
      <c r="M73">
        <f t="shared" si="3"/>
        <v>833</v>
      </c>
    </row>
    <row r="74" spans="1:13" hidden="1" x14ac:dyDescent="0.25">
      <c r="A74" s="16" t="s">
        <v>2097</v>
      </c>
      <c r="B74" s="16" t="s">
        <v>461</v>
      </c>
      <c r="C74">
        <f t="shared" si="2"/>
        <v>724</v>
      </c>
      <c r="L74" t="s">
        <v>2419</v>
      </c>
      <c r="M74">
        <f t="shared" si="3"/>
        <v>834</v>
      </c>
    </row>
    <row r="75" spans="1:13" hidden="1" x14ac:dyDescent="0.25">
      <c r="A75" s="16" t="s">
        <v>2097</v>
      </c>
      <c r="B75" s="16" t="s">
        <v>462</v>
      </c>
      <c r="C75">
        <f t="shared" si="2"/>
        <v>725</v>
      </c>
      <c r="L75" t="s">
        <v>2420</v>
      </c>
      <c r="M75">
        <f t="shared" si="3"/>
        <v>835</v>
      </c>
    </row>
    <row r="76" spans="1:13" hidden="1" x14ac:dyDescent="0.25">
      <c r="A76" s="16" t="s">
        <v>2097</v>
      </c>
      <c r="B76" s="16" t="s">
        <v>463</v>
      </c>
      <c r="C76">
        <f t="shared" si="2"/>
        <v>726</v>
      </c>
      <c r="L76" t="s">
        <v>2421</v>
      </c>
      <c r="M76">
        <f t="shared" si="3"/>
        <v>836</v>
      </c>
    </row>
    <row r="77" spans="1:13" hidden="1" x14ac:dyDescent="0.25">
      <c r="A77" s="16" t="s">
        <v>2097</v>
      </c>
      <c r="B77" s="16" t="s">
        <v>464</v>
      </c>
      <c r="C77">
        <f t="shared" si="2"/>
        <v>727</v>
      </c>
      <c r="L77" t="s">
        <v>2422</v>
      </c>
      <c r="M77">
        <f t="shared" si="3"/>
        <v>837</v>
      </c>
    </row>
    <row r="78" spans="1:13" hidden="1" x14ac:dyDescent="0.25">
      <c r="A78" s="16" t="s">
        <v>2097</v>
      </c>
      <c r="B78" s="16" t="s">
        <v>465</v>
      </c>
      <c r="C78">
        <f t="shared" si="2"/>
        <v>728</v>
      </c>
      <c r="L78" t="s">
        <v>2423</v>
      </c>
      <c r="M78">
        <f t="shared" si="3"/>
        <v>838</v>
      </c>
    </row>
    <row r="79" spans="1:13" hidden="1" x14ac:dyDescent="0.25">
      <c r="A79" s="16" t="s">
        <v>2097</v>
      </c>
      <c r="B79" s="16" t="s">
        <v>466</v>
      </c>
      <c r="C79">
        <f t="shared" si="2"/>
        <v>729</v>
      </c>
      <c r="L79" t="s">
        <v>2424</v>
      </c>
      <c r="M79">
        <f t="shared" si="3"/>
        <v>839</v>
      </c>
    </row>
    <row r="80" spans="1:13" hidden="1" x14ac:dyDescent="0.25">
      <c r="A80" s="16" t="s">
        <v>2097</v>
      </c>
      <c r="B80" s="16" t="s">
        <v>467</v>
      </c>
      <c r="C80">
        <f t="shared" si="2"/>
        <v>730</v>
      </c>
      <c r="L80" t="s">
        <v>2425</v>
      </c>
      <c r="M80">
        <f t="shared" si="3"/>
        <v>840</v>
      </c>
    </row>
    <row r="81" spans="1:13" hidden="1" x14ac:dyDescent="0.25">
      <c r="A81" s="16" t="s">
        <v>2097</v>
      </c>
      <c r="B81" s="16" t="s">
        <v>468</v>
      </c>
      <c r="C81">
        <f t="shared" si="2"/>
        <v>731</v>
      </c>
      <c r="L81" t="s">
        <v>2426</v>
      </c>
      <c r="M81">
        <f t="shared" si="3"/>
        <v>841</v>
      </c>
    </row>
    <row r="82" spans="1:13" hidden="1" x14ac:dyDescent="0.25">
      <c r="A82" s="16" t="s">
        <v>2097</v>
      </c>
      <c r="B82" s="16" t="s">
        <v>469</v>
      </c>
      <c r="C82">
        <f t="shared" si="2"/>
        <v>732</v>
      </c>
      <c r="L82" t="s">
        <v>2427</v>
      </c>
      <c r="M82">
        <f t="shared" si="3"/>
        <v>842</v>
      </c>
    </row>
    <row r="83" spans="1:13" hidden="1" x14ac:dyDescent="0.25">
      <c r="A83" s="16" t="s">
        <v>2097</v>
      </c>
      <c r="B83" s="16" t="s">
        <v>470</v>
      </c>
      <c r="C83">
        <f t="shared" si="2"/>
        <v>733</v>
      </c>
      <c r="L83" t="s">
        <v>2428</v>
      </c>
      <c r="M83">
        <f t="shared" si="3"/>
        <v>843</v>
      </c>
    </row>
    <row r="84" spans="1:13" hidden="1" x14ac:dyDescent="0.25">
      <c r="A84" s="16" t="s">
        <v>2097</v>
      </c>
      <c r="B84" s="16" t="s">
        <v>471</v>
      </c>
      <c r="C84">
        <f t="shared" si="2"/>
        <v>734</v>
      </c>
      <c r="L84" t="s">
        <v>2429</v>
      </c>
      <c r="M84">
        <f t="shared" si="3"/>
        <v>844</v>
      </c>
    </row>
    <row r="85" spans="1:13" hidden="1" x14ac:dyDescent="0.25">
      <c r="A85" s="16" t="s">
        <v>2097</v>
      </c>
      <c r="B85" s="16" t="s">
        <v>472</v>
      </c>
      <c r="C85">
        <f t="shared" si="2"/>
        <v>735</v>
      </c>
      <c r="L85" t="s">
        <v>2430</v>
      </c>
      <c r="M85">
        <f t="shared" si="3"/>
        <v>845</v>
      </c>
    </row>
    <row r="86" spans="1:13" hidden="1" x14ac:dyDescent="0.25">
      <c r="A86" s="16" t="s">
        <v>2097</v>
      </c>
      <c r="B86" s="16" t="s">
        <v>473</v>
      </c>
      <c r="C86">
        <f t="shared" si="2"/>
        <v>736</v>
      </c>
      <c r="L86" t="s">
        <v>2431</v>
      </c>
      <c r="M86">
        <f t="shared" si="3"/>
        <v>846</v>
      </c>
    </row>
    <row r="87" spans="1:13" hidden="1" x14ac:dyDescent="0.25">
      <c r="A87" s="16" t="s">
        <v>2097</v>
      </c>
      <c r="B87" s="16" t="s">
        <v>474</v>
      </c>
      <c r="C87">
        <f t="shared" si="2"/>
        <v>737</v>
      </c>
      <c r="L87" t="s">
        <v>2432</v>
      </c>
      <c r="M87">
        <f t="shared" si="3"/>
        <v>847</v>
      </c>
    </row>
    <row r="88" spans="1:13" hidden="1" x14ac:dyDescent="0.25">
      <c r="A88" s="16" t="s">
        <v>2097</v>
      </c>
      <c r="B88" s="16" t="s">
        <v>475</v>
      </c>
      <c r="C88">
        <f t="shared" si="2"/>
        <v>738</v>
      </c>
      <c r="L88" t="s">
        <v>2433</v>
      </c>
      <c r="M88">
        <f t="shared" si="3"/>
        <v>848</v>
      </c>
    </row>
    <row r="89" spans="1:13" hidden="1" x14ac:dyDescent="0.25">
      <c r="A89" s="16" t="s">
        <v>2097</v>
      </c>
      <c r="B89" s="16" t="s">
        <v>476</v>
      </c>
      <c r="C89">
        <f t="shared" si="2"/>
        <v>739</v>
      </c>
      <c r="L89" t="s">
        <v>2434</v>
      </c>
      <c r="M89">
        <f t="shared" si="3"/>
        <v>849</v>
      </c>
    </row>
    <row r="90" spans="1:13" hidden="1" x14ac:dyDescent="0.25">
      <c r="A90" s="16" t="s">
        <v>2097</v>
      </c>
      <c r="B90" s="16" t="s">
        <v>477</v>
      </c>
      <c r="C90">
        <f t="shared" si="2"/>
        <v>740</v>
      </c>
      <c r="L90" t="s">
        <v>2435</v>
      </c>
      <c r="M90">
        <f t="shared" si="3"/>
        <v>850</v>
      </c>
    </row>
    <row r="91" spans="1:13" hidden="1" x14ac:dyDescent="0.25">
      <c r="A91" s="16" t="s">
        <v>2097</v>
      </c>
      <c r="B91" s="16" t="s">
        <v>478</v>
      </c>
      <c r="C91">
        <f t="shared" si="2"/>
        <v>741</v>
      </c>
      <c r="L91" t="s">
        <v>2436</v>
      </c>
      <c r="M91">
        <f t="shared" si="3"/>
        <v>851</v>
      </c>
    </row>
    <row r="92" spans="1:13" hidden="1" x14ac:dyDescent="0.25">
      <c r="A92" s="16" t="s">
        <v>2097</v>
      </c>
      <c r="B92" s="16" t="s">
        <v>479</v>
      </c>
      <c r="C92">
        <f t="shared" si="2"/>
        <v>742</v>
      </c>
      <c r="L92" t="s">
        <v>2437</v>
      </c>
      <c r="M92">
        <f t="shared" si="3"/>
        <v>852</v>
      </c>
    </row>
    <row r="93" spans="1:13" hidden="1" x14ac:dyDescent="0.25">
      <c r="A93" s="16" t="s">
        <v>2097</v>
      </c>
      <c r="B93" s="16" t="s">
        <v>480</v>
      </c>
      <c r="C93">
        <f t="shared" si="2"/>
        <v>743</v>
      </c>
      <c r="L93" t="s">
        <v>2438</v>
      </c>
      <c r="M93">
        <f t="shared" si="3"/>
        <v>853</v>
      </c>
    </row>
    <row r="94" spans="1:13" hidden="1" x14ac:dyDescent="0.25">
      <c r="A94" s="16" t="s">
        <v>2097</v>
      </c>
      <c r="B94" s="16" t="s">
        <v>481</v>
      </c>
      <c r="C94">
        <f t="shared" si="2"/>
        <v>744</v>
      </c>
      <c r="L94" t="s">
        <v>2439</v>
      </c>
      <c r="M94">
        <f t="shared" si="3"/>
        <v>854</v>
      </c>
    </row>
    <row r="95" spans="1:13" hidden="1" x14ac:dyDescent="0.25">
      <c r="A95" s="16" t="s">
        <v>2097</v>
      </c>
      <c r="B95" s="16" t="s">
        <v>482</v>
      </c>
      <c r="C95">
        <f t="shared" si="2"/>
        <v>745</v>
      </c>
      <c r="L95" t="s">
        <v>2440</v>
      </c>
      <c r="M95">
        <f t="shared" si="3"/>
        <v>855</v>
      </c>
    </row>
    <row r="96" spans="1:13" hidden="1" x14ac:dyDescent="0.25">
      <c r="A96" s="16" t="s">
        <v>2097</v>
      </c>
      <c r="B96" s="16" t="s">
        <v>483</v>
      </c>
      <c r="C96">
        <f t="shared" si="2"/>
        <v>746</v>
      </c>
      <c r="L96" t="s">
        <v>2441</v>
      </c>
      <c r="M96">
        <f t="shared" si="3"/>
        <v>856</v>
      </c>
    </row>
    <row r="97" spans="1:13" hidden="1" x14ac:dyDescent="0.25">
      <c r="A97" s="16" t="s">
        <v>2097</v>
      </c>
      <c r="B97" s="16" t="s">
        <v>484</v>
      </c>
      <c r="C97">
        <f t="shared" si="2"/>
        <v>747</v>
      </c>
      <c r="L97" t="s">
        <v>2442</v>
      </c>
      <c r="M97">
        <f t="shared" si="3"/>
        <v>857</v>
      </c>
    </row>
    <row r="98" spans="1:13" hidden="1" x14ac:dyDescent="0.25">
      <c r="A98" s="16" t="s">
        <v>2097</v>
      </c>
      <c r="B98" s="16" t="s">
        <v>485</v>
      </c>
      <c r="C98">
        <f t="shared" si="2"/>
        <v>748</v>
      </c>
      <c r="L98" t="s">
        <v>2443</v>
      </c>
      <c r="M98">
        <f t="shared" si="3"/>
        <v>858</v>
      </c>
    </row>
    <row r="99" spans="1:13" hidden="1" x14ac:dyDescent="0.25">
      <c r="A99" s="16" t="s">
        <v>2097</v>
      </c>
      <c r="B99" s="16" t="s">
        <v>486</v>
      </c>
      <c r="C99">
        <f t="shared" si="2"/>
        <v>749</v>
      </c>
      <c r="L99" t="s">
        <v>2444</v>
      </c>
      <c r="M99">
        <f t="shared" si="3"/>
        <v>859</v>
      </c>
    </row>
    <row r="100" spans="1:13" hidden="1" x14ac:dyDescent="0.25">
      <c r="A100" s="16" t="s">
        <v>2097</v>
      </c>
      <c r="B100" s="16" t="s">
        <v>487</v>
      </c>
      <c r="C100">
        <f t="shared" si="2"/>
        <v>750</v>
      </c>
      <c r="L100" t="s">
        <v>2445</v>
      </c>
      <c r="M100">
        <f t="shared" si="3"/>
        <v>860</v>
      </c>
    </row>
    <row r="101" spans="1:13" hidden="1" x14ac:dyDescent="0.25">
      <c r="A101" s="16" t="s">
        <v>2097</v>
      </c>
      <c r="B101" s="16" t="s">
        <v>488</v>
      </c>
      <c r="C101">
        <f t="shared" si="2"/>
        <v>751</v>
      </c>
      <c r="L101" t="s">
        <v>2446</v>
      </c>
      <c r="M101">
        <f t="shared" si="3"/>
        <v>861</v>
      </c>
    </row>
    <row r="102" spans="1:13" hidden="1" x14ac:dyDescent="0.25">
      <c r="A102" s="16" t="s">
        <v>2097</v>
      </c>
      <c r="B102" s="16" t="s">
        <v>489</v>
      </c>
      <c r="C102">
        <f t="shared" si="2"/>
        <v>752</v>
      </c>
      <c r="L102" t="s">
        <v>2447</v>
      </c>
      <c r="M102">
        <f t="shared" si="3"/>
        <v>862</v>
      </c>
    </row>
    <row r="103" spans="1:13" hidden="1" x14ac:dyDescent="0.25">
      <c r="A103" s="16" t="s">
        <v>2097</v>
      </c>
      <c r="B103" s="16" t="s">
        <v>490</v>
      </c>
      <c r="C103">
        <f t="shared" si="2"/>
        <v>753</v>
      </c>
      <c r="L103" t="s">
        <v>2448</v>
      </c>
      <c r="M103">
        <f t="shared" si="3"/>
        <v>863</v>
      </c>
    </row>
    <row r="104" spans="1:13" hidden="1" x14ac:dyDescent="0.25">
      <c r="A104" s="16" t="s">
        <v>2097</v>
      </c>
      <c r="B104" s="16" t="s">
        <v>491</v>
      </c>
      <c r="C104">
        <f t="shared" si="2"/>
        <v>754</v>
      </c>
      <c r="L104" t="s">
        <v>2449</v>
      </c>
      <c r="M104">
        <f t="shared" si="3"/>
        <v>864</v>
      </c>
    </row>
    <row r="105" spans="1:13" hidden="1" x14ac:dyDescent="0.25">
      <c r="A105" s="16" t="s">
        <v>2097</v>
      </c>
      <c r="B105" s="16" t="s">
        <v>492</v>
      </c>
      <c r="C105">
        <f t="shared" si="2"/>
        <v>755</v>
      </c>
      <c r="L105" t="s">
        <v>2450</v>
      </c>
      <c r="M105">
        <f t="shared" si="3"/>
        <v>865</v>
      </c>
    </row>
    <row r="106" spans="1:13" hidden="1" x14ac:dyDescent="0.25">
      <c r="A106" s="16" t="s">
        <v>2097</v>
      </c>
      <c r="B106" s="16" t="s">
        <v>493</v>
      </c>
      <c r="C106">
        <f t="shared" si="2"/>
        <v>756</v>
      </c>
      <c r="L106" t="s">
        <v>2451</v>
      </c>
      <c r="M106">
        <f t="shared" si="3"/>
        <v>866</v>
      </c>
    </row>
    <row r="107" spans="1:13" hidden="1" x14ac:dyDescent="0.25">
      <c r="A107" s="16" t="s">
        <v>2097</v>
      </c>
      <c r="B107" s="16" t="s">
        <v>494</v>
      </c>
      <c r="C107">
        <f t="shared" si="2"/>
        <v>757</v>
      </c>
      <c r="L107" t="s">
        <v>2452</v>
      </c>
      <c r="M107">
        <f t="shared" si="3"/>
        <v>867</v>
      </c>
    </row>
    <row r="108" spans="1:13" hidden="1" x14ac:dyDescent="0.25">
      <c r="A108" s="16" t="s">
        <v>2097</v>
      </c>
      <c r="B108" s="16" t="s">
        <v>495</v>
      </c>
      <c r="C108">
        <f t="shared" si="2"/>
        <v>758</v>
      </c>
      <c r="L108" t="s">
        <v>2453</v>
      </c>
      <c r="M108">
        <f t="shared" si="3"/>
        <v>868</v>
      </c>
    </row>
    <row r="109" spans="1:13" hidden="1" x14ac:dyDescent="0.25">
      <c r="A109" s="16" t="s">
        <v>2097</v>
      </c>
      <c r="B109" s="16" t="s">
        <v>496</v>
      </c>
      <c r="C109">
        <f t="shared" si="2"/>
        <v>759</v>
      </c>
      <c r="L109" t="s">
        <v>2454</v>
      </c>
      <c r="M109">
        <f t="shared" si="3"/>
        <v>869</v>
      </c>
    </row>
    <row r="110" spans="1:13" hidden="1" x14ac:dyDescent="0.25">
      <c r="A110" s="16" t="s">
        <v>2097</v>
      </c>
      <c r="B110" s="16" t="s">
        <v>497</v>
      </c>
      <c r="C110">
        <f t="shared" si="2"/>
        <v>760</v>
      </c>
      <c r="L110" t="s">
        <v>2455</v>
      </c>
      <c r="M110">
        <f t="shared" si="3"/>
        <v>870</v>
      </c>
    </row>
    <row r="111" spans="1:13" hidden="1" x14ac:dyDescent="0.25">
      <c r="A111" s="16" t="s">
        <v>2097</v>
      </c>
      <c r="B111" s="16" t="s">
        <v>498</v>
      </c>
      <c r="C111">
        <f t="shared" si="2"/>
        <v>761</v>
      </c>
      <c r="L111" t="s">
        <v>2456</v>
      </c>
      <c r="M111">
        <f t="shared" si="3"/>
        <v>871</v>
      </c>
    </row>
    <row r="112" spans="1:13" hidden="1" x14ac:dyDescent="0.25">
      <c r="A112" s="16" t="s">
        <v>2097</v>
      </c>
      <c r="B112" s="16" t="s">
        <v>499</v>
      </c>
      <c r="C112">
        <f t="shared" si="2"/>
        <v>762</v>
      </c>
      <c r="L112" t="s">
        <v>2457</v>
      </c>
      <c r="M112">
        <f t="shared" si="3"/>
        <v>872</v>
      </c>
    </row>
    <row r="113" spans="1:13" hidden="1" x14ac:dyDescent="0.25">
      <c r="A113" s="16" t="s">
        <v>2097</v>
      </c>
      <c r="B113" s="16" t="s">
        <v>500</v>
      </c>
      <c r="C113">
        <f t="shared" si="2"/>
        <v>763</v>
      </c>
      <c r="L113" t="s">
        <v>2458</v>
      </c>
      <c r="M113">
        <f t="shared" si="3"/>
        <v>873</v>
      </c>
    </row>
    <row r="114" spans="1:13" hidden="1" x14ac:dyDescent="0.25">
      <c r="A114" s="16" t="s">
        <v>2097</v>
      </c>
      <c r="B114" s="16" t="s">
        <v>501</v>
      </c>
      <c r="C114">
        <f t="shared" si="2"/>
        <v>764</v>
      </c>
      <c r="L114" t="s">
        <v>2459</v>
      </c>
      <c r="M114">
        <f t="shared" si="3"/>
        <v>874</v>
      </c>
    </row>
    <row r="115" spans="1:13" hidden="1" x14ac:dyDescent="0.25">
      <c r="A115" s="16" t="s">
        <v>2097</v>
      </c>
      <c r="B115" s="16" t="s">
        <v>502</v>
      </c>
      <c r="C115">
        <f t="shared" si="2"/>
        <v>765</v>
      </c>
      <c r="L115" t="s">
        <v>2460</v>
      </c>
      <c r="M115">
        <f t="shared" si="3"/>
        <v>875</v>
      </c>
    </row>
    <row r="116" spans="1:13" hidden="1" x14ac:dyDescent="0.25">
      <c r="A116" s="16" t="s">
        <v>2097</v>
      </c>
      <c r="B116" s="16" t="s">
        <v>503</v>
      </c>
      <c r="C116">
        <f t="shared" si="2"/>
        <v>766</v>
      </c>
      <c r="L116" t="s">
        <v>2461</v>
      </c>
      <c r="M116">
        <f t="shared" si="3"/>
        <v>876</v>
      </c>
    </row>
    <row r="117" spans="1:13" hidden="1" x14ac:dyDescent="0.25">
      <c r="A117" s="16" t="s">
        <v>2097</v>
      </c>
      <c r="B117" s="16" t="s">
        <v>504</v>
      </c>
      <c r="C117">
        <f t="shared" si="2"/>
        <v>767</v>
      </c>
      <c r="L117" t="s">
        <v>2462</v>
      </c>
      <c r="M117">
        <f t="shared" si="3"/>
        <v>877</v>
      </c>
    </row>
    <row r="118" spans="1:13" hidden="1" x14ac:dyDescent="0.25">
      <c r="A118" s="16" t="s">
        <v>2097</v>
      </c>
      <c r="B118" s="16" t="s">
        <v>505</v>
      </c>
      <c r="C118">
        <f t="shared" si="2"/>
        <v>768</v>
      </c>
      <c r="L118" t="s">
        <v>2463</v>
      </c>
      <c r="M118">
        <f t="shared" si="3"/>
        <v>878</v>
      </c>
    </row>
    <row r="119" spans="1:13" hidden="1" x14ac:dyDescent="0.25">
      <c r="A119" s="16" t="s">
        <v>2097</v>
      </c>
      <c r="B119" s="16" t="s">
        <v>506</v>
      </c>
      <c r="C119">
        <f t="shared" si="2"/>
        <v>769</v>
      </c>
      <c r="L119" t="s">
        <v>2464</v>
      </c>
      <c r="M119">
        <f t="shared" si="3"/>
        <v>879</v>
      </c>
    </row>
    <row r="120" spans="1:13" hidden="1" x14ac:dyDescent="0.25">
      <c r="A120" s="16" t="s">
        <v>2097</v>
      </c>
      <c r="B120" s="16" t="s">
        <v>507</v>
      </c>
      <c r="C120">
        <f t="shared" si="2"/>
        <v>770</v>
      </c>
      <c r="L120" t="s">
        <v>2465</v>
      </c>
      <c r="M120">
        <f t="shared" si="3"/>
        <v>880</v>
      </c>
    </row>
    <row r="121" spans="1:13" hidden="1" x14ac:dyDescent="0.25">
      <c r="A121" s="16" t="s">
        <v>2097</v>
      </c>
      <c r="B121" s="16" t="s">
        <v>508</v>
      </c>
      <c r="C121">
        <f t="shared" si="2"/>
        <v>771</v>
      </c>
      <c r="L121" t="s">
        <v>2466</v>
      </c>
      <c r="M121">
        <f t="shared" si="3"/>
        <v>881</v>
      </c>
    </row>
    <row r="122" spans="1:13" hidden="1" x14ac:dyDescent="0.25">
      <c r="A122" s="16" t="s">
        <v>2097</v>
      </c>
      <c r="B122" s="16" t="s">
        <v>509</v>
      </c>
      <c r="C122">
        <f t="shared" si="2"/>
        <v>772</v>
      </c>
      <c r="L122" t="s">
        <v>2467</v>
      </c>
      <c r="M122">
        <f t="shared" si="3"/>
        <v>882</v>
      </c>
    </row>
    <row r="123" spans="1:13" hidden="1" x14ac:dyDescent="0.25">
      <c r="A123" s="16" t="s">
        <v>2097</v>
      </c>
      <c r="B123" s="16" t="s">
        <v>510</v>
      </c>
      <c r="C123">
        <f t="shared" si="2"/>
        <v>773</v>
      </c>
      <c r="L123" t="s">
        <v>2468</v>
      </c>
      <c r="M123">
        <f t="shared" si="3"/>
        <v>883</v>
      </c>
    </row>
    <row r="124" spans="1:13" hidden="1" x14ac:dyDescent="0.25">
      <c r="A124" s="16" t="s">
        <v>2097</v>
      </c>
      <c r="B124" s="16" t="s">
        <v>511</v>
      </c>
      <c r="C124">
        <f t="shared" si="2"/>
        <v>774</v>
      </c>
      <c r="L124" t="s">
        <v>2469</v>
      </c>
      <c r="M124">
        <f t="shared" si="3"/>
        <v>884</v>
      </c>
    </row>
    <row r="125" spans="1:13" hidden="1" x14ac:dyDescent="0.25">
      <c r="A125" s="16" t="s">
        <v>2097</v>
      </c>
      <c r="B125" s="16" t="s">
        <v>512</v>
      </c>
      <c r="C125">
        <f t="shared" si="2"/>
        <v>775</v>
      </c>
      <c r="L125" t="s">
        <v>2470</v>
      </c>
      <c r="M125">
        <f t="shared" si="3"/>
        <v>885</v>
      </c>
    </row>
    <row r="126" spans="1:13" hidden="1" x14ac:dyDescent="0.25">
      <c r="A126" s="16" t="s">
        <v>2097</v>
      </c>
      <c r="B126" s="16" t="s">
        <v>513</v>
      </c>
      <c r="C126">
        <f t="shared" si="2"/>
        <v>776</v>
      </c>
      <c r="L126" t="s">
        <v>2471</v>
      </c>
      <c r="M126">
        <f t="shared" si="3"/>
        <v>886</v>
      </c>
    </row>
    <row r="127" spans="1:13" hidden="1" x14ac:dyDescent="0.25">
      <c r="A127" s="16" t="s">
        <v>2097</v>
      </c>
      <c r="B127" s="16" t="s">
        <v>514</v>
      </c>
      <c r="C127">
        <f t="shared" si="2"/>
        <v>777</v>
      </c>
      <c r="L127" t="s">
        <v>2472</v>
      </c>
      <c r="M127">
        <f t="shared" si="3"/>
        <v>887</v>
      </c>
    </row>
    <row r="128" spans="1:13" hidden="1" x14ac:dyDescent="0.25">
      <c r="A128" s="16" t="s">
        <v>2097</v>
      </c>
      <c r="B128" s="16" t="s">
        <v>516</v>
      </c>
      <c r="C128">
        <f t="shared" si="2"/>
        <v>778</v>
      </c>
      <c r="L128" t="s">
        <v>2473</v>
      </c>
      <c r="M128">
        <f t="shared" si="3"/>
        <v>888</v>
      </c>
    </row>
    <row r="129" spans="1:13" hidden="1" x14ac:dyDescent="0.25">
      <c r="A129" s="16" t="s">
        <v>2097</v>
      </c>
      <c r="B129" s="16" t="s">
        <v>517</v>
      </c>
      <c r="C129">
        <f t="shared" si="2"/>
        <v>779</v>
      </c>
      <c r="L129" t="s">
        <v>2474</v>
      </c>
      <c r="M129">
        <f t="shared" si="3"/>
        <v>889</v>
      </c>
    </row>
    <row r="130" spans="1:13" hidden="1" x14ac:dyDescent="0.25">
      <c r="A130" s="16" t="s">
        <v>2097</v>
      </c>
      <c r="B130" s="16" t="s">
        <v>518</v>
      </c>
      <c r="C130">
        <f t="shared" si="2"/>
        <v>780</v>
      </c>
      <c r="L130" t="s">
        <v>2475</v>
      </c>
      <c r="M130">
        <f t="shared" si="3"/>
        <v>890</v>
      </c>
    </row>
    <row r="131" spans="1:13" hidden="1" x14ac:dyDescent="0.25">
      <c r="A131" s="16" t="s">
        <v>2097</v>
      </c>
      <c r="B131" s="16" t="s">
        <v>519</v>
      </c>
      <c r="C131">
        <f t="shared" ref="C131:C194" si="4">MATCH(B131,L:L,0)</f>
        <v>781</v>
      </c>
      <c r="L131" t="s">
        <v>2476</v>
      </c>
      <c r="M131">
        <f t="shared" ref="M131:M194" si="5">MATCH(L131,B:B,0)</f>
        <v>891</v>
      </c>
    </row>
    <row r="132" spans="1:13" hidden="1" x14ac:dyDescent="0.25">
      <c r="A132" s="16" t="s">
        <v>2097</v>
      </c>
      <c r="B132" s="16" t="s">
        <v>520</v>
      </c>
      <c r="C132">
        <f t="shared" si="4"/>
        <v>782</v>
      </c>
      <c r="L132" t="s">
        <v>2477</v>
      </c>
      <c r="M132">
        <f t="shared" si="5"/>
        <v>892</v>
      </c>
    </row>
    <row r="133" spans="1:13" hidden="1" x14ac:dyDescent="0.25">
      <c r="A133" s="16" t="s">
        <v>2097</v>
      </c>
      <c r="B133" s="16" t="s">
        <v>521</v>
      </c>
      <c r="C133">
        <f t="shared" si="4"/>
        <v>783</v>
      </c>
      <c r="L133" t="s">
        <v>2478</v>
      </c>
      <c r="M133">
        <f t="shared" si="5"/>
        <v>893</v>
      </c>
    </row>
    <row r="134" spans="1:13" hidden="1" x14ac:dyDescent="0.25">
      <c r="A134" s="16" t="s">
        <v>2097</v>
      </c>
      <c r="B134" s="16" t="s">
        <v>522</v>
      </c>
      <c r="C134">
        <f t="shared" si="4"/>
        <v>784</v>
      </c>
      <c r="L134" t="s">
        <v>2479</v>
      </c>
      <c r="M134">
        <f t="shared" si="5"/>
        <v>894</v>
      </c>
    </row>
    <row r="135" spans="1:13" hidden="1" x14ac:dyDescent="0.25">
      <c r="A135" s="16" t="s">
        <v>2097</v>
      </c>
      <c r="B135" s="16" t="s">
        <v>523</v>
      </c>
      <c r="C135">
        <f t="shared" si="4"/>
        <v>785</v>
      </c>
      <c r="L135" t="s">
        <v>2480</v>
      </c>
      <c r="M135">
        <f t="shared" si="5"/>
        <v>895</v>
      </c>
    </row>
    <row r="136" spans="1:13" hidden="1" x14ac:dyDescent="0.25">
      <c r="A136" s="16" t="s">
        <v>2097</v>
      </c>
      <c r="B136" s="16" t="s">
        <v>524</v>
      </c>
      <c r="C136">
        <f t="shared" si="4"/>
        <v>786</v>
      </c>
      <c r="L136" t="s">
        <v>2481</v>
      </c>
      <c r="M136">
        <f t="shared" si="5"/>
        <v>896</v>
      </c>
    </row>
    <row r="137" spans="1:13" hidden="1" x14ac:dyDescent="0.25">
      <c r="A137" s="16" t="s">
        <v>2097</v>
      </c>
      <c r="B137" s="16" t="s">
        <v>525</v>
      </c>
      <c r="C137">
        <f t="shared" si="4"/>
        <v>787</v>
      </c>
      <c r="L137" t="s">
        <v>2482</v>
      </c>
      <c r="M137">
        <f t="shared" si="5"/>
        <v>897</v>
      </c>
    </row>
    <row r="138" spans="1:13" hidden="1" x14ac:dyDescent="0.25">
      <c r="A138" s="16" t="s">
        <v>2097</v>
      </c>
      <c r="B138" s="16" t="s">
        <v>526</v>
      </c>
      <c r="C138">
        <f t="shared" si="4"/>
        <v>788</v>
      </c>
      <c r="L138" t="s">
        <v>2483</v>
      </c>
      <c r="M138">
        <f t="shared" si="5"/>
        <v>898</v>
      </c>
    </row>
    <row r="139" spans="1:13" hidden="1" x14ac:dyDescent="0.25">
      <c r="A139" s="16" t="s">
        <v>2097</v>
      </c>
      <c r="B139" s="16" t="s">
        <v>527</v>
      </c>
      <c r="C139">
        <f t="shared" si="4"/>
        <v>789</v>
      </c>
      <c r="L139" t="s">
        <v>2484</v>
      </c>
      <c r="M139">
        <f t="shared" si="5"/>
        <v>899</v>
      </c>
    </row>
    <row r="140" spans="1:13" hidden="1" x14ac:dyDescent="0.25">
      <c r="A140" s="16" t="s">
        <v>2097</v>
      </c>
      <c r="B140" s="16" t="s">
        <v>528</v>
      </c>
      <c r="C140">
        <f t="shared" si="4"/>
        <v>790</v>
      </c>
      <c r="L140" t="s">
        <v>2485</v>
      </c>
      <c r="M140">
        <f t="shared" si="5"/>
        <v>900</v>
      </c>
    </row>
    <row r="141" spans="1:13" hidden="1" x14ac:dyDescent="0.25">
      <c r="A141" s="16" t="s">
        <v>2097</v>
      </c>
      <c r="B141" s="16" t="s">
        <v>529</v>
      </c>
      <c r="C141">
        <f t="shared" si="4"/>
        <v>791</v>
      </c>
      <c r="L141" t="s">
        <v>2486</v>
      </c>
      <c r="M141">
        <f t="shared" si="5"/>
        <v>901</v>
      </c>
    </row>
    <row r="142" spans="1:13" hidden="1" x14ac:dyDescent="0.25">
      <c r="A142" s="16" t="s">
        <v>2097</v>
      </c>
      <c r="B142" s="16" t="s">
        <v>530</v>
      </c>
      <c r="C142">
        <f t="shared" si="4"/>
        <v>792</v>
      </c>
      <c r="L142" t="s">
        <v>2487</v>
      </c>
      <c r="M142">
        <f t="shared" si="5"/>
        <v>902</v>
      </c>
    </row>
    <row r="143" spans="1:13" hidden="1" x14ac:dyDescent="0.25">
      <c r="A143" s="16" t="s">
        <v>2097</v>
      </c>
      <c r="B143" s="16" t="s">
        <v>531</v>
      </c>
      <c r="C143">
        <f t="shared" si="4"/>
        <v>793</v>
      </c>
      <c r="L143" t="s">
        <v>2488</v>
      </c>
      <c r="M143">
        <f t="shared" si="5"/>
        <v>903</v>
      </c>
    </row>
    <row r="144" spans="1:13" hidden="1" x14ac:dyDescent="0.25">
      <c r="A144" s="16" t="s">
        <v>2097</v>
      </c>
      <c r="B144" s="16" t="s">
        <v>532</v>
      </c>
      <c r="C144">
        <f t="shared" si="4"/>
        <v>794</v>
      </c>
      <c r="L144" t="s">
        <v>2489</v>
      </c>
      <c r="M144">
        <f t="shared" si="5"/>
        <v>904</v>
      </c>
    </row>
    <row r="145" spans="1:13" hidden="1" x14ac:dyDescent="0.25">
      <c r="A145" s="16" t="s">
        <v>2097</v>
      </c>
      <c r="B145" s="16" t="s">
        <v>533</v>
      </c>
      <c r="C145">
        <f t="shared" si="4"/>
        <v>795</v>
      </c>
      <c r="L145" t="s">
        <v>2490</v>
      </c>
      <c r="M145">
        <f t="shared" si="5"/>
        <v>905</v>
      </c>
    </row>
    <row r="146" spans="1:13" hidden="1" x14ac:dyDescent="0.25">
      <c r="A146" s="16" t="s">
        <v>2097</v>
      </c>
      <c r="B146" s="16" t="s">
        <v>534</v>
      </c>
      <c r="C146">
        <f t="shared" si="4"/>
        <v>796</v>
      </c>
      <c r="L146" t="s">
        <v>2491</v>
      </c>
      <c r="M146">
        <f t="shared" si="5"/>
        <v>906</v>
      </c>
    </row>
    <row r="147" spans="1:13" hidden="1" x14ac:dyDescent="0.25">
      <c r="A147" s="16" t="s">
        <v>2097</v>
      </c>
      <c r="B147" s="16" t="s">
        <v>535</v>
      </c>
      <c r="C147">
        <f t="shared" si="4"/>
        <v>797</v>
      </c>
      <c r="L147" t="s">
        <v>2492</v>
      </c>
      <c r="M147">
        <f t="shared" si="5"/>
        <v>907</v>
      </c>
    </row>
    <row r="148" spans="1:13" hidden="1" x14ac:dyDescent="0.25">
      <c r="A148" s="16" t="s">
        <v>2097</v>
      </c>
      <c r="B148" s="16" t="s">
        <v>536</v>
      </c>
      <c r="C148">
        <f t="shared" si="4"/>
        <v>798</v>
      </c>
      <c r="L148" t="s">
        <v>2493</v>
      </c>
      <c r="M148">
        <f t="shared" si="5"/>
        <v>908</v>
      </c>
    </row>
    <row r="149" spans="1:13" hidden="1" x14ac:dyDescent="0.25">
      <c r="A149" s="16" t="s">
        <v>2097</v>
      </c>
      <c r="B149" s="16" t="s">
        <v>538</v>
      </c>
      <c r="C149">
        <f t="shared" si="4"/>
        <v>799</v>
      </c>
      <c r="L149" t="s">
        <v>2494</v>
      </c>
      <c r="M149">
        <f t="shared" si="5"/>
        <v>909</v>
      </c>
    </row>
    <row r="150" spans="1:13" hidden="1" x14ac:dyDescent="0.25">
      <c r="A150" s="16" t="s">
        <v>2097</v>
      </c>
      <c r="B150" s="16" t="s">
        <v>539</v>
      </c>
      <c r="C150">
        <f t="shared" si="4"/>
        <v>800</v>
      </c>
      <c r="L150" t="s">
        <v>2495</v>
      </c>
      <c r="M150">
        <f t="shared" si="5"/>
        <v>910</v>
      </c>
    </row>
    <row r="151" spans="1:13" hidden="1" x14ac:dyDescent="0.25">
      <c r="A151" s="16" t="s">
        <v>2097</v>
      </c>
      <c r="B151" s="16" t="s">
        <v>540</v>
      </c>
      <c r="C151">
        <f t="shared" si="4"/>
        <v>801</v>
      </c>
      <c r="L151" t="s">
        <v>2496</v>
      </c>
      <c r="M151">
        <f t="shared" si="5"/>
        <v>911</v>
      </c>
    </row>
    <row r="152" spans="1:13" hidden="1" x14ac:dyDescent="0.25">
      <c r="A152" s="16" t="s">
        <v>2097</v>
      </c>
      <c r="B152" s="16" t="s">
        <v>541</v>
      </c>
      <c r="C152">
        <f t="shared" si="4"/>
        <v>802</v>
      </c>
      <c r="L152" t="s">
        <v>2497</v>
      </c>
      <c r="M152">
        <f t="shared" si="5"/>
        <v>912</v>
      </c>
    </row>
    <row r="153" spans="1:13" hidden="1" x14ac:dyDescent="0.25">
      <c r="A153" s="16" t="s">
        <v>2097</v>
      </c>
      <c r="B153" s="16" t="s">
        <v>542</v>
      </c>
      <c r="C153">
        <f t="shared" si="4"/>
        <v>803</v>
      </c>
      <c r="L153" t="s">
        <v>2498</v>
      </c>
      <c r="M153">
        <f t="shared" si="5"/>
        <v>913</v>
      </c>
    </row>
    <row r="154" spans="1:13" hidden="1" x14ac:dyDescent="0.25">
      <c r="A154" s="16" t="s">
        <v>2097</v>
      </c>
      <c r="B154" s="16" t="s">
        <v>543</v>
      </c>
      <c r="C154">
        <f t="shared" si="4"/>
        <v>804</v>
      </c>
      <c r="L154" t="s">
        <v>2499</v>
      </c>
      <c r="M154">
        <f t="shared" si="5"/>
        <v>914</v>
      </c>
    </row>
    <row r="155" spans="1:13" hidden="1" x14ac:dyDescent="0.25">
      <c r="A155" s="16" t="s">
        <v>2097</v>
      </c>
      <c r="B155" s="16" t="s">
        <v>544</v>
      </c>
      <c r="C155">
        <f t="shared" si="4"/>
        <v>805</v>
      </c>
      <c r="L155" t="s">
        <v>2500</v>
      </c>
      <c r="M155">
        <f t="shared" si="5"/>
        <v>915</v>
      </c>
    </row>
    <row r="156" spans="1:13" hidden="1" x14ac:dyDescent="0.25">
      <c r="A156" s="16" t="s">
        <v>2097</v>
      </c>
      <c r="B156" s="16" t="s">
        <v>545</v>
      </c>
      <c r="C156">
        <f t="shared" si="4"/>
        <v>806</v>
      </c>
      <c r="L156" t="s">
        <v>2501</v>
      </c>
      <c r="M156">
        <f t="shared" si="5"/>
        <v>916</v>
      </c>
    </row>
    <row r="157" spans="1:13" hidden="1" x14ac:dyDescent="0.25">
      <c r="A157" s="16" t="s">
        <v>2097</v>
      </c>
      <c r="B157" s="16" t="s">
        <v>547</v>
      </c>
      <c r="C157">
        <f t="shared" si="4"/>
        <v>807</v>
      </c>
      <c r="L157" t="s">
        <v>2502</v>
      </c>
      <c r="M157">
        <f t="shared" si="5"/>
        <v>917</v>
      </c>
    </row>
    <row r="158" spans="1:13" hidden="1" x14ac:dyDescent="0.25">
      <c r="A158" s="16" t="s">
        <v>2097</v>
      </c>
      <c r="B158" s="16" t="s">
        <v>548</v>
      </c>
      <c r="C158">
        <f t="shared" si="4"/>
        <v>808</v>
      </c>
      <c r="L158" t="s">
        <v>2503</v>
      </c>
      <c r="M158">
        <f t="shared" si="5"/>
        <v>918</v>
      </c>
    </row>
    <row r="159" spans="1:13" hidden="1" x14ac:dyDescent="0.25">
      <c r="A159" s="16" t="s">
        <v>2097</v>
      </c>
      <c r="B159" s="16" t="s">
        <v>549</v>
      </c>
      <c r="C159">
        <f t="shared" si="4"/>
        <v>809</v>
      </c>
      <c r="L159" t="s">
        <v>2504</v>
      </c>
      <c r="M159">
        <f t="shared" si="5"/>
        <v>919</v>
      </c>
    </row>
    <row r="160" spans="1:13" hidden="1" x14ac:dyDescent="0.25">
      <c r="A160" s="16" t="s">
        <v>2097</v>
      </c>
      <c r="B160" s="16" t="s">
        <v>550</v>
      </c>
      <c r="C160">
        <f t="shared" si="4"/>
        <v>810</v>
      </c>
      <c r="L160" t="s">
        <v>2505</v>
      </c>
      <c r="M160">
        <f t="shared" si="5"/>
        <v>920</v>
      </c>
    </row>
    <row r="161" spans="1:13" hidden="1" x14ac:dyDescent="0.25">
      <c r="A161" s="16" t="s">
        <v>2097</v>
      </c>
      <c r="B161" s="16" t="s">
        <v>552</v>
      </c>
      <c r="C161">
        <f t="shared" si="4"/>
        <v>811</v>
      </c>
      <c r="L161" t="s">
        <v>2506</v>
      </c>
      <c r="M161">
        <f t="shared" si="5"/>
        <v>921</v>
      </c>
    </row>
    <row r="162" spans="1:13" hidden="1" x14ac:dyDescent="0.25">
      <c r="A162" s="16" t="s">
        <v>2097</v>
      </c>
      <c r="B162" s="16" t="s">
        <v>553</v>
      </c>
      <c r="C162">
        <f t="shared" si="4"/>
        <v>812</v>
      </c>
      <c r="L162" t="s">
        <v>2507</v>
      </c>
      <c r="M162">
        <f t="shared" si="5"/>
        <v>922</v>
      </c>
    </row>
    <row r="163" spans="1:13" hidden="1" x14ac:dyDescent="0.25">
      <c r="A163" s="16" t="s">
        <v>2097</v>
      </c>
      <c r="B163" s="16" t="s">
        <v>554</v>
      </c>
      <c r="C163">
        <f t="shared" si="4"/>
        <v>813</v>
      </c>
      <c r="L163" t="s">
        <v>2508</v>
      </c>
      <c r="M163">
        <f t="shared" si="5"/>
        <v>923</v>
      </c>
    </row>
    <row r="164" spans="1:13" hidden="1" x14ac:dyDescent="0.25">
      <c r="A164" s="16" t="s">
        <v>2097</v>
      </c>
      <c r="B164" s="16" t="s">
        <v>555</v>
      </c>
      <c r="C164">
        <f t="shared" si="4"/>
        <v>814</v>
      </c>
      <c r="L164" t="s">
        <v>2509</v>
      </c>
      <c r="M164">
        <f t="shared" si="5"/>
        <v>924</v>
      </c>
    </row>
    <row r="165" spans="1:13" hidden="1" x14ac:dyDescent="0.25">
      <c r="A165" s="16" t="s">
        <v>2097</v>
      </c>
      <c r="B165" s="16" t="s">
        <v>556</v>
      </c>
      <c r="C165">
        <f t="shared" si="4"/>
        <v>815</v>
      </c>
      <c r="L165" t="s">
        <v>2510</v>
      </c>
      <c r="M165">
        <f t="shared" si="5"/>
        <v>925</v>
      </c>
    </row>
    <row r="166" spans="1:13" hidden="1" x14ac:dyDescent="0.25">
      <c r="A166" s="16" t="s">
        <v>2097</v>
      </c>
      <c r="B166" s="16" t="s">
        <v>557</v>
      </c>
      <c r="C166">
        <f t="shared" si="4"/>
        <v>816</v>
      </c>
      <c r="L166" t="s">
        <v>2511</v>
      </c>
      <c r="M166">
        <f t="shared" si="5"/>
        <v>926</v>
      </c>
    </row>
    <row r="167" spans="1:13" hidden="1" x14ac:dyDescent="0.25">
      <c r="A167" s="16" t="s">
        <v>2097</v>
      </c>
      <c r="B167" s="16" t="s">
        <v>558</v>
      </c>
      <c r="C167">
        <f t="shared" si="4"/>
        <v>817</v>
      </c>
      <c r="L167" t="s">
        <v>2512</v>
      </c>
      <c r="M167">
        <f t="shared" si="5"/>
        <v>927</v>
      </c>
    </row>
    <row r="168" spans="1:13" hidden="1" x14ac:dyDescent="0.25">
      <c r="A168" s="16" t="s">
        <v>2097</v>
      </c>
      <c r="B168" s="16" t="s">
        <v>559</v>
      </c>
      <c r="C168">
        <f t="shared" si="4"/>
        <v>818</v>
      </c>
      <c r="L168" t="s">
        <v>2513</v>
      </c>
      <c r="M168">
        <f t="shared" si="5"/>
        <v>928</v>
      </c>
    </row>
    <row r="169" spans="1:13" hidden="1" x14ac:dyDescent="0.25">
      <c r="A169" s="16" t="s">
        <v>2097</v>
      </c>
      <c r="B169" s="16" t="s">
        <v>560</v>
      </c>
      <c r="C169">
        <f t="shared" si="4"/>
        <v>819</v>
      </c>
      <c r="L169" t="s">
        <v>2514</v>
      </c>
      <c r="M169">
        <f t="shared" si="5"/>
        <v>929</v>
      </c>
    </row>
    <row r="170" spans="1:13" hidden="1" x14ac:dyDescent="0.25">
      <c r="A170" s="16" t="s">
        <v>2097</v>
      </c>
      <c r="B170" s="16" t="s">
        <v>561</v>
      </c>
      <c r="C170">
        <f t="shared" si="4"/>
        <v>820</v>
      </c>
      <c r="L170" t="s">
        <v>2515</v>
      </c>
      <c r="M170">
        <f t="shared" si="5"/>
        <v>930</v>
      </c>
    </row>
    <row r="171" spans="1:13" hidden="1" x14ac:dyDescent="0.25">
      <c r="A171" s="16" t="s">
        <v>2097</v>
      </c>
      <c r="B171" s="16" t="s">
        <v>562</v>
      </c>
      <c r="C171">
        <f t="shared" si="4"/>
        <v>821</v>
      </c>
      <c r="L171" t="s">
        <v>2516</v>
      </c>
      <c r="M171">
        <f t="shared" si="5"/>
        <v>931</v>
      </c>
    </row>
    <row r="172" spans="1:13" hidden="1" x14ac:dyDescent="0.25">
      <c r="A172" s="16" t="s">
        <v>2097</v>
      </c>
      <c r="B172" s="16" t="s">
        <v>563</v>
      </c>
      <c r="C172">
        <f t="shared" si="4"/>
        <v>822</v>
      </c>
      <c r="L172" t="s">
        <v>2517</v>
      </c>
      <c r="M172">
        <f t="shared" si="5"/>
        <v>932</v>
      </c>
    </row>
    <row r="173" spans="1:13" hidden="1" x14ac:dyDescent="0.25">
      <c r="A173" s="16" t="s">
        <v>2097</v>
      </c>
      <c r="B173" s="16" t="s">
        <v>564</v>
      </c>
      <c r="C173">
        <f t="shared" si="4"/>
        <v>823</v>
      </c>
      <c r="L173" t="s">
        <v>2518</v>
      </c>
      <c r="M173">
        <f t="shared" si="5"/>
        <v>933</v>
      </c>
    </row>
    <row r="174" spans="1:13" hidden="1" x14ac:dyDescent="0.25">
      <c r="A174" s="16" t="s">
        <v>2097</v>
      </c>
      <c r="B174" s="16" t="s">
        <v>565</v>
      </c>
      <c r="C174">
        <f t="shared" si="4"/>
        <v>824</v>
      </c>
      <c r="L174" t="s">
        <v>2519</v>
      </c>
      <c r="M174">
        <f t="shared" si="5"/>
        <v>934</v>
      </c>
    </row>
    <row r="175" spans="1:13" hidden="1" x14ac:dyDescent="0.25">
      <c r="A175" s="16" t="s">
        <v>2097</v>
      </c>
      <c r="B175" s="16" t="s">
        <v>566</v>
      </c>
      <c r="C175">
        <f t="shared" si="4"/>
        <v>825</v>
      </c>
      <c r="L175" t="s">
        <v>2520</v>
      </c>
      <c r="M175">
        <f t="shared" si="5"/>
        <v>935</v>
      </c>
    </row>
    <row r="176" spans="1:13" hidden="1" x14ac:dyDescent="0.25">
      <c r="A176" s="16" t="s">
        <v>2097</v>
      </c>
      <c r="B176" s="16" t="s">
        <v>567</v>
      </c>
      <c r="C176">
        <f t="shared" si="4"/>
        <v>826</v>
      </c>
      <c r="L176" t="s">
        <v>2521</v>
      </c>
      <c r="M176">
        <f t="shared" si="5"/>
        <v>936</v>
      </c>
    </row>
    <row r="177" spans="1:13" hidden="1" x14ac:dyDescent="0.25">
      <c r="A177" s="16" t="s">
        <v>2097</v>
      </c>
      <c r="B177" s="16" t="s">
        <v>568</v>
      </c>
      <c r="C177">
        <f t="shared" si="4"/>
        <v>827</v>
      </c>
      <c r="L177" t="s">
        <v>2522</v>
      </c>
      <c r="M177">
        <f t="shared" si="5"/>
        <v>937</v>
      </c>
    </row>
    <row r="178" spans="1:13" hidden="1" x14ac:dyDescent="0.25">
      <c r="A178" s="16" t="s">
        <v>2097</v>
      </c>
      <c r="B178" s="16" t="s">
        <v>569</v>
      </c>
      <c r="C178">
        <f t="shared" si="4"/>
        <v>828</v>
      </c>
      <c r="L178" t="s">
        <v>2523</v>
      </c>
      <c r="M178">
        <f t="shared" si="5"/>
        <v>938</v>
      </c>
    </row>
    <row r="179" spans="1:13" hidden="1" x14ac:dyDescent="0.25">
      <c r="A179" s="16" t="s">
        <v>2097</v>
      </c>
      <c r="B179" s="16" t="s">
        <v>570</v>
      </c>
      <c r="C179">
        <f t="shared" si="4"/>
        <v>829</v>
      </c>
      <c r="L179" t="s">
        <v>2524</v>
      </c>
      <c r="M179">
        <f t="shared" si="5"/>
        <v>939</v>
      </c>
    </row>
    <row r="180" spans="1:13" hidden="1" x14ac:dyDescent="0.25">
      <c r="A180" s="16" t="s">
        <v>2097</v>
      </c>
      <c r="B180" s="16" t="s">
        <v>571</v>
      </c>
      <c r="C180">
        <f t="shared" si="4"/>
        <v>830</v>
      </c>
      <c r="L180" t="s">
        <v>2525</v>
      </c>
      <c r="M180">
        <f t="shared" si="5"/>
        <v>940</v>
      </c>
    </row>
    <row r="181" spans="1:13" hidden="1" x14ac:dyDescent="0.25">
      <c r="A181" s="16" t="s">
        <v>2097</v>
      </c>
      <c r="B181" s="16" t="s">
        <v>572</v>
      </c>
      <c r="C181">
        <f t="shared" si="4"/>
        <v>831</v>
      </c>
      <c r="L181" t="s">
        <v>2526</v>
      </c>
      <c r="M181">
        <f t="shared" si="5"/>
        <v>941</v>
      </c>
    </row>
    <row r="182" spans="1:13" hidden="1" x14ac:dyDescent="0.25">
      <c r="A182" s="16" t="s">
        <v>2097</v>
      </c>
      <c r="B182" s="16" t="s">
        <v>573</v>
      </c>
      <c r="C182">
        <f t="shared" si="4"/>
        <v>832</v>
      </c>
      <c r="L182" t="s">
        <v>1029</v>
      </c>
      <c r="M182">
        <f t="shared" si="5"/>
        <v>942</v>
      </c>
    </row>
    <row r="183" spans="1:13" hidden="1" x14ac:dyDescent="0.25">
      <c r="A183" s="16" t="s">
        <v>2097</v>
      </c>
      <c r="B183" s="16" t="s">
        <v>733</v>
      </c>
      <c r="C183" t="e">
        <f t="shared" si="4"/>
        <v>#N/A</v>
      </c>
      <c r="L183" t="s">
        <v>771</v>
      </c>
      <c r="M183">
        <f t="shared" si="5"/>
        <v>1187</v>
      </c>
    </row>
    <row r="184" spans="1:13" hidden="1" x14ac:dyDescent="0.25">
      <c r="A184" s="16" t="s">
        <v>2097</v>
      </c>
      <c r="B184" s="16" t="s">
        <v>734</v>
      </c>
      <c r="C184" t="e">
        <f t="shared" si="4"/>
        <v>#N/A</v>
      </c>
      <c r="L184" t="s">
        <v>772</v>
      </c>
      <c r="M184">
        <f t="shared" si="5"/>
        <v>1188</v>
      </c>
    </row>
    <row r="185" spans="1:13" hidden="1" x14ac:dyDescent="0.25">
      <c r="A185" s="16" t="s">
        <v>2097</v>
      </c>
      <c r="B185" s="16" t="s">
        <v>735</v>
      </c>
      <c r="C185" t="e">
        <f t="shared" si="4"/>
        <v>#N/A</v>
      </c>
      <c r="L185" t="s">
        <v>773</v>
      </c>
      <c r="M185">
        <f t="shared" si="5"/>
        <v>1189</v>
      </c>
    </row>
    <row r="186" spans="1:13" hidden="1" x14ac:dyDescent="0.25">
      <c r="A186" s="16" t="s">
        <v>2097</v>
      </c>
      <c r="B186" s="16" t="s">
        <v>736</v>
      </c>
      <c r="C186" t="e">
        <f t="shared" si="4"/>
        <v>#N/A</v>
      </c>
      <c r="L186" t="s">
        <v>774</v>
      </c>
      <c r="M186">
        <f t="shared" si="5"/>
        <v>1190</v>
      </c>
    </row>
    <row r="187" spans="1:13" hidden="1" x14ac:dyDescent="0.25">
      <c r="A187" s="16" t="s">
        <v>2097</v>
      </c>
      <c r="B187" s="16" t="s">
        <v>737</v>
      </c>
      <c r="C187" t="e">
        <f t="shared" si="4"/>
        <v>#N/A</v>
      </c>
      <c r="L187" t="s">
        <v>775</v>
      </c>
      <c r="M187">
        <f t="shared" si="5"/>
        <v>1191</v>
      </c>
    </row>
    <row r="188" spans="1:13" hidden="1" x14ac:dyDescent="0.25">
      <c r="A188" s="16" t="s">
        <v>2097</v>
      </c>
      <c r="B188" s="16" t="s">
        <v>738</v>
      </c>
      <c r="C188" t="e">
        <f t="shared" si="4"/>
        <v>#N/A</v>
      </c>
      <c r="L188" t="s">
        <v>776</v>
      </c>
      <c r="M188">
        <f t="shared" si="5"/>
        <v>1192</v>
      </c>
    </row>
    <row r="189" spans="1:13" hidden="1" x14ac:dyDescent="0.25">
      <c r="A189" s="16" t="s">
        <v>2097</v>
      </c>
      <c r="B189" s="16" t="s">
        <v>739</v>
      </c>
      <c r="C189" t="e">
        <f t="shared" si="4"/>
        <v>#N/A</v>
      </c>
      <c r="L189" t="s">
        <v>777</v>
      </c>
      <c r="M189">
        <f t="shared" si="5"/>
        <v>1193</v>
      </c>
    </row>
    <row r="190" spans="1:13" hidden="1" x14ac:dyDescent="0.25">
      <c r="A190" s="16" t="s">
        <v>2097</v>
      </c>
      <c r="B190" s="16" t="s">
        <v>740</v>
      </c>
      <c r="C190" t="e">
        <f t="shared" si="4"/>
        <v>#N/A</v>
      </c>
      <c r="L190" t="s">
        <v>778</v>
      </c>
      <c r="M190">
        <f t="shared" si="5"/>
        <v>1194</v>
      </c>
    </row>
    <row r="191" spans="1:13" hidden="1" x14ac:dyDescent="0.25">
      <c r="A191" s="16" t="s">
        <v>2097</v>
      </c>
      <c r="B191" s="16" t="s">
        <v>741</v>
      </c>
      <c r="C191" t="e">
        <f t="shared" si="4"/>
        <v>#N/A</v>
      </c>
      <c r="L191" t="s">
        <v>779</v>
      </c>
      <c r="M191">
        <f t="shared" si="5"/>
        <v>1195</v>
      </c>
    </row>
    <row r="192" spans="1:13" hidden="1" x14ac:dyDescent="0.25">
      <c r="A192" s="16" t="s">
        <v>2097</v>
      </c>
      <c r="B192" s="16" t="s">
        <v>742</v>
      </c>
      <c r="C192" t="e">
        <f t="shared" si="4"/>
        <v>#N/A</v>
      </c>
      <c r="L192" t="s">
        <v>780</v>
      </c>
      <c r="M192">
        <f t="shared" si="5"/>
        <v>1196</v>
      </c>
    </row>
    <row r="193" spans="1:13" hidden="1" x14ac:dyDescent="0.25">
      <c r="A193" s="16" t="s">
        <v>2097</v>
      </c>
      <c r="B193" s="16" t="s">
        <v>743</v>
      </c>
      <c r="C193" t="e">
        <f t="shared" si="4"/>
        <v>#N/A</v>
      </c>
      <c r="L193" t="s">
        <v>781</v>
      </c>
      <c r="M193">
        <f t="shared" si="5"/>
        <v>1197</v>
      </c>
    </row>
    <row r="194" spans="1:13" hidden="1" x14ac:dyDescent="0.25">
      <c r="A194" s="16" t="s">
        <v>2097</v>
      </c>
      <c r="B194" s="16" t="s">
        <v>744</v>
      </c>
      <c r="C194" t="e">
        <f t="shared" si="4"/>
        <v>#N/A</v>
      </c>
      <c r="L194" t="s">
        <v>782</v>
      </c>
      <c r="M194">
        <f t="shared" si="5"/>
        <v>1198</v>
      </c>
    </row>
    <row r="195" spans="1:13" hidden="1" x14ac:dyDescent="0.25">
      <c r="A195" s="16" t="s">
        <v>2097</v>
      </c>
      <c r="B195" s="16" t="s">
        <v>745</v>
      </c>
      <c r="C195" t="e">
        <f t="shared" ref="C195:C258" si="6">MATCH(B195,L:L,0)</f>
        <v>#N/A</v>
      </c>
      <c r="L195" t="s">
        <v>783</v>
      </c>
      <c r="M195">
        <f t="shared" ref="M195:M258" si="7">MATCH(L195,B:B,0)</f>
        <v>1199</v>
      </c>
    </row>
    <row r="196" spans="1:13" hidden="1" x14ac:dyDescent="0.25">
      <c r="A196" s="16" t="s">
        <v>2097</v>
      </c>
      <c r="B196" s="16" t="s">
        <v>746</v>
      </c>
      <c r="C196" t="e">
        <f t="shared" si="6"/>
        <v>#N/A</v>
      </c>
      <c r="L196" t="s">
        <v>784</v>
      </c>
      <c r="M196">
        <f t="shared" si="7"/>
        <v>1200</v>
      </c>
    </row>
    <row r="197" spans="1:13" hidden="1" x14ac:dyDescent="0.25">
      <c r="A197" s="16" t="s">
        <v>2097</v>
      </c>
      <c r="B197" s="16" t="s">
        <v>630</v>
      </c>
      <c r="C197">
        <f t="shared" si="6"/>
        <v>889</v>
      </c>
      <c r="L197" t="s">
        <v>785</v>
      </c>
      <c r="M197">
        <f t="shared" si="7"/>
        <v>1201</v>
      </c>
    </row>
    <row r="198" spans="1:13" hidden="1" x14ac:dyDescent="0.25">
      <c r="A198" s="16" t="s">
        <v>2097</v>
      </c>
      <c r="B198" s="16" t="s">
        <v>631</v>
      </c>
      <c r="C198">
        <f t="shared" si="6"/>
        <v>890</v>
      </c>
      <c r="L198" t="s">
        <v>786</v>
      </c>
      <c r="M198">
        <f t="shared" si="7"/>
        <v>1202</v>
      </c>
    </row>
    <row r="199" spans="1:13" hidden="1" x14ac:dyDescent="0.25">
      <c r="A199" s="16" t="s">
        <v>2097</v>
      </c>
      <c r="B199" s="16" t="s">
        <v>632</v>
      </c>
      <c r="C199">
        <f t="shared" si="6"/>
        <v>891</v>
      </c>
      <c r="L199" t="s">
        <v>787</v>
      </c>
      <c r="M199">
        <f t="shared" si="7"/>
        <v>1203</v>
      </c>
    </row>
    <row r="200" spans="1:13" hidden="1" x14ac:dyDescent="0.25">
      <c r="A200" s="16" t="s">
        <v>2097</v>
      </c>
      <c r="B200" s="16" t="s">
        <v>633</v>
      </c>
      <c r="C200">
        <f t="shared" si="6"/>
        <v>892</v>
      </c>
      <c r="L200" t="s">
        <v>788</v>
      </c>
      <c r="M200">
        <f t="shared" si="7"/>
        <v>1204</v>
      </c>
    </row>
    <row r="201" spans="1:13" hidden="1" x14ac:dyDescent="0.25">
      <c r="A201" s="16" t="s">
        <v>2097</v>
      </c>
      <c r="B201" s="16" t="s">
        <v>634</v>
      </c>
      <c r="C201">
        <f t="shared" si="6"/>
        <v>893</v>
      </c>
      <c r="L201" t="s">
        <v>789</v>
      </c>
      <c r="M201">
        <f t="shared" si="7"/>
        <v>1205</v>
      </c>
    </row>
    <row r="202" spans="1:13" hidden="1" x14ac:dyDescent="0.25">
      <c r="A202" s="16" t="s">
        <v>2097</v>
      </c>
      <c r="B202" s="16" t="s">
        <v>635</v>
      </c>
      <c r="C202">
        <f t="shared" si="6"/>
        <v>894</v>
      </c>
      <c r="L202" t="s">
        <v>790</v>
      </c>
      <c r="M202">
        <f t="shared" si="7"/>
        <v>1206</v>
      </c>
    </row>
    <row r="203" spans="1:13" hidden="1" x14ac:dyDescent="0.25">
      <c r="A203" s="16" t="s">
        <v>2097</v>
      </c>
      <c r="B203" s="16" t="s">
        <v>636</v>
      </c>
      <c r="C203">
        <f t="shared" si="6"/>
        <v>895</v>
      </c>
      <c r="L203" t="s">
        <v>791</v>
      </c>
      <c r="M203">
        <f t="shared" si="7"/>
        <v>1207</v>
      </c>
    </row>
    <row r="204" spans="1:13" hidden="1" x14ac:dyDescent="0.25">
      <c r="A204" s="16" t="s">
        <v>2097</v>
      </c>
      <c r="B204" s="16" t="s">
        <v>637</v>
      </c>
      <c r="C204">
        <f t="shared" si="6"/>
        <v>896</v>
      </c>
      <c r="L204" t="s">
        <v>792</v>
      </c>
      <c r="M204">
        <f t="shared" si="7"/>
        <v>1208</v>
      </c>
    </row>
    <row r="205" spans="1:13" hidden="1" x14ac:dyDescent="0.25">
      <c r="A205" s="16" t="s">
        <v>2097</v>
      </c>
      <c r="B205" s="16" t="s">
        <v>638</v>
      </c>
      <c r="C205">
        <f t="shared" si="6"/>
        <v>897</v>
      </c>
      <c r="L205" t="s">
        <v>793</v>
      </c>
      <c r="M205">
        <f t="shared" si="7"/>
        <v>1209</v>
      </c>
    </row>
    <row r="206" spans="1:13" hidden="1" x14ac:dyDescent="0.25">
      <c r="A206" s="16" t="s">
        <v>2097</v>
      </c>
      <c r="B206" s="16" t="s">
        <v>639</v>
      </c>
      <c r="C206">
        <f t="shared" si="6"/>
        <v>898</v>
      </c>
      <c r="L206" t="s">
        <v>794</v>
      </c>
      <c r="M206">
        <f t="shared" si="7"/>
        <v>1210</v>
      </c>
    </row>
    <row r="207" spans="1:13" hidden="1" x14ac:dyDescent="0.25">
      <c r="A207" s="16" t="s">
        <v>2097</v>
      </c>
      <c r="B207" s="16" t="s">
        <v>640</v>
      </c>
      <c r="C207">
        <f t="shared" si="6"/>
        <v>899</v>
      </c>
      <c r="L207" t="s">
        <v>795</v>
      </c>
      <c r="M207">
        <f t="shared" si="7"/>
        <v>1211</v>
      </c>
    </row>
    <row r="208" spans="1:13" hidden="1" x14ac:dyDescent="0.25">
      <c r="A208" s="16" t="s">
        <v>2097</v>
      </c>
      <c r="B208" s="16" t="s">
        <v>641</v>
      </c>
      <c r="C208">
        <f t="shared" si="6"/>
        <v>900</v>
      </c>
      <c r="L208" t="s">
        <v>796</v>
      </c>
      <c r="M208">
        <f t="shared" si="7"/>
        <v>1212</v>
      </c>
    </row>
    <row r="209" spans="1:13" hidden="1" x14ac:dyDescent="0.25">
      <c r="A209" s="16" t="s">
        <v>2097</v>
      </c>
      <c r="B209" s="16" t="s">
        <v>642</v>
      </c>
      <c r="C209">
        <f t="shared" si="6"/>
        <v>901</v>
      </c>
      <c r="L209" t="s">
        <v>797</v>
      </c>
      <c r="M209">
        <f t="shared" si="7"/>
        <v>1213</v>
      </c>
    </row>
    <row r="210" spans="1:13" hidden="1" x14ac:dyDescent="0.25">
      <c r="A210" s="16" t="s">
        <v>2097</v>
      </c>
      <c r="B210" s="16" t="s">
        <v>643</v>
      </c>
      <c r="C210">
        <f t="shared" si="6"/>
        <v>902</v>
      </c>
      <c r="L210" t="s">
        <v>798</v>
      </c>
      <c r="M210">
        <f t="shared" si="7"/>
        <v>1214</v>
      </c>
    </row>
    <row r="211" spans="1:13" hidden="1" x14ac:dyDescent="0.25">
      <c r="A211" s="16" t="s">
        <v>2097</v>
      </c>
      <c r="B211" s="16" t="s">
        <v>644</v>
      </c>
      <c r="C211">
        <f t="shared" si="6"/>
        <v>903</v>
      </c>
      <c r="L211" t="s">
        <v>799</v>
      </c>
      <c r="M211">
        <f t="shared" si="7"/>
        <v>1215</v>
      </c>
    </row>
    <row r="212" spans="1:13" hidden="1" x14ac:dyDescent="0.25">
      <c r="A212" s="16" t="s">
        <v>2097</v>
      </c>
      <c r="B212" s="16" t="s">
        <v>645</v>
      </c>
      <c r="C212">
        <f t="shared" si="6"/>
        <v>904</v>
      </c>
      <c r="L212" t="s">
        <v>800</v>
      </c>
      <c r="M212">
        <f t="shared" si="7"/>
        <v>1216</v>
      </c>
    </row>
    <row r="213" spans="1:13" hidden="1" x14ac:dyDescent="0.25">
      <c r="A213" s="16" t="s">
        <v>2097</v>
      </c>
      <c r="B213" s="16" t="s">
        <v>646</v>
      </c>
      <c r="C213">
        <f t="shared" si="6"/>
        <v>905</v>
      </c>
      <c r="L213" t="s">
        <v>801</v>
      </c>
      <c r="M213">
        <f t="shared" si="7"/>
        <v>1217</v>
      </c>
    </row>
    <row r="214" spans="1:13" hidden="1" x14ac:dyDescent="0.25">
      <c r="A214" s="16" t="s">
        <v>2097</v>
      </c>
      <c r="B214" s="16" t="s">
        <v>647</v>
      </c>
      <c r="C214">
        <f t="shared" si="6"/>
        <v>906</v>
      </c>
      <c r="L214" t="s">
        <v>802</v>
      </c>
      <c r="M214">
        <f t="shared" si="7"/>
        <v>1218</v>
      </c>
    </row>
    <row r="215" spans="1:13" hidden="1" x14ac:dyDescent="0.25">
      <c r="A215" s="16" t="s">
        <v>2097</v>
      </c>
      <c r="B215" s="16" t="s">
        <v>648</v>
      </c>
      <c r="C215">
        <f t="shared" si="6"/>
        <v>907</v>
      </c>
      <c r="L215" t="s">
        <v>803</v>
      </c>
      <c r="M215">
        <f t="shared" si="7"/>
        <v>1219</v>
      </c>
    </row>
    <row r="216" spans="1:13" hidden="1" x14ac:dyDescent="0.25">
      <c r="A216" s="16" t="s">
        <v>2097</v>
      </c>
      <c r="B216" s="16" t="s">
        <v>649</v>
      </c>
      <c r="C216">
        <f t="shared" si="6"/>
        <v>908</v>
      </c>
      <c r="L216" t="s">
        <v>804</v>
      </c>
      <c r="M216">
        <f t="shared" si="7"/>
        <v>1220</v>
      </c>
    </row>
    <row r="217" spans="1:13" hidden="1" x14ac:dyDescent="0.25">
      <c r="A217" s="16" t="s">
        <v>2097</v>
      </c>
      <c r="B217" s="16" t="s">
        <v>650</v>
      </c>
      <c r="C217">
        <f t="shared" si="6"/>
        <v>909</v>
      </c>
      <c r="L217" t="s">
        <v>805</v>
      </c>
      <c r="M217">
        <f t="shared" si="7"/>
        <v>1221</v>
      </c>
    </row>
    <row r="218" spans="1:13" hidden="1" x14ac:dyDescent="0.25">
      <c r="A218" s="16" t="s">
        <v>2097</v>
      </c>
      <c r="B218" s="16" t="s">
        <v>747</v>
      </c>
      <c r="C218" t="e">
        <f t="shared" si="6"/>
        <v>#N/A</v>
      </c>
      <c r="L218" t="s">
        <v>806</v>
      </c>
      <c r="M218">
        <f t="shared" si="7"/>
        <v>1222</v>
      </c>
    </row>
    <row r="219" spans="1:13" hidden="1" x14ac:dyDescent="0.25">
      <c r="A219" s="16" t="s">
        <v>2097</v>
      </c>
      <c r="B219" s="16" t="s">
        <v>748</v>
      </c>
      <c r="C219" t="e">
        <f t="shared" si="6"/>
        <v>#N/A</v>
      </c>
      <c r="L219" t="s">
        <v>807</v>
      </c>
      <c r="M219">
        <f t="shared" si="7"/>
        <v>1223</v>
      </c>
    </row>
    <row r="220" spans="1:13" hidden="1" x14ac:dyDescent="0.25">
      <c r="A220" s="16" t="s">
        <v>2097</v>
      </c>
      <c r="B220" s="16" t="s">
        <v>749</v>
      </c>
      <c r="C220" t="e">
        <f t="shared" si="6"/>
        <v>#N/A</v>
      </c>
      <c r="L220" t="s">
        <v>808</v>
      </c>
      <c r="M220">
        <f t="shared" si="7"/>
        <v>1224</v>
      </c>
    </row>
    <row r="221" spans="1:13" hidden="1" x14ac:dyDescent="0.25">
      <c r="A221" s="16" t="s">
        <v>2097</v>
      </c>
      <c r="B221" s="16" t="s">
        <v>750</v>
      </c>
      <c r="C221" t="e">
        <f t="shared" si="6"/>
        <v>#N/A</v>
      </c>
      <c r="L221" t="s">
        <v>809</v>
      </c>
      <c r="M221">
        <f t="shared" si="7"/>
        <v>1225</v>
      </c>
    </row>
    <row r="222" spans="1:13" hidden="1" x14ac:dyDescent="0.25">
      <c r="A222" s="16" t="s">
        <v>2097</v>
      </c>
      <c r="B222" s="16" t="s">
        <v>751</v>
      </c>
      <c r="C222" t="e">
        <f t="shared" si="6"/>
        <v>#N/A</v>
      </c>
      <c r="L222" t="s">
        <v>810</v>
      </c>
      <c r="M222">
        <f t="shared" si="7"/>
        <v>1226</v>
      </c>
    </row>
    <row r="223" spans="1:13" hidden="1" x14ac:dyDescent="0.25">
      <c r="A223" s="16" t="s">
        <v>2097</v>
      </c>
      <c r="B223" s="16" t="s">
        <v>752</v>
      </c>
      <c r="C223" t="e">
        <f t="shared" si="6"/>
        <v>#N/A</v>
      </c>
      <c r="L223" t="s">
        <v>811</v>
      </c>
      <c r="M223">
        <f t="shared" si="7"/>
        <v>1227</v>
      </c>
    </row>
    <row r="224" spans="1:13" hidden="1" x14ac:dyDescent="0.25">
      <c r="A224" s="16" t="s">
        <v>2097</v>
      </c>
      <c r="B224" s="16" t="s">
        <v>753</v>
      </c>
      <c r="C224" t="e">
        <f t="shared" si="6"/>
        <v>#N/A</v>
      </c>
      <c r="L224" t="s">
        <v>812</v>
      </c>
      <c r="M224">
        <f t="shared" si="7"/>
        <v>1228</v>
      </c>
    </row>
    <row r="225" spans="1:13" hidden="1" x14ac:dyDescent="0.25">
      <c r="A225" s="16" t="s">
        <v>2097</v>
      </c>
      <c r="B225" s="16" t="s">
        <v>754</v>
      </c>
      <c r="C225" t="e">
        <f t="shared" si="6"/>
        <v>#N/A</v>
      </c>
      <c r="L225" t="s">
        <v>1040</v>
      </c>
      <c r="M225">
        <f t="shared" si="7"/>
        <v>1439</v>
      </c>
    </row>
    <row r="226" spans="1:13" hidden="1" x14ac:dyDescent="0.25">
      <c r="A226" s="16" t="s">
        <v>2097</v>
      </c>
      <c r="B226" s="16" t="s">
        <v>755</v>
      </c>
      <c r="C226" t="e">
        <f t="shared" si="6"/>
        <v>#N/A</v>
      </c>
      <c r="L226" t="s">
        <v>1041</v>
      </c>
      <c r="M226">
        <f t="shared" si="7"/>
        <v>1440</v>
      </c>
    </row>
    <row r="227" spans="1:13" hidden="1" x14ac:dyDescent="0.25">
      <c r="A227" s="16" t="s">
        <v>2097</v>
      </c>
      <c r="B227" s="16" t="s">
        <v>756</v>
      </c>
      <c r="C227" t="e">
        <f t="shared" si="6"/>
        <v>#N/A</v>
      </c>
      <c r="L227" t="s">
        <v>1042</v>
      </c>
      <c r="M227">
        <f t="shared" si="7"/>
        <v>1441</v>
      </c>
    </row>
    <row r="228" spans="1:13" hidden="1" x14ac:dyDescent="0.25">
      <c r="A228" s="16" t="s">
        <v>2097</v>
      </c>
      <c r="B228" s="16" t="s">
        <v>757</v>
      </c>
      <c r="C228" t="e">
        <f t="shared" si="6"/>
        <v>#N/A</v>
      </c>
      <c r="L228" t="s">
        <v>1043</v>
      </c>
      <c r="M228">
        <f t="shared" si="7"/>
        <v>1442</v>
      </c>
    </row>
    <row r="229" spans="1:13" hidden="1" x14ac:dyDescent="0.25">
      <c r="A229" s="16" t="s">
        <v>2097</v>
      </c>
      <c r="B229" s="16" t="s">
        <v>758</v>
      </c>
      <c r="C229" t="e">
        <f t="shared" si="6"/>
        <v>#N/A</v>
      </c>
      <c r="L229" t="s">
        <v>1044</v>
      </c>
      <c r="M229">
        <f t="shared" si="7"/>
        <v>1443</v>
      </c>
    </row>
    <row r="230" spans="1:13" hidden="1" x14ac:dyDescent="0.25">
      <c r="A230" s="16" t="s">
        <v>2097</v>
      </c>
      <c r="B230" s="16" t="s">
        <v>759</v>
      </c>
      <c r="C230" t="e">
        <f t="shared" si="6"/>
        <v>#N/A</v>
      </c>
      <c r="L230" t="s">
        <v>1045</v>
      </c>
      <c r="M230">
        <f t="shared" si="7"/>
        <v>1444</v>
      </c>
    </row>
    <row r="231" spans="1:13" hidden="1" x14ac:dyDescent="0.25">
      <c r="A231" s="16" t="s">
        <v>2097</v>
      </c>
      <c r="B231" s="16" t="s">
        <v>760</v>
      </c>
      <c r="C231" t="e">
        <f t="shared" si="6"/>
        <v>#N/A</v>
      </c>
      <c r="L231" t="s">
        <v>1046</v>
      </c>
      <c r="M231">
        <f t="shared" si="7"/>
        <v>1445</v>
      </c>
    </row>
    <row r="232" spans="1:13" hidden="1" x14ac:dyDescent="0.25">
      <c r="A232" s="16" t="s">
        <v>2097</v>
      </c>
      <c r="B232" s="16" t="s">
        <v>707</v>
      </c>
      <c r="C232">
        <f t="shared" si="6"/>
        <v>966</v>
      </c>
      <c r="L232" t="s">
        <v>1047</v>
      </c>
      <c r="M232">
        <f t="shared" si="7"/>
        <v>1446</v>
      </c>
    </row>
    <row r="233" spans="1:13" hidden="1" x14ac:dyDescent="0.25">
      <c r="A233" s="16" t="s">
        <v>2097</v>
      </c>
      <c r="B233" s="16" t="s">
        <v>708</v>
      </c>
      <c r="C233">
        <f t="shared" si="6"/>
        <v>967</v>
      </c>
      <c r="L233" t="s">
        <v>1048</v>
      </c>
      <c r="M233">
        <f t="shared" si="7"/>
        <v>1447</v>
      </c>
    </row>
    <row r="234" spans="1:13" hidden="1" x14ac:dyDescent="0.25">
      <c r="A234" s="16" t="s">
        <v>2097</v>
      </c>
      <c r="B234" s="16" t="s">
        <v>709</v>
      </c>
      <c r="C234">
        <f t="shared" si="6"/>
        <v>968</v>
      </c>
      <c r="L234" t="s">
        <v>1049</v>
      </c>
      <c r="M234">
        <f t="shared" si="7"/>
        <v>1448</v>
      </c>
    </row>
    <row r="235" spans="1:13" hidden="1" x14ac:dyDescent="0.25">
      <c r="A235" s="16" t="s">
        <v>2097</v>
      </c>
      <c r="B235" s="16" t="s">
        <v>710</v>
      </c>
      <c r="C235">
        <f t="shared" si="6"/>
        <v>969</v>
      </c>
      <c r="L235" t="s">
        <v>1050</v>
      </c>
      <c r="M235">
        <f t="shared" si="7"/>
        <v>1449</v>
      </c>
    </row>
    <row r="236" spans="1:13" hidden="1" x14ac:dyDescent="0.25">
      <c r="A236" s="16" t="s">
        <v>2097</v>
      </c>
      <c r="B236" s="16" t="s">
        <v>711</v>
      </c>
      <c r="C236">
        <f t="shared" si="6"/>
        <v>970</v>
      </c>
      <c r="L236" t="s">
        <v>1051</v>
      </c>
      <c r="M236">
        <f t="shared" si="7"/>
        <v>1450</v>
      </c>
    </row>
    <row r="237" spans="1:13" hidden="1" x14ac:dyDescent="0.25">
      <c r="A237" s="16" t="s">
        <v>2097</v>
      </c>
      <c r="B237" s="16" t="s">
        <v>712</v>
      </c>
      <c r="C237">
        <f t="shared" si="6"/>
        <v>971</v>
      </c>
      <c r="L237" t="s">
        <v>1052</v>
      </c>
      <c r="M237">
        <f t="shared" si="7"/>
        <v>1451</v>
      </c>
    </row>
    <row r="238" spans="1:13" hidden="1" x14ac:dyDescent="0.25">
      <c r="A238" s="16" t="s">
        <v>2097</v>
      </c>
      <c r="B238" s="16" t="s">
        <v>713</v>
      </c>
      <c r="C238">
        <f t="shared" si="6"/>
        <v>972</v>
      </c>
      <c r="L238" t="s">
        <v>1053</v>
      </c>
      <c r="M238">
        <f t="shared" si="7"/>
        <v>1452</v>
      </c>
    </row>
    <row r="239" spans="1:13" hidden="1" x14ac:dyDescent="0.25">
      <c r="A239" s="16" t="s">
        <v>2097</v>
      </c>
      <c r="B239" s="16" t="s">
        <v>714</v>
      </c>
      <c r="C239">
        <f t="shared" si="6"/>
        <v>973</v>
      </c>
      <c r="L239" t="s">
        <v>1054</v>
      </c>
      <c r="M239">
        <f t="shared" si="7"/>
        <v>1453</v>
      </c>
    </row>
    <row r="240" spans="1:13" hidden="1" x14ac:dyDescent="0.25">
      <c r="A240" s="16" t="s">
        <v>2097</v>
      </c>
      <c r="B240" s="16" t="s">
        <v>715</v>
      </c>
      <c r="C240">
        <f t="shared" si="6"/>
        <v>974</v>
      </c>
      <c r="L240" t="s">
        <v>1055</v>
      </c>
      <c r="M240">
        <f t="shared" si="7"/>
        <v>1454</v>
      </c>
    </row>
    <row r="241" spans="1:13" hidden="1" x14ac:dyDescent="0.25">
      <c r="A241" s="16" t="s">
        <v>2097</v>
      </c>
      <c r="B241" s="16" t="s">
        <v>716</v>
      </c>
      <c r="C241">
        <f t="shared" si="6"/>
        <v>975</v>
      </c>
      <c r="L241" t="s">
        <v>1056</v>
      </c>
      <c r="M241">
        <f t="shared" si="7"/>
        <v>1455</v>
      </c>
    </row>
    <row r="242" spans="1:13" hidden="1" x14ac:dyDescent="0.25">
      <c r="A242" s="16" t="s">
        <v>2097</v>
      </c>
      <c r="B242" s="16" t="s">
        <v>717</v>
      </c>
      <c r="C242">
        <f t="shared" si="6"/>
        <v>976</v>
      </c>
      <c r="L242" t="s">
        <v>1057</v>
      </c>
      <c r="M242">
        <f t="shared" si="7"/>
        <v>1456</v>
      </c>
    </row>
    <row r="243" spans="1:13" hidden="1" x14ac:dyDescent="0.25">
      <c r="A243" s="16" t="s">
        <v>2097</v>
      </c>
      <c r="B243" s="16" t="s">
        <v>718</v>
      </c>
      <c r="C243">
        <f t="shared" si="6"/>
        <v>977</v>
      </c>
      <c r="L243" t="s">
        <v>1058</v>
      </c>
      <c r="M243">
        <f t="shared" si="7"/>
        <v>1457</v>
      </c>
    </row>
    <row r="244" spans="1:13" hidden="1" x14ac:dyDescent="0.25">
      <c r="A244" s="16" t="s">
        <v>2097</v>
      </c>
      <c r="B244" s="16" t="s">
        <v>719</v>
      </c>
      <c r="C244">
        <f t="shared" si="6"/>
        <v>978</v>
      </c>
      <c r="L244" t="s">
        <v>1059</v>
      </c>
      <c r="M244">
        <f t="shared" si="7"/>
        <v>1458</v>
      </c>
    </row>
    <row r="245" spans="1:13" hidden="1" x14ac:dyDescent="0.25">
      <c r="A245" s="16" t="s">
        <v>2097</v>
      </c>
      <c r="B245" s="16" t="s">
        <v>720</v>
      </c>
      <c r="C245">
        <f t="shared" si="6"/>
        <v>979</v>
      </c>
      <c r="L245" t="s">
        <v>1060</v>
      </c>
      <c r="M245">
        <f t="shared" si="7"/>
        <v>1459</v>
      </c>
    </row>
    <row r="246" spans="1:13" hidden="1" x14ac:dyDescent="0.25">
      <c r="A246" s="16" t="s">
        <v>2097</v>
      </c>
      <c r="B246" s="16" t="s">
        <v>721</v>
      </c>
      <c r="C246">
        <f t="shared" si="6"/>
        <v>980</v>
      </c>
      <c r="L246" t="s">
        <v>1061</v>
      </c>
      <c r="M246">
        <f t="shared" si="7"/>
        <v>1460</v>
      </c>
    </row>
    <row r="247" spans="1:13" hidden="1" x14ac:dyDescent="0.25">
      <c r="A247" s="16" t="s">
        <v>2097</v>
      </c>
      <c r="B247" s="16" t="s">
        <v>349</v>
      </c>
      <c r="C247">
        <f t="shared" si="6"/>
        <v>652</v>
      </c>
      <c r="L247" t="s">
        <v>1062</v>
      </c>
      <c r="M247">
        <f t="shared" si="7"/>
        <v>1461</v>
      </c>
    </row>
    <row r="248" spans="1:13" hidden="1" x14ac:dyDescent="0.25">
      <c r="A248" s="16" t="s">
        <v>2097</v>
      </c>
      <c r="B248" s="16" t="s">
        <v>353</v>
      </c>
      <c r="C248">
        <f t="shared" si="6"/>
        <v>654</v>
      </c>
      <c r="L248" t="s">
        <v>1063</v>
      </c>
      <c r="M248">
        <f t="shared" si="7"/>
        <v>1462</v>
      </c>
    </row>
    <row r="249" spans="1:13" hidden="1" x14ac:dyDescent="0.25">
      <c r="A249" s="16" t="s">
        <v>2097</v>
      </c>
      <c r="B249" s="16" t="s">
        <v>357</v>
      </c>
      <c r="C249">
        <f t="shared" si="6"/>
        <v>656</v>
      </c>
      <c r="L249" t="s">
        <v>1064</v>
      </c>
      <c r="M249">
        <f t="shared" si="7"/>
        <v>1463</v>
      </c>
    </row>
    <row r="250" spans="1:13" hidden="1" x14ac:dyDescent="0.25">
      <c r="A250" s="16" t="s">
        <v>2097</v>
      </c>
      <c r="B250" s="16" t="s">
        <v>361</v>
      </c>
      <c r="C250">
        <f t="shared" si="6"/>
        <v>658</v>
      </c>
      <c r="L250" t="s">
        <v>1065</v>
      </c>
      <c r="M250">
        <f t="shared" si="7"/>
        <v>1464</v>
      </c>
    </row>
    <row r="251" spans="1:13" hidden="1" x14ac:dyDescent="0.25">
      <c r="A251" s="16" t="s">
        <v>2097</v>
      </c>
      <c r="B251" s="16" t="s">
        <v>365</v>
      </c>
      <c r="C251">
        <f t="shared" si="6"/>
        <v>660</v>
      </c>
      <c r="L251" t="s">
        <v>1066</v>
      </c>
      <c r="M251">
        <f t="shared" si="7"/>
        <v>1465</v>
      </c>
    </row>
    <row r="252" spans="1:13" hidden="1" x14ac:dyDescent="0.25">
      <c r="A252" s="16" t="s">
        <v>2097</v>
      </c>
      <c r="B252" s="16" t="s">
        <v>369</v>
      </c>
      <c r="C252">
        <f t="shared" si="6"/>
        <v>662</v>
      </c>
      <c r="L252" t="s">
        <v>1067</v>
      </c>
      <c r="M252">
        <f t="shared" si="7"/>
        <v>1466</v>
      </c>
    </row>
    <row r="253" spans="1:13" hidden="1" x14ac:dyDescent="0.25">
      <c r="A253" s="16" t="s">
        <v>2097</v>
      </c>
      <c r="B253" s="16" t="s">
        <v>373</v>
      </c>
      <c r="C253">
        <f t="shared" si="6"/>
        <v>664</v>
      </c>
      <c r="L253" t="s">
        <v>1068</v>
      </c>
      <c r="M253">
        <f t="shared" si="7"/>
        <v>1467</v>
      </c>
    </row>
    <row r="254" spans="1:13" hidden="1" x14ac:dyDescent="0.25">
      <c r="A254" s="16" t="s">
        <v>2097</v>
      </c>
      <c r="B254" s="16" t="s">
        <v>377</v>
      </c>
      <c r="C254">
        <f t="shared" si="6"/>
        <v>666</v>
      </c>
      <c r="L254" t="s">
        <v>1069</v>
      </c>
      <c r="M254">
        <f t="shared" si="7"/>
        <v>1468</v>
      </c>
    </row>
    <row r="255" spans="1:13" hidden="1" x14ac:dyDescent="0.25">
      <c r="A255" s="16" t="s">
        <v>2097</v>
      </c>
      <c r="B255" s="16" t="s">
        <v>381</v>
      </c>
      <c r="C255">
        <f t="shared" si="6"/>
        <v>668</v>
      </c>
      <c r="L255" t="s">
        <v>1070</v>
      </c>
      <c r="M255">
        <f t="shared" si="7"/>
        <v>1469</v>
      </c>
    </row>
    <row r="256" spans="1:13" hidden="1" x14ac:dyDescent="0.25">
      <c r="A256" s="16" t="s">
        <v>2097</v>
      </c>
      <c r="B256" s="16" t="s">
        <v>385</v>
      </c>
      <c r="C256">
        <f t="shared" si="6"/>
        <v>670</v>
      </c>
      <c r="L256" t="s">
        <v>1071</v>
      </c>
      <c r="M256">
        <f t="shared" si="7"/>
        <v>1470</v>
      </c>
    </row>
    <row r="257" spans="1:13" hidden="1" x14ac:dyDescent="0.25">
      <c r="A257" s="16" t="s">
        <v>2097</v>
      </c>
      <c r="B257" s="16" t="s">
        <v>389</v>
      </c>
      <c r="C257">
        <f t="shared" si="6"/>
        <v>672</v>
      </c>
      <c r="L257" t="s">
        <v>1072</v>
      </c>
      <c r="M257">
        <f t="shared" si="7"/>
        <v>1471</v>
      </c>
    </row>
    <row r="258" spans="1:13" hidden="1" x14ac:dyDescent="0.25">
      <c r="A258" s="16" t="s">
        <v>2097</v>
      </c>
      <c r="B258" s="16" t="s">
        <v>393</v>
      </c>
      <c r="C258">
        <f t="shared" si="6"/>
        <v>674</v>
      </c>
      <c r="L258" t="s">
        <v>1073</v>
      </c>
      <c r="M258">
        <f t="shared" si="7"/>
        <v>1472</v>
      </c>
    </row>
    <row r="259" spans="1:13" hidden="1" x14ac:dyDescent="0.25">
      <c r="A259" s="16" t="s">
        <v>2097</v>
      </c>
      <c r="B259" s="16" t="s">
        <v>397</v>
      </c>
      <c r="C259">
        <f t="shared" ref="C259:C322" si="8">MATCH(B259,L:L,0)</f>
        <v>676</v>
      </c>
      <c r="L259" t="s">
        <v>1074</v>
      </c>
      <c r="M259">
        <f t="shared" ref="M259:M322" si="9">MATCH(L259,B:B,0)</f>
        <v>1473</v>
      </c>
    </row>
    <row r="260" spans="1:13" hidden="1" x14ac:dyDescent="0.25">
      <c r="A260" s="16" t="s">
        <v>2097</v>
      </c>
      <c r="B260" s="16" t="s">
        <v>401</v>
      </c>
      <c r="C260">
        <f t="shared" si="8"/>
        <v>678</v>
      </c>
      <c r="L260" t="s">
        <v>1075</v>
      </c>
      <c r="M260">
        <f t="shared" si="9"/>
        <v>1474</v>
      </c>
    </row>
    <row r="261" spans="1:13" hidden="1" x14ac:dyDescent="0.25">
      <c r="A261" s="16" t="s">
        <v>2097</v>
      </c>
      <c r="B261" s="16" t="s">
        <v>405</v>
      </c>
      <c r="C261">
        <f t="shared" si="8"/>
        <v>680</v>
      </c>
      <c r="L261" t="s">
        <v>1076</v>
      </c>
      <c r="M261">
        <f t="shared" si="9"/>
        <v>1475</v>
      </c>
    </row>
    <row r="262" spans="1:13" hidden="1" x14ac:dyDescent="0.25">
      <c r="A262" s="16" t="s">
        <v>2097</v>
      </c>
      <c r="B262" s="16" t="s">
        <v>409</v>
      </c>
      <c r="C262">
        <f t="shared" si="8"/>
        <v>682</v>
      </c>
      <c r="L262" t="s">
        <v>1077</v>
      </c>
      <c r="M262">
        <f t="shared" si="9"/>
        <v>1476</v>
      </c>
    </row>
    <row r="263" spans="1:13" hidden="1" x14ac:dyDescent="0.25">
      <c r="A263" s="16" t="s">
        <v>2097</v>
      </c>
      <c r="B263" s="16" t="s">
        <v>413</v>
      </c>
      <c r="C263">
        <f t="shared" si="8"/>
        <v>684</v>
      </c>
      <c r="L263" t="s">
        <v>1079</v>
      </c>
      <c r="M263">
        <f t="shared" si="9"/>
        <v>1477</v>
      </c>
    </row>
    <row r="264" spans="1:13" hidden="1" x14ac:dyDescent="0.25">
      <c r="A264" s="16" t="s">
        <v>2097</v>
      </c>
      <c r="B264" s="16" t="s">
        <v>417</v>
      </c>
      <c r="C264">
        <f t="shared" si="8"/>
        <v>686</v>
      </c>
      <c r="L264" t="s">
        <v>1080</v>
      </c>
      <c r="M264">
        <f t="shared" si="9"/>
        <v>1478</v>
      </c>
    </row>
    <row r="265" spans="1:13" hidden="1" x14ac:dyDescent="0.25">
      <c r="A265" s="16" t="s">
        <v>2097</v>
      </c>
      <c r="B265" s="16" t="s">
        <v>421</v>
      </c>
      <c r="C265">
        <f t="shared" si="8"/>
        <v>688</v>
      </c>
      <c r="L265" t="s">
        <v>1081</v>
      </c>
      <c r="M265">
        <f t="shared" si="9"/>
        <v>1479</v>
      </c>
    </row>
    <row r="266" spans="1:13" hidden="1" x14ac:dyDescent="0.25">
      <c r="A266" s="16" t="s">
        <v>2097</v>
      </c>
      <c r="B266" s="16" t="s">
        <v>425</v>
      </c>
      <c r="C266">
        <f t="shared" si="8"/>
        <v>690</v>
      </c>
      <c r="L266" t="s">
        <v>1082</v>
      </c>
      <c r="M266">
        <f t="shared" si="9"/>
        <v>1480</v>
      </c>
    </row>
    <row r="267" spans="1:13" hidden="1" x14ac:dyDescent="0.25">
      <c r="A267" s="16" t="s">
        <v>2097</v>
      </c>
      <c r="B267" s="16" t="s">
        <v>426</v>
      </c>
      <c r="C267">
        <f t="shared" si="8"/>
        <v>691</v>
      </c>
      <c r="L267" t="s">
        <v>2778</v>
      </c>
      <c r="M267">
        <f t="shared" si="9"/>
        <v>1602</v>
      </c>
    </row>
    <row r="268" spans="1:13" hidden="1" x14ac:dyDescent="0.25">
      <c r="A268" s="16" t="s">
        <v>2097</v>
      </c>
      <c r="B268" s="16" t="s">
        <v>427</v>
      </c>
      <c r="C268">
        <f t="shared" si="8"/>
        <v>692</v>
      </c>
      <c r="L268" t="s">
        <v>2779</v>
      </c>
      <c r="M268">
        <f t="shared" si="9"/>
        <v>1603</v>
      </c>
    </row>
    <row r="269" spans="1:13" hidden="1" x14ac:dyDescent="0.25">
      <c r="A269" s="16" t="s">
        <v>2097</v>
      </c>
      <c r="B269" s="16" t="s">
        <v>428</v>
      </c>
      <c r="C269">
        <f t="shared" si="8"/>
        <v>693</v>
      </c>
      <c r="L269" t="s">
        <v>2780</v>
      </c>
      <c r="M269">
        <f t="shared" si="9"/>
        <v>1604</v>
      </c>
    </row>
    <row r="270" spans="1:13" hidden="1" x14ac:dyDescent="0.25">
      <c r="A270" s="16" t="s">
        <v>2097</v>
      </c>
      <c r="B270" s="16" t="s">
        <v>430</v>
      </c>
      <c r="C270" t="e">
        <f t="shared" si="8"/>
        <v>#N/A</v>
      </c>
      <c r="L270" t="s">
        <v>2781</v>
      </c>
      <c r="M270">
        <f t="shared" si="9"/>
        <v>1605</v>
      </c>
    </row>
    <row r="271" spans="1:13" hidden="1" x14ac:dyDescent="0.25">
      <c r="A271" s="16" t="s">
        <v>2097</v>
      </c>
      <c r="B271" s="16" t="s">
        <v>431</v>
      </c>
      <c r="C271" t="e">
        <f t="shared" si="8"/>
        <v>#N/A</v>
      </c>
      <c r="L271" t="s">
        <v>817</v>
      </c>
      <c r="M271">
        <f t="shared" si="9"/>
        <v>1233</v>
      </c>
    </row>
    <row r="272" spans="1:13" hidden="1" x14ac:dyDescent="0.25">
      <c r="A272" s="16" t="s">
        <v>2097</v>
      </c>
      <c r="B272" s="16" t="s">
        <v>432</v>
      </c>
      <c r="C272" t="e">
        <f t="shared" si="8"/>
        <v>#N/A</v>
      </c>
      <c r="L272" t="s">
        <v>818</v>
      </c>
      <c r="M272">
        <f t="shared" si="9"/>
        <v>1234</v>
      </c>
    </row>
    <row r="273" spans="1:13" hidden="1" x14ac:dyDescent="0.25">
      <c r="A273" s="16" t="s">
        <v>2097</v>
      </c>
      <c r="B273" s="16" t="s">
        <v>438</v>
      </c>
      <c r="C273">
        <f t="shared" si="8"/>
        <v>702</v>
      </c>
      <c r="L273" t="s">
        <v>819</v>
      </c>
      <c r="M273">
        <f t="shared" si="9"/>
        <v>1235</v>
      </c>
    </row>
    <row r="274" spans="1:13" hidden="1" x14ac:dyDescent="0.25">
      <c r="A274" s="16" t="s">
        <v>2097</v>
      </c>
      <c r="B274" s="16" t="s">
        <v>439</v>
      </c>
      <c r="C274">
        <f t="shared" si="8"/>
        <v>703</v>
      </c>
      <c r="L274" t="s">
        <v>820</v>
      </c>
      <c r="M274">
        <f t="shared" si="9"/>
        <v>1236</v>
      </c>
    </row>
    <row r="275" spans="1:13" hidden="1" x14ac:dyDescent="0.25">
      <c r="A275" s="16" t="s">
        <v>2097</v>
      </c>
      <c r="B275" s="16" t="s">
        <v>440</v>
      </c>
      <c r="C275">
        <f t="shared" si="8"/>
        <v>704</v>
      </c>
      <c r="L275" t="s">
        <v>1086</v>
      </c>
      <c r="M275">
        <f t="shared" si="9"/>
        <v>1484</v>
      </c>
    </row>
    <row r="276" spans="1:13" hidden="1" x14ac:dyDescent="0.25">
      <c r="A276" s="16" t="s">
        <v>2097</v>
      </c>
      <c r="B276" s="16" t="s">
        <v>442</v>
      </c>
      <c r="C276">
        <f t="shared" si="8"/>
        <v>706</v>
      </c>
      <c r="L276" t="s">
        <v>1087</v>
      </c>
      <c r="M276">
        <f t="shared" si="9"/>
        <v>1485</v>
      </c>
    </row>
    <row r="277" spans="1:13" hidden="1" x14ac:dyDescent="0.25">
      <c r="A277" s="16" t="s">
        <v>2097</v>
      </c>
      <c r="B277" s="16" t="s">
        <v>443</v>
      </c>
      <c r="C277">
        <f t="shared" si="8"/>
        <v>707</v>
      </c>
      <c r="L277" t="s">
        <v>1088</v>
      </c>
      <c r="M277">
        <f t="shared" si="9"/>
        <v>1486</v>
      </c>
    </row>
    <row r="278" spans="1:13" hidden="1" x14ac:dyDescent="0.25">
      <c r="A278" s="16" t="s">
        <v>2097</v>
      </c>
      <c r="B278" s="16" t="s">
        <v>444</v>
      </c>
      <c r="C278">
        <f t="shared" si="8"/>
        <v>708</v>
      </c>
      <c r="L278" t="s">
        <v>821</v>
      </c>
      <c r="M278">
        <f t="shared" si="9"/>
        <v>1237</v>
      </c>
    </row>
    <row r="279" spans="1:13" hidden="1" x14ac:dyDescent="0.25">
      <c r="A279" s="16" t="s">
        <v>2097</v>
      </c>
      <c r="B279" s="16" t="s">
        <v>574</v>
      </c>
      <c r="C279">
        <f t="shared" si="8"/>
        <v>833</v>
      </c>
      <c r="L279" t="s">
        <v>1089</v>
      </c>
      <c r="M279">
        <f t="shared" si="9"/>
        <v>1487</v>
      </c>
    </row>
    <row r="280" spans="1:13" hidden="1" x14ac:dyDescent="0.25">
      <c r="A280" s="16" t="s">
        <v>2097</v>
      </c>
      <c r="B280" s="16" t="s">
        <v>575</v>
      </c>
      <c r="C280">
        <f t="shared" si="8"/>
        <v>834</v>
      </c>
      <c r="L280" t="s">
        <v>1090</v>
      </c>
      <c r="M280">
        <f t="shared" si="9"/>
        <v>1488</v>
      </c>
    </row>
    <row r="281" spans="1:13" hidden="1" x14ac:dyDescent="0.25">
      <c r="A281" s="16" t="s">
        <v>2097</v>
      </c>
      <c r="B281" s="16" t="s">
        <v>576</v>
      </c>
      <c r="C281">
        <f t="shared" si="8"/>
        <v>835</v>
      </c>
      <c r="L281" t="s">
        <v>1091</v>
      </c>
      <c r="M281">
        <f t="shared" si="9"/>
        <v>1489</v>
      </c>
    </row>
    <row r="282" spans="1:13" hidden="1" x14ac:dyDescent="0.25">
      <c r="A282" s="16" t="s">
        <v>2097</v>
      </c>
      <c r="B282" s="16" t="s">
        <v>577</v>
      </c>
      <c r="C282">
        <f t="shared" si="8"/>
        <v>836</v>
      </c>
      <c r="L282" t="s">
        <v>822</v>
      </c>
      <c r="M282">
        <f t="shared" si="9"/>
        <v>1238</v>
      </c>
    </row>
    <row r="283" spans="1:13" hidden="1" x14ac:dyDescent="0.25">
      <c r="A283" s="16" t="s">
        <v>2097</v>
      </c>
      <c r="B283" s="16" t="s">
        <v>578</v>
      </c>
      <c r="C283">
        <f t="shared" si="8"/>
        <v>837</v>
      </c>
      <c r="L283" t="s">
        <v>823</v>
      </c>
      <c r="M283">
        <f t="shared" si="9"/>
        <v>1239</v>
      </c>
    </row>
    <row r="284" spans="1:13" hidden="1" x14ac:dyDescent="0.25">
      <c r="A284" s="16" t="s">
        <v>2097</v>
      </c>
      <c r="B284" s="16" t="s">
        <v>579</v>
      </c>
      <c r="C284">
        <f t="shared" si="8"/>
        <v>838</v>
      </c>
      <c r="L284" t="s">
        <v>824</v>
      </c>
      <c r="M284">
        <f t="shared" si="9"/>
        <v>1240</v>
      </c>
    </row>
    <row r="285" spans="1:13" hidden="1" x14ac:dyDescent="0.25">
      <c r="A285" s="16" t="s">
        <v>2097</v>
      </c>
      <c r="B285" s="16" t="s">
        <v>580</v>
      </c>
      <c r="C285">
        <f t="shared" si="8"/>
        <v>839</v>
      </c>
      <c r="L285" t="s">
        <v>825</v>
      </c>
      <c r="M285">
        <f t="shared" si="9"/>
        <v>1241</v>
      </c>
    </row>
    <row r="286" spans="1:13" hidden="1" x14ac:dyDescent="0.25">
      <c r="A286" s="16" t="s">
        <v>2097</v>
      </c>
      <c r="B286" s="16" t="s">
        <v>581</v>
      </c>
      <c r="C286">
        <f t="shared" si="8"/>
        <v>840</v>
      </c>
      <c r="L286" t="s">
        <v>826</v>
      </c>
      <c r="M286">
        <f t="shared" si="9"/>
        <v>1242</v>
      </c>
    </row>
    <row r="287" spans="1:13" hidden="1" x14ac:dyDescent="0.25">
      <c r="A287" s="16" t="s">
        <v>2097</v>
      </c>
      <c r="B287" s="16" t="s">
        <v>582</v>
      </c>
      <c r="C287">
        <f t="shared" si="8"/>
        <v>841</v>
      </c>
      <c r="L287" t="s">
        <v>827</v>
      </c>
      <c r="M287">
        <f t="shared" si="9"/>
        <v>1243</v>
      </c>
    </row>
    <row r="288" spans="1:13" hidden="1" x14ac:dyDescent="0.25">
      <c r="A288" s="16" t="s">
        <v>2097</v>
      </c>
      <c r="B288" s="16" t="s">
        <v>583</v>
      </c>
      <c r="C288">
        <f t="shared" si="8"/>
        <v>842</v>
      </c>
      <c r="L288" t="s">
        <v>828</v>
      </c>
      <c r="M288">
        <f t="shared" si="9"/>
        <v>1244</v>
      </c>
    </row>
    <row r="289" spans="1:13" hidden="1" x14ac:dyDescent="0.25">
      <c r="A289" s="16" t="s">
        <v>2097</v>
      </c>
      <c r="B289" s="16" t="s">
        <v>584</v>
      </c>
      <c r="C289">
        <f t="shared" si="8"/>
        <v>843</v>
      </c>
      <c r="L289" t="s">
        <v>829</v>
      </c>
      <c r="M289">
        <f t="shared" si="9"/>
        <v>1245</v>
      </c>
    </row>
    <row r="290" spans="1:13" hidden="1" x14ac:dyDescent="0.25">
      <c r="A290" s="16" t="s">
        <v>2097</v>
      </c>
      <c r="B290" s="16" t="s">
        <v>585</v>
      </c>
      <c r="C290">
        <f t="shared" si="8"/>
        <v>844</v>
      </c>
      <c r="L290" t="s">
        <v>830</v>
      </c>
      <c r="M290">
        <f t="shared" si="9"/>
        <v>1246</v>
      </c>
    </row>
    <row r="291" spans="1:13" hidden="1" x14ac:dyDescent="0.25">
      <c r="A291" s="16" t="s">
        <v>2097</v>
      </c>
      <c r="B291" s="16" t="s">
        <v>586</v>
      </c>
      <c r="C291">
        <f t="shared" si="8"/>
        <v>845</v>
      </c>
      <c r="L291" t="s">
        <v>831</v>
      </c>
      <c r="M291">
        <f t="shared" si="9"/>
        <v>1247</v>
      </c>
    </row>
    <row r="292" spans="1:13" hidden="1" x14ac:dyDescent="0.25">
      <c r="A292" s="16" t="s">
        <v>2097</v>
      </c>
      <c r="B292" s="16" t="s">
        <v>587</v>
      </c>
      <c r="C292">
        <f t="shared" si="8"/>
        <v>846</v>
      </c>
      <c r="L292" t="s">
        <v>832</v>
      </c>
      <c r="M292">
        <f t="shared" si="9"/>
        <v>1248</v>
      </c>
    </row>
    <row r="293" spans="1:13" hidden="1" x14ac:dyDescent="0.25">
      <c r="A293" s="16" t="s">
        <v>2097</v>
      </c>
      <c r="B293" s="16" t="s">
        <v>588</v>
      </c>
      <c r="C293">
        <f t="shared" si="8"/>
        <v>847</v>
      </c>
      <c r="L293" t="s">
        <v>833</v>
      </c>
      <c r="M293">
        <f t="shared" si="9"/>
        <v>1249</v>
      </c>
    </row>
    <row r="294" spans="1:13" hidden="1" x14ac:dyDescent="0.25">
      <c r="A294" s="16" t="s">
        <v>2097</v>
      </c>
      <c r="B294" s="16" t="s">
        <v>589</v>
      </c>
      <c r="C294">
        <f t="shared" si="8"/>
        <v>848</v>
      </c>
      <c r="L294" t="s">
        <v>834</v>
      </c>
      <c r="M294">
        <f t="shared" si="9"/>
        <v>1250</v>
      </c>
    </row>
    <row r="295" spans="1:13" hidden="1" x14ac:dyDescent="0.25">
      <c r="A295" s="16" t="s">
        <v>2097</v>
      </c>
      <c r="B295" s="16" t="s">
        <v>590</v>
      </c>
      <c r="C295">
        <f t="shared" si="8"/>
        <v>849</v>
      </c>
      <c r="L295" t="s">
        <v>835</v>
      </c>
      <c r="M295">
        <f t="shared" si="9"/>
        <v>1251</v>
      </c>
    </row>
    <row r="296" spans="1:13" hidden="1" x14ac:dyDescent="0.25">
      <c r="A296" s="16" t="s">
        <v>2097</v>
      </c>
      <c r="B296" s="16" t="s">
        <v>591</v>
      </c>
      <c r="C296">
        <f t="shared" si="8"/>
        <v>850</v>
      </c>
      <c r="L296" t="s">
        <v>836</v>
      </c>
      <c r="M296">
        <f t="shared" si="9"/>
        <v>1252</v>
      </c>
    </row>
    <row r="297" spans="1:13" hidden="1" x14ac:dyDescent="0.25">
      <c r="A297" s="16" t="s">
        <v>2097</v>
      </c>
      <c r="B297" s="16" t="s">
        <v>592</v>
      </c>
      <c r="C297">
        <f t="shared" si="8"/>
        <v>851</v>
      </c>
      <c r="L297" t="s">
        <v>837</v>
      </c>
      <c r="M297">
        <f t="shared" si="9"/>
        <v>1253</v>
      </c>
    </row>
    <row r="298" spans="1:13" hidden="1" x14ac:dyDescent="0.25">
      <c r="A298" s="16" t="s">
        <v>2097</v>
      </c>
      <c r="B298" s="16" t="s">
        <v>593</v>
      </c>
      <c r="C298">
        <f t="shared" si="8"/>
        <v>852</v>
      </c>
      <c r="L298" t="s">
        <v>838</v>
      </c>
      <c r="M298">
        <f t="shared" si="9"/>
        <v>1254</v>
      </c>
    </row>
    <row r="299" spans="1:13" hidden="1" x14ac:dyDescent="0.25">
      <c r="A299" s="16" t="s">
        <v>2097</v>
      </c>
      <c r="B299" s="16" t="s">
        <v>594</v>
      </c>
      <c r="C299">
        <f t="shared" si="8"/>
        <v>853</v>
      </c>
      <c r="L299" t="s">
        <v>839</v>
      </c>
      <c r="M299">
        <f t="shared" si="9"/>
        <v>1255</v>
      </c>
    </row>
    <row r="300" spans="1:13" hidden="1" x14ac:dyDescent="0.25">
      <c r="A300" s="16" t="s">
        <v>2097</v>
      </c>
      <c r="B300" s="16" t="s">
        <v>595</v>
      </c>
      <c r="C300">
        <f t="shared" si="8"/>
        <v>854</v>
      </c>
      <c r="L300" t="s">
        <v>840</v>
      </c>
      <c r="M300">
        <f t="shared" si="9"/>
        <v>1256</v>
      </c>
    </row>
    <row r="301" spans="1:13" hidden="1" x14ac:dyDescent="0.25">
      <c r="A301" s="16" t="s">
        <v>2097</v>
      </c>
      <c r="B301" s="16" t="s">
        <v>596</v>
      </c>
      <c r="C301">
        <f t="shared" si="8"/>
        <v>855</v>
      </c>
      <c r="L301" t="s">
        <v>841</v>
      </c>
      <c r="M301">
        <f t="shared" si="9"/>
        <v>1257</v>
      </c>
    </row>
    <row r="302" spans="1:13" hidden="1" x14ac:dyDescent="0.25">
      <c r="A302" s="16" t="s">
        <v>2097</v>
      </c>
      <c r="B302" s="16" t="s">
        <v>597</v>
      </c>
      <c r="C302">
        <f t="shared" si="8"/>
        <v>856</v>
      </c>
      <c r="L302" t="s">
        <v>842</v>
      </c>
      <c r="M302">
        <f t="shared" si="9"/>
        <v>1258</v>
      </c>
    </row>
    <row r="303" spans="1:13" hidden="1" x14ac:dyDescent="0.25">
      <c r="A303" s="16" t="s">
        <v>2097</v>
      </c>
      <c r="B303" s="16" t="s">
        <v>598</v>
      </c>
      <c r="C303">
        <f t="shared" si="8"/>
        <v>857</v>
      </c>
      <c r="L303" t="s">
        <v>843</v>
      </c>
      <c r="M303">
        <f t="shared" si="9"/>
        <v>1259</v>
      </c>
    </row>
    <row r="304" spans="1:13" hidden="1" x14ac:dyDescent="0.25">
      <c r="A304" s="16" t="s">
        <v>2097</v>
      </c>
      <c r="B304" s="16" t="s">
        <v>599</v>
      </c>
      <c r="C304">
        <f t="shared" si="8"/>
        <v>858</v>
      </c>
      <c r="L304" t="s">
        <v>844</v>
      </c>
      <c r="M304">
        <f t="shared" si="9"/>
        <v>1260</v>
      </c>
    </row>
    <row r="305" spans="1:13" hidden="1" x14ac:dyDescent="0.25">
      <c r="A305" s="16" t="s">
        <v>2097</v>
      </c>
      <c r="B305" s="16" t="s">
        <v>600</v>
      </c>
      <c r="C305">
        <f t="shared" si="8"/>
        <v>859</v>
      </c>
      <c r="L305" t="s">
        <v>845</v>
      </c>
      <c r="M305">
        <f t="shared" si="9"/>
        <v>1261</v>
      </c>
    </row>
    <row r="306" spans="1:13" hidden="1" x14ac:dyDescent="0.25">
      <c r="A306" s="16" t="s">
        <v>2097</v>
      </c>
      <c r="B306" s="16" t="s">
        <v>601</v>
      </c>
      <c r="C306">
        <f t="shared" si="8"/>
        <v>860</v>
      </c>
      <c r="L306" t="s">
        <v>846</v>
      </c>
      <c r="M306">
        <f t="shared" si="9"/>
        <v>1262</v>
      </c>
    </row>
    <row r="307" spans="1:13" hidden="1" x14ac:dyDescent="0.25">
      <c r="A307" s="16" t="s">
        <v>2097</v>
      </c>
      <c r="B307" s="16" t="s">
        <v>602</v>
      </c>
      <c r="C307">
        <f t="shared" si="8"/>
        <v>861</v>
      </c>
      <c r="L307" t="s">
        <v>847</v>
      </c>
      <c r="M307">
        <f t="shared" si="9"/>
        <v>1263</v>
      </c>
    </row>
    <row r="308" spans="1:13" hidden="1" x14ac:dyDescent="0.25">
      <c r="A308" s="16" t="s">
        <v>2097</v>
      </c>
      <c r="B308" s="16" t="s">
        <v>603</v>
      </c>
      <c r="C308">
        <f t="shared" si="8"/>
        <v>862</v>
      </c>
      <c r="L308" t="s">
        <v>848</v>
      </c>
      <c r="M308">
        <f t="shared" si="9"/>
        <v>1264</v>
      </c>
    </row>
    <row r="309" spans="1:13" hidden="1" x14ac:dyDescent="0.25">
      <c r="A309" s="16" t="s">
        <v>2097</v>
      </c>
      <c r="B309" s="16" t="s">
        <v>604</v>
      </c>
      <c r="C309">
        <f t="shared" si="8"/>
        <v>863</v>
      </c>
      <c r="L309" t="s">
        <v>849</v>
      </c>
      <c r="M309">
        <f t="shared" si="9"/>
        <v>1265</v>
      </c>
    </row>
    <row r="310" spans="1:13" hidden="1" x14ac:dyDescent="0.25">
      <c r="A310" s="16" t="s">
        <v>2097</v>
      </c>
      <c r="B310" s="16" t="s">
        <v>605</v>
      </c>
      <c r="C310">
        <f t="shared" si="8"/>
        <v>864</v>
      </c>
      <c r="L310" t="s">
        <v>850</v>
      </c>
      <c r="M310">
        <f t="shared" si="9"/>
        <v>1266</v>
      </c>
    </row>
    <row r="311" spans="1:13" hidden="1" x14ac:dyDescent="0.25">
      <c r="A311" s="16" t="s">
        <v>2097</v>
      </c>
      <c r="B311" s="16" t="s">
        <v>606</v>
      </c>
      <c r="C311">
        <f t="shared" si="8"/>
        <v>865</v>
      </c>
      <c r="L311" t="s">
        <v>851</v>
      </c>
      <c r="M311">
        <f t="shared" si="9"/>
        <v>1267</v>
      </c>
    </row>
    <row r="312" spans="1:13" hidden="1" x14ac:dyDescent="0.25">
      <c r="A312" s="16" t="s">
        <v>2097</v>
      </c>
      <c r="B312" s="16" t="s">
        <v>607</v>
      </c>
      <c r="C312">
        <f t="shared" si="8"/>
        <v>866</v>
      </c>
      <c r="L312" t="s">
        <v>852</v>
      </c>
      <c r="M312">
        <f t="shared" si="9"/>
        <v>1268</v>
      </c>
    </row>
    <row r="313" spans="1:13" hidden="1" x14ac:dyDescent="0.25">
      <c r="A313" s="16" t="s">
        <v>2097</v>
      </c>
      <c r="B313" s="16" t="s">
        <v>608</v>
      </c>
      <c r="C313">
        <f t="shared" si="8"/>
        <v>867</v>
      </c>
      <c r="L313" t="s">
        <v>853</v>
      </c>
      <c r="M313">
        <f t="shared" si="9"/>
        <v>1269</v>
      </c>
    </row>
    <row r="314" spans="1:13" hidden="1" x14ac:dyDescent="0.25">
      <c r="A314" s="16" t="s">
        <v>2097</v>
      </c>
      <c r="B314" s="16" t="s">
        <v>609</v>
      </c>
      <c r="C314">
        <f t="shared" si="8"/>
        <v>868</v>
      </c>
      <c r="L314" t="s">
        <v>854</v>
      </c>
      <c r="M314">
        <f t="shared" si="9"/>
        <v>1270</v>
      </c>
    </row>
    <row r="315" spans="1:13" hidden="1" x14ac:dyDescent="0.25">
      <c r="A315" s="16" t="s">
        <v>2097</v>
      </c>
      <c r="B315" s="16" t="s">
        <v>610</v>
      </c>
      <c r="C315">
        <f t="shared" si="8"/>
        <v>869</v>
      </c>
      <c r="L315" t="s">
        <v>855</v>
      </c>
      <c r="M315">
        <f t="shared" si="9"/>
        <v>1271</v>
      </c>
    </row>
    <row r="316" spans="1:13" hidden="1" x14ac:dyDescent="0.25">
      <c r="A316" s="16" t="s">
        <v>2097</v>
      </c>
      <c r="B316" s="16" t="s">
        <v>611</v>
      </c>
      <c r="C316">
        <f t="shared" si="8"/>
        <v>870</v>
      </c>
      <c r="L316" t="s">
        <v>856</v>
      </c>
      <c r="M316">
        <f t="shared" si="9"/>
        <v>1272</v>
      </c>
    </row>
    <row r="317" spans="1:13" hidden="1" x14ac:dyDescent="0.25">
      <c r="A317" s="16" t="s">
        <v>2097</v>
      </c>
      <c r="B317" s="16" t="s">
        <v>612</v>
      </c>
      <c r="C317">
        <f t="shared" si="8"/>
        <v>871</v>
      </c>
      <c r="L317" t="s">
        <v>857</v>
      </c>
      <c r="M317">
        <f t="shared" si="9"/>
        <v>1273</v>
      </c>
    </row>
    <row r="318" spans="1:13" hidden="1" x14ac:dyDescent="0.25">
      <c r="A318" s="16" t="s">
        <v>2097</v>
      </c>
      <c r="B318" s="16" t="s">
        <v>613</v>
      </c>
      <c r="C318">
        <f t="shared" si="8"/>
        <v>872</v>
      </c>
      <c r="L318" t="s">
        <v>858</v>
      </c>
      <c r="M318">
        <f t="shared" si="9"/>
        <v>1274</v>
      </c>
    </row>
    <row r="319" spans="1:13" hidden="1" x14ac:dyDescent="0.25">
      <c r="A319" s="16" t="s">
        <v>2097</v>
      </c>
      <c r="B319" s="16" t="s">
        <v>614</v>
      </c>
      <c r="C319">
        <f t="shared" si="8"/>
        <v>873</v>
      </c>
      <c r="L319" t="s">
        <v>859</v>
      </c>
      <c r="M319">
        <f t="shared" si="9"/>
        <v>1275</v>
      </c>
    </row>
    <row r="320" spans="1:13" hidden="1" x14ac:dyDescent="0.25">
      <c r="A320" s="16" t="s">
        <v>2097</v>
      </c>
      <c r="B320" s="16" t="s">
        <v>615</v>
      </c>
      <c r="C320">
        <f t="shared" si="8"/>
        <v>874</v>
      </c>
      <c r="L320" t="s">
        <v>860</v>
      </c>
      <c r="M320">
        <f t="shared" si="9"/>
        <v>1276</v>
      </c>
    </row>
    <row r="321" spans="1:13" hidden="1" x14ac:dyDescent="0.25">
      <c r="A321" s="16" t="s">
        <v>2097</v>
      </c>
      <c r="B321" s="16" t="s">
        <v>616</v>
      </c>
      <c r="C321">
        <f t="shared" si="8"/>
        <v>875</v>
      </c>
      <c r="L321" t="s">
        <v>861</v>
      </c>
      <c r="M321">
        <f t="shared" si="9"/>
        <v>1277</v>
      </c>
    </row>
    <row r="322" spans="1:13" hidden="1" x14ac:dyDescent="0.25">
      <c r="A322" s="16" t="s">
        <v>2097</v>
      </c>
      <c r="B322" s="16" t="s">
        <v>617</v>
      </c>
      <c r="C322">
        <f t="shared" si="8"/>
        <v>876</v>
      </c>
      <c r="L322" t="s">
        <v>862</v>
      </c>
      <c r="M322">
        <f t="shared" si="9"/>
        <v>1278</v>
      </c>
    </row>
    <row r="323" spans="1:13" hidden="1" x14ac:dyDescent="0.25">
      <c r="A323" s="16" t="s">
        <v>2097</v>
      </c>
      <c r="B323" s="16" t="s">
        <v>618</v>
      </c>
      <c r="C323">
        <f t="shared" ref="C323:C386" si="10">MATCH(B323,L:L,0)</f>
        <v>877</v>
      </c>
      <c r="L323" t="s">
        <v>863</v>
      </c>
      <c r="M323">
        <f t="shared" ref="M323:M386" si="11">MATCH(L323,B:B,0)</f>
        <v>1279</v>
      </c>
    </row>
    <row r="324" spans="1:13" hidden="1" x14ac:dyDescent="0.25">
      <c r="A324" s="16" t="s">
        <v>2097</v>
      </c>
      <c r="B324" s="16" t="s">
        <v>619</v>
      </c>
      <c r="C324">
        <f t="shared" si="10"/>
        <v>878</v>
      </c>
      <c r="L324" t="s">
        <v>864</v>
      </c>
      <c r="M324">
        <f t="shared" si="11"/>
        <v>1280</v>
      </c>
    </row>
    <row r="325" spans="1:13" hidden="1" x14ac:dyDescent="0.25">
      <c r="A325" s="16" t="s">
        <v>2097</v>
      </c>
      <c r="B325" s="16" t="s">
        <v>620</v>
      </c>
      <c r="C325">
        <f t="shared" si="10"/>
        <v>879</v>
      </c>
      <c r="L325" t="s">
        <v>865</v>
      </c>
      <c r="M325">
        <f t="shared" si="11"/>
        <v>1281</v>
      </c>
    </row>
    <row r="326" spans="1:13" hidden="1" x14ac:dyDescent="0.25">
      <c r="A326" s="16" t="s">
        <v>2097</v>
      </c>
      <c r="B326" s="16" t="s">
        <v>621</v>
      </c>
      <c r="C326">
        <f t="shared" si="10"/>
        <v>880</v>
      </c>
      <c r="L326" t="s">
        <v>866</v>
      </c>
      <c r="M326">
        <f t="shared" si="11"/>
        <v>1282</v>
      </c>
    </row>
    <row r="327" spans="1:13" hidden="1" x14ac:dyDescent="0.25">
      <c r="A327" s="16" t="s">
        <v>2097</v>
      </c>
      <c r="B327" s="16" t="s">
        <v>622</v>
      </c>
      <c r="C327">
        <f t="shared" si="10"/>
        <v>881</v>
      </c>
      <c r="L327" t="s">
        <v>867</v>
      </c>
      <c r="M327">
        <f t="shared" si="11"/>
        <v>1283</v>
      </c>
    </row>
    <row r="328" spans="1:13" hidden="1" x14ac:dyDescent="0.25">
      <c r="A328" s="16" t="s">
        <v>2097</v>
      </c>
      <c r="B328" s="16" t="s">
        <v>623</v>
      </c>
      <c r="C328">
        <f t="shared" si="10"/>
        <v>882</v>
      </c>
      <c r="L328" t="s">
        <v>868</v>
      </c>
      <c r="M328">
        <f t="shared" si="11"/>
        <v>1284</v>
      </c>
    </row>
    <row r="329" spans="1:13" hidden="1" x14ac:dyDescent="0.25">
      <c r="A329" s="16" t="s">
        <v>2097</v>
      </c>
      <c r="B329" s="16" t="s">
        <v>624</v>
      </c>
      <c r="C329">
        <f t="shared" si="10"/>
        <v>883</v>
      </c>
      <c r="L329" t="s">
        <v>869</v>
      </c>
      <c r="M329">
        <f t="shared" si="11"/>
        <v>1285</v>
      </c>
    </row>
    <row r="330" spans="1:13" hidden="1" x14ac:dyDescent="0.25">
      <c r="A330" s="16" t="s">
        <v>2097</v>
      </c>
      <c r="B330" s="16" t="s">
        <v>625</v>
      </c>
      <c r="C330">
        <f t="shared" si="10"/>
        <v>884</v>
      </c>
      <c r="L330" t="s">
        <v>870</v>
      </c>
      <c r="M330">
        <f t="shared" si="11"/>
        <v>1286</v>
      </c>
    </row>
    <row r="331" spans="1:13" hidden="1" x14ac:dyDescent="0.25">
      <c r="A331" s="16" t="s">
        <v>2097</v>
      </c>
      <c r="B331" s="16" t="s">
        <v>626</v>
      </c>
      <c r="C331">
        <f t="shared" si="10"/>
        <v>885</v>
      </c>
      <c r="L331" t="s">
        <v>871</v>
      </c>
      <c r="M331">
        <f t="shared" si="11"/>
        <v>1287</v>
      </c>
    </row>
    <row r="332" spans="1:13" hidden="1" x14ac:dyDescent="0.25">
      <c r="A332" s="16" t="s">
        <v>2097</v>
      </c>
      <c r="B332" s="16" t="s">
        <v>627</v>
      </c>
      <c r="C332">
        <f t="shared" si="10"/>
        <v>886</v>
      </c>
      <c r="L332" t="s">
        <v>872</v>
      </c>
      <c r="M332">
        <f t="shared" si="11"/>
        <v>1288</v>
      </c>
    </row>
    <row r="333" spans="1:13" hidden="1" x14ac:dyDescent="0.25">
      <c r="A333" s="16" t="s">
        <v>2097</v>
      </c>
      <c r="B333" s="16" t="s">
        <v>628</v>
      </c>
      <c r="C333">
        <f t="shared" si="10"/>
        <v>887</v>
      </c>
      <c r="L333" t="s">
        <v>873</v>
      </c>
      <c r="M333">
        <f t="shared" si="11"/>
        <v>1289</v>
      </c>
    </row>
    <row r="334" spans="1:13" hidden="1" x14ac:dyDescent="0.25">
      <c r="A334" s="16" t="s">
        <v>2097</v>
      </c>
      <c r="B334" s="16" t="s">
        <v>629</v>
      </c>
      <c r="C334">
        <f t="shared" si="10"/>
        <v>888</v>
      </c>
      <c r="L334" t="s">
        <v>874</v>
      </c>
      <c r="M334">
        <f t="shared" si="11"/>
        <v>1290</v>
      </c>
    </row>
    <row r="335" spans="1:13" hidden="1" x14ac:dyDescent="0.25">
      <c r="A335" s="16" t="s">
        <v>2097</v>
      </c>
      <c r="B335" s="16" t="s">
        <v>651</v>
      </c>
      <c r="C335">
        <f t="shared" si="10"/>
        <v>910</v>
      </c>
      <c r="L335" t="s">
        <v>875</v>
      </c>
      <c r="M335">
        <f t="shared" si="11"/>
        <v>1291</v>
      </c>
    </row>
    <row r="336" spans="1:13" hidden="1" x14ac:dyDescent="0.25">
      <c r="A336" s="16" t="s">
        <v>2097</v>
      </c>
      <c r="B336" s="16" t="s">
        <v>652</v>
      </c>
      <c r="C336">
        <f t="shared" si="10"/>
        <v>911</v>
      </c>
      <c r="L336" t="s">
        <v>876</v>
      </c>
      <c r="M336">
        <f t="shared" si="11"/>
        <v>1292</v>
      </c>
    </row>
    <row r="337" spans="1:13" hidden="1" x14ac:dyDescent="0.25">
      <c r="A337" s="16" t="s">
        <v>2097</v>
      </c>
      <c r="B337" s="16" t="s">
        <v>653</v>
      </c>
      <c r="C337">
        <f t="shared" si="10"/>
        <v>912</v>
      </c>
      <c r="L337" t="s">
        <v>877</v>
      </c>
      <c r="M337">
        <f t="shared" si="11"/>
        <v>1293</v>
      </c>
    </row>
    <row r="338" spans="1:13" hidden="1" x14ac:dyDescent="0.25">
      <c r="A338" s="16" t="s">
        <v>2097</v>
      </c>
      <c r="B338" s="16" t="s">
        <v>654</v>
      </c>
      <c r="C338">
        <f t="shared" si="10"/>
        <v>913</v>
      </c>
      <c r="L338" t="s">
        <v>878</v>
      </c>
      <c r="M338">
        <f t="shared" si="11"/>
        <v>1294</v>
      </c>
    </row>
    <row r="339" spans="1:13" hidden="1" x14ac:dyDescent="0.25">
      <c r="A339" s="16" t="s">
        <v>2097</v>
      </c>
      <c r="B339" s="16" t="s">
        <v>655</v>
      </c>
      <c r="C339">
        <f t="shared" si="10"/>
        <v>914</v>
      </c>
      <c r="L339" t="s">
        <v>879</v>
      </c>
      <c r="M339">
        <f t="shared" si="11"/>
        <v>1295</v>
      </c>
    </row>
    <row r="340" spans="1:13" hidden="1" x14ac:dyDescent="0.25">
      <c r="A340" s="16" t="s">
        <v>2097</v>
      </c>
      <c r="B340" s="16" t="s">
        <v>656</v>
      </c>
      <c r="C340">
        <f t="shared" si="10"/>
        <v>915</v>
      </c>
      <c r="L340" t="s">
        <v>880</v>
      </c>
      <c r="M340">
        <f t="shared" si="11"/>
        <v>1296</v>
      </c>
    </row>
    <row r="341" spans="1:13" hidden="1" x14ac:dyDescent="0.25">
      <c r="A341" s="16" t="s">
        <v>2097</v>
      </c>
      <c r="B341" s="16" t="s">
        <v>657</v>
      </c>
      <c r="C341">
        <f t="shared" si="10"/>
        <v>916</v>
      </c>
      <c r="L341" t="s">
        <v>881</v>
      </c>
      <c r="M341">
        <f t="shared" si="11"/>
        <v>1297</v>
      </c>
    </row>
    <row r="342" spans="1:13" hidden="1" x14ac:dyDescent="0.25">
      <c r="A342" s="16" t="s">
        <v>2097</v>
      </c>
      <c r="B342" s="16" t="s">
        <v>658</v>
      </c>
      <c r="C342">
        <f t="shared" si="10"/>
        <v>917</v>
      </c>
      <c r="L342" t="s">
        <v>882</v>
      </c>
      <c r="M342">
        <f t="shared" si="11"/>
        <v>1298</v>
      </c>
    </row>
    <row r="343" spans="1:13" hidden="1" x14ac:dyDescent="0.25">
      <c r="A343" s="16" t="s">
        <v>2097</v>
      </c>
      <c r="B343" s="16" t="s">
        <v>659</v>
      </c>
      <c r="C343">
        <f t="shared" si="10"/>
        <v>918</v>
      </c>
      <c r="L343" t="s">
        <v>883</v>
      </c>
      <c r="M343">
        <f t="shared" si="11"/>
        <v>1299</v>
      </c>
    </row>
    <row r="344" spans="1:13" hidden="1" x14ac:dyDescent="0.25">
      <c r="A344" s="16" t="s">
        <v>2097</v>
      </c>
      <c r="B344" s="16" t="s">
        <v>660</v>
      </c>
      <c r="C344">
        <f t="shared" si="10"/>
        <v>919</v>
      </c>
      <c r="L344" t="s">
        <v>884</v>
      </c>
      <c r="M344">
        <f t="shared" si="11"/>
        <v>1300</v>
      </c>
    </row>
    <row r="345" spans="1:13" hidden="1" x14ac:dyDescent="0.25">
      <c r="A345" s="16" t="s">
        <v>2097</v>
      </c>
      <c r="B345" s="16" t="s">
        <v>661</v>
      </c>
      <c r="C345">
        <f t="shared" si="10"/>
        <v>920</v>
      </c>
      <c r="L345" t="s">
        <v>885</v>
      </c>
      <c r="M345">
        <f t="shared" si="11"/>
        <v>1301</v>
      </c>
    </row>
    <row r="346" spans="1:13" hidden="1" x14ac:dyDescent="0.25">
      <c r="A346" s="16" t="s">
        <v>2097</v>
      </c>
      <c r="B346" s="16" t="s">
        <v>662</v>
      </c>
      <c r="C346">
        <f t="shared" si="10"/>
        <v>921</v>
      </c>
      <c r="L346" t="s">
        <v>886</v>
      </c>
      <c r="M346">
        <f t="shared" si="11"/>
        <v>1302</v>
      </c>
    </row>
    <row r="347" spans="1:13" hidden="1" x14ac:dyDescent="0.25">
      <c r="A347" s="16" t="s">
        <v>2097</v>
      </c>
      <c r="B347" s="16" t="s">
        <v>663</v>
      </c>
      <c r="C347">
        <f t="shared" si="10"/>
        <v>922</v>
      </c>
      <c r="L347" t="s">
        <v>887</v>
      </c>
      <c r="M347">
        <f t="shared" si="11"/>
        <v>1303</v>
      </c>
    </row>
    <row r="348" spans="1:13" hidden="1" x14ac:dyDescent="0.25">
      <c r="A348" s="16" t="s">
        <v>2097</v>
      </c>
      <c r="B348" s="16" t="s">
        <v>664</v>
      </c>
      <c r="C348">
        <f t="shared" si="10"/>
        <v>923</v>
      </c>
      <c r="L348" t="s">
        <v>888</v>
      </c>
      <c r="M348">
        <f t="shared" si="11"/>
        <v>1304</v>
      </c>
    </row>
    <row r="349" spans="1:13" hidden="1" x14ac:dyDescent="0.25">
      <c r="A349" s="16" t="s">
        <v>2097</v>
      </c>
      <c r="B349" s="16" t="s">
        <v>665</v>
      </c>
      <c r="C349">
        <f t="shared" si="10"/>
        <v>924</v>
      </c>
      <c r="L349" t="s">
        <v>889</v>
      </c>
      <c r="M349">
        <f t="shared" si="11"/>
        <v>1305</v>
      </c>
    </row>
    <row r="350" spans="1:13" hidden="1" x14ac:dyDescent="0.25">
      <c r="A350" s="16" t="s">
        <v>2097</v>
      </c>
      <c r="B350" s="16" t="s">
        <v>666</v>
      </c>
      <c r="C350">
        <f t="shared" si="10"/>
        <v>925</v>
      </c>
      <c r="L350" t="s">
        <v>890</v>
      </c>
      <c r="M350">
        <f t="shared" si="11"/>
        <v>1306</v>
      </c>
    </row>
    <row r="351" spans="1:13" hidden="1" x14ac:dyDescent="0.25">
      <c r="A351" s="16" t="s">
        <v>2097</v>
      </c>
      <c r="B351" s="16" t="s">
        <v>667</v>
      </c>
      <c r="C351">
        <f t="shared" si="10"/>
        <v>926</v>
      </c>
      <c r="L351" t="s">
        <v>891</v>
      </c>
      <c r="M351">
        <f t="shared" si="11"/>
        <v>1307</v>
      </c>
    </row>
    <row r="352" spans="1:13" hidden="1" x14ac:dyDescent="0.25">
      <c r="A352" s="16" t="s">
        <v>2097</v>
      </c>
      <c r="B352" s="16" t="s">
        <v>668</v>
      </c>
      <c r="C352">
        <f t="shared" si="10"/>
        <v>927</v>
      </c>
      <c r="L352" t="s">
        <v>892</v>
      </c>
      <c r="M352">
        <f t="shared" si="11"/>
        <v>1308</v>
      </c>
    </row>
    <row r="353" spans="1:13" hidden="1" x14ac:dyDescent="0.25">
      <c r="A353" s="16" t="s">
        <v>2097</v>
      </c>
      <c r="B353" s="16" t="s">
        <v>669</v>
      </c>
      <c r="C353">
        <f t="shared" si="10"/>
        <v>928</v>
      </c>
      <c r="L353" t="s">
        <v>893</v>
      </c>
      <c r="M353">
        <f t="shared" si="11"/>
        <v>1309</v>
      </c>
    </row>
    <row r="354" spans="1:13" hidden="1" x14ac:dyDescent="0.25">
      <c r="A354" s="16" t="s">
        <v>2097</v>
      </c>
      <c r="B354" s="16" t="s">
        <v>670</v>
      </c>
      <c r="C354">
        <f t="shared" si="10"/>
        <v>929</v>
      </c>
      <c r="L354" t="s">
        <v>894</v>
      </c>
      <c r="M354">
        <f t="shared" si="11"/>
        <v>1310</v>
      </c>
    </row>
    <row r="355" spans="1:13" hidden="1" x14ac:dyDescent="0.25">
      <c r="A355" s="16" t="s">
        <v>2097</v>
      </c>
      <c r="B355" s="16" t="s">
        <v>671</v>
      </c>
      <c r="C355">
        <f t="shared" si="10"/>
        <v>930</v>
      </c>
      <c r="L355" t="s">
        <v>895</v>
      </c>
      <c r="M355">
        <f t="shared" si="11"/>
        <v>1311</v>
      </c>
    </row>
    <row r="356" spans="1:13" hidden="1" x14ac:dyDescent="0.25">
      <c r="A356" s="16" t="s">
        <v>2097</v>
      </c>
      <c r="B356" s="16" t="s">
        <v>672</v>
      </c>
      <c r="C356">
        <f t="shared" si="10"/>
        <v>931</v>
      </c>
      <c r="L356" t="s">
        <v>896</v>
      </c>
      <c r="M356">
        <f t="shared" si="11"/>
        <v>1312</v>
      </c>
    </row>
    <row r="357" spans="1:13" hidden="1" x14ac:dyDescent="0.25">
      <c r="A357" s="16" t="s">
        <v>2097</v>
      </c>
      <c r="B357" s="16" t="s">
        <v>673</v>
      </c>
      <c r="C357">
        <f t="shared" si="10"/>
        <v>932</v>
      </c>
      <c r="L357" t="s">
        <v>897</v>
      </c>
      <c r="M357">
        <f t="shared" si="11"/>
        <v>1313</v>
      </c>
    </row>
    <row r="358" spans="1:13" hidden="1" x14ac:dyDescent="0.25">
      <c r="A358" s="16" t="s">
        <v>2097</v>
      </c>
      <c r="B358" s="16" t="s">
        <v>674</v>
      </c>
      <c r="C358">
        <f t="shared" si="10"/>
        <v>933</v>
      </c>
      <c r="L358" t="s">
        <v>898</v>
      </c>
      <c r="M358">
        <f t="shared" si="11"/>
        <v>1314</v>
      </c>
    </row>
    <row r="359" spans="1:13" hidden="1" x14ac:dyDescent="0.25">
      <c r="A359" s="16" t="s">
        <v>2097</v>
      </c>
      <c r="B359" s="16" t="s">
        <v>675</v>
      </c>
      <c r="C359">
        <f t="shared" si="10"/>
        <v>934</v>
      </c>
      <c r="L359" t="s">
        <v>899</v>
      </c>
      <c r="M359">
        <f t="shared" si="11"/>
        <v>1315</v>
      </c>
    </row>
    <row r="360" spans="1:13" hidden="1" x14ac:dyDescent="0.25">
      <c r="A360" s="16" t="s">
        <v>2097</v>
      </c>
      <c r="B360" s="16" t="s">
        <v>676</v>
      </c>
      <c r="C360">
        <f t="shared" si="10"/>
        <v>935</v>
      </c>
      <c r="L360" t="s">
        <v>900</v>
      </c>
      <c r="M360">
        <f t="shared" si="11"/>
        <v>1316</v>
      </c>
    </row>
    <row r="361" spans="1:13" hidden="1" x14ac:dyDescent="0.25">
      <c r="A361" s="16" t="s">
        <v>2097</v>
      </c>
      <c r="B361" s="16" t="s">
        <v>677</v>
      </c>
      <c r="C361">
        <f t="shared" si="10"/>
        <v>936</v>
      </c>
      <c r="L361" t="s">
        <v>901</v>
      </c>
      <c r="M361">
        <f t="shared" si="11"/>
        <v>1317</v>
      </c>
    </row>
    <row r="362" spans="1:13" hidden="1" x14ac:dyDescent="0.25">
      <c r="A362" s="16" t="s">
        <v>2097</v>
      </c>
      <c r="B362" s="16" t="s">
        <v>678</v>
      </c>
      <c r="C362">
        <f t="shared" si="10"/>
        <v>937</v>
      </c>
      <c r="L362" t="s">
        <v>902</v>
      </c>
      <c r="M362">
        <f t="shared" si="11"/>
        <v>1318</v>
      </c>
    </row>
    <row r="363" spans="1:13" hidden="1" x14ac:dyDescent="0.25">
      <c r="A363" s="16" t="s">
        <v>2097</v>
      </c>
      <c r="B363" s="16" t="s">
        <v>679</v>
      </c>
      <c r="C363">
        <f t="shared" si="10"/>
        <v>938</v>
      </c>
      <c r="L363" t="s">
        <v>903</v>
      </c>
      <c r="M363">
        <f t="shared" si="11"/>
        <v>1319</v>
      </c>
    </row>
    <row r="364" spans="1:13" hidden="1" x14ac:dyDescent="0.25">
      <c r="A364" s="16" t="s">
        <v>2097</v>
      </c>
      <c r="B364" s="16" t="s">
        <v>680</v>
      </c>
      <c r="C364">
        <f t="shared" si="10"/>
        <v>939</v>
      </c>
      <c r="L364" t="s">
        <v>904</v>
      </c>
      <c r="M364">
        <f t="shared" si="11"/>
        <v>1320</v>
      </c>
    </row>
    <row r="365" spans="1:13" hidden="1" x14ac:dyDescent="0.25">
      <c r="A365" s="16" t="s">
        <v>2097</v>
      </c>
      <c r="B365" s="16" t="s">
        <v>681</v>
      </c>
      <c r="C365">
        <f t="shared" si="10"/>
        <v>940</v>
      </c>
      <c r="L365" t="s">
        <v>905</v>
      </c>
      <c r="M365">
        <f t="shared" si="11"/>
        <v>1321</v>
      </c>
    </row>
    <row r="366" spans="1:13" hidden="1" x14ac:dyDescent="0.25">
      <c r="A366" s="16" t="s">
        <v>2097</v>
      </c>
      <c r="B366" s="16" t="s">
        <v>682</v>
      </c>
      <c r="C366">
        <f t="shared" si="10"/>
        <v>941</v>
      </c>
      <c r="L366" t="s">
        <v>906</v>
      </c>
      <c r="M366">
        <f t="shared" si="11"/>
        <v>1322</v>
      </c>
    </row>
    <row r="367" spans="1:13" hidden="1" x14ac:dyDescent="0.25">
      <c r="A367" s="16" t="s">
        <v>2097</v>
      </c>
      <c r="B367" s="16" t="s">
        <v>683</v>
      </c>
      <c r="C367">
        <f t="shared" si="10"/>
        <v>942</v>
      </c>
      <c r="L367" t="s">
        <v>907</v>
      </c>
      <c r="M367">
        <f t="shared" si="11"/>
        <v>1323</v>
      </c>
    </row>
    <row r="368" spans="1:13" hidden="1" x14ac:dyDescent="0.25">
      <c r="A368" s="16" t="s">
        <v>2097</v>
      </c>
      <c r="B368" s="16" t="s">
        <v>684</v>
      </c>
      <c r="C368">
        <f t="shared" si="10"/>
        <v>943</v>
      </c>
      <c r="L368" t="s">
        <v>908</v>
      </c>
      <c r="M368">
        <f t="shared" si="11"/>
        <v>1324</v>
      </c>
    </row>
    <row r="369" spans="1:13" hidden="1" x14ac:dyDescent="0.25">
      <c r="A369" s="16" t="s">
        <v>2097</v>
      </c>
      <c r="B369" s="16" t="s">
        <v>685</v>
      </c>
      <c r="C369">
        <f t="shared" si="10"/>
        <v>944</v>
      </c>
      <c r="L369" t="s">
        <v>909</v>
      </c>
      <c r="M369">
        <f t="shared" si="11"/>
        <v>1325</v>
      </c>
    </row>
    <row r="370" spans="1:13" hidden="1" x14ac:dyDescent="0.25">
      <c r="A370" s="16" t="s">
        <v>2097</v>
      </c>
      <c r="B370" s="16" t="s">
        <v>686</v>
      </c>
      <c r="C370">
        <f t="shared" si="10"/>
        <v>945</v>
      </c>
      <c r="L370" t="s">
        <v>910</v>
      </c>
      <c r="M370">
        <f t="shared" si="11"/>
        <v>1326</v>
      </c>
    </row>
    <row r="371" spans="1:13" hidden="1" x14ac:dyDescent="0.25">
      <c r="A371" s="16" t="s">
        <v>2097</v>
      </c>
      <c r="B371" s="16" t="s">
        <v>687</v>
      </c>
      <c r="C371">
        <f t="shared" si="10"/>
        <v>946</v>
      </c>
      <c r="L371" t="s">
        <v>911</v>
      </c>
      <c r="M371">
        <f t="shared" si="11"/>
        <v>1327</v>
      </c>
    </row>
    <row r="372" spans="1:13" hidden="1" x14ac:dyDescent="0.25">
      <c r="A372" s="16" t="s">
        <v>2097</v>
      </c>
      <c r="B372" s="16" t="s">
        <v>688</v>
      </c>
      <c r="C372">
        <f t="shared" si="10"/>
        <v>947</v>
      </c>
      <c r="L372" t="s">
        <v>912</v>
      </c>
      <c r="M372">
        <f t="shared" si="11"/>
        <v>1328</v>
      </c>
    </row>
    <row r="373" spans="1:13" hidden="1" x14ac:dyDescent="0.25">
      <c r="A373" s="16" t="s">
        <v>2097</v>
      </c>
      <c r="B373" s="16" t="s">
        <v>689</v>
      </c>
      <c r="C373">
        <f t="shared" si="10"/>
        <v>948</v>
      </c>
      <c r="L373" t="s">
        <v>913</v>
      </c>
      <c r="M373">
        <f t="shared" si="11"/>
        <v>1329</v>
      </c>
    </row>
    <row r="374" spans="1:13" hidden="1" x14ac:dyDescent="0.25">
      <c r="A374" s="16" t="s">
        <v>2097</v>
      </c>
      <c r="B374" s="16" t="s">
        <v>690</v>
      </c>
      <c r="C374">
        <f t="shared" si="10"/>
        <v>949</v>
      </c>
      <c r="L374" t="s">
        <v>914</v>
      </c>
      <c r="M374">
        <f t="shared" si="11"/>
        <v>1330</v>
      </c>
    </row>
    <row r="375" spans="1:13" hidden="1" x14ac:dyDescent="0.25">
      <c r="A375" s="16" t="s">
        <v>2097</v>
      </c>
      <c r="B375" s="16" t="s">
        <v>691</v>
      </c>
      <c r="C375">
        <f t="shared" si="10"/>
        <v>950</v>
      </c>
      <c r="L375" t="s">
        <v>915</v>
      </c>
      <c r="M375">
        <f t="shared" si="11"/>
        <v>1331</v>
      </c>
    </row>
    <row r="376" spans="1:13" hidden="1" x14ac:dyDescent="0.25">
      <c r="A376" s="16" t="s">
        <v>2097</v>
      </c>
      <c r="B376" s="16" t="s">
        <v>692</v>
      </c>
      <c r="C376">
        <f t="shared" si="10"/>
        <v>951</v>
      </c>
      <c r="L376" t="s">
        <v>916</v>
      </c>
      <c r="M376">
        <f t="shared" si="11"/>
        <v>1332</v>
      </c>
    </row>
    <row r="377" spans="1:13" hidden="1" x14ac:dyDescent="0.25">
      <c r="A377" s="16" t="s">
        <v>2097</v>
      </c>
      <c r="B377" s="16" t="s">
        <v>693</v>
      </c>
      <c r="C377">
        <f t="shared" si="10"/>
        <v>952</v>
      </c>
      <c r="L377" t="s">
        <v>970</v>
      </c>
      <c r="M377">
        <f t="shared" si="11"/>
        <v>1333</v>
      </c>
    </row>
    <row r="378" spans="1:13" hidden="1" x14ac:dyDescent="0.25">
      <c r="A378" s="16" t="s">
        <v>2097</v>
      </c>
      <c r="B378" s="16" t="s">
        <v>694</v>
      </c>
      <c r="C378">
        <f t="shared" si="10"/>
        <v>953</v>
      </c>
      <c r="L378" t="s">
        <v>919</v>
      </c>
      <c r="M378">
        <f t="shared" si="11"/>
        <v>1334</v>
      </c>
    </row>
    <row r="379" spans="1:13" hidden="1" x14ac:dyDescent="0.25">
      <c r="A379" s="16" t="s">
        <v>2097</v>
      </c>
      <c r="B379" s="16" t="s">
        <v>695</v>
      </c>
      <c r="C379">
        <f t="shared" si="10"/>
        <v>954</v>
      </c>
      <c r="L379" t="s">
        <v>920</v>
      </c>
      <c r="M379">
        <f t="shared" si="11"/>
        <v>1335</v>
      </c>
    </row>
    <row r="380" spans="1:13" hidden="1" x14ac:dyDescent="0.25">
      <c r="A380" s="16" t="s">
        <v>2097</v>
      </c>
      <c r="B380" s="16" t="s">
        <v>696</v>
      </c>
      <c r="C380">
        <f t="shared" si="10"/>
        <v>955</v>
      </c>
      <c r="L380" t="s">
        <v>921</v>
      </c>
      <c r="M380">
        <f t="shared" si="11"/>
        <v>1336</v>
      </c>
    </row>
    <row r="381" spans="1:13" hidden="1" x14ac:dyDescent="0.25">
      <c r="A381" s="16" t="s">
        <v>2097</v>
      </c>
      <c r="B381" s="16" t="s">
        <v>697</v>
      </c>
      <c r="C381">
        <f t="shared" si="10"/>
        <v>956</v>
      </c>
      <c r="L381" t="s">
        <v>922</v>
      </c>
      <c r="M381">
        <f t="shared" si="11"/>
        <v>1337</v>
      </c>
    </row>
    <row r="382" spans="1:13" hidden="1" x14ac:dyDescent="0.25">
      <c r="A382" s="16" t="s">
        <v>2097</v>
      </c>
      <c r="B382" s="16" t="s">
        <v>698</v>
      </c>
      <c r="C382">
        <f t="shared" si="10"/>
        <v>957</v>
      </c>
      <c r="L382" t="s">
        <v>923</v>
      </c>
      <c r="M382">
        <f t="shared" si="11"/>
        <v>1338</v>
      </c>
    </row>
    <row r="383" spans="1:13" hidden="1" x14ac:dyDescent="0.25">
      <c r="A383" s="16" t="s">
        <v>2097</v>
      </c>
      <c r="B383" s="16" t="s">
        <v>699</v>
      </c>
      <c r="C383">
        <f t="shared" si="10"/>
        <v>958</v>
      </c>
      <c r="L383" t="s">
        <v>924</v>
      </c>
      <c r="M383">
        <f t="shared" si="11"/>
        <v>1339</v>
      </c>
    </row>
    <row r="384" spans="1:13" hidden="1" x14ac:dyDescent="0.25">
      <c r="A384" s="16" t="s">
        <v>2097</v>
      </c>
      <c r="B384" s="16" t="s">
        <v>700</v>
      </c>
      <c r="C384">
        <f t="shared" si="10"/>
        <v>959</v>
      </c>
      <c r="L384" t="s">
        <v>925</v>
      </c>
      <c r="M384">
        <f t="shared" si="11"/>
        <v>1340</v>
      </c>
    </row>
    <row r="385" spans="1:13" hidden="1" x14ac:dyDescent="0.25">
      <c r="A385" s="16" t="s">
        <v>2097</v>
      </c>
      <c r="B385" s="16" t="s">
        <v>701</v>
      </c>
      <c r="C385">
        <f t="shared" si="10"/>
        <v>960</v>
      </c>
      <c r="L385" t="s">
        <v>926</v>
      </c>
      <c r="M385">
        <f t="shared" si="11"/>
        <v>1341</v>
      </c>
    </row>
    <row r="386" spans="1:13" hidden="1" x14ac:dyDescent="0.25">
      <c r="A386" s="16" t="s">
        <v>2097</v>
      </c>
      <c r="B386" s="16" t="s">
        <v>702</v>
      </c>
      <c r="C386">
        <f t="shared" si="10"/>
        <v>961</v>
      </c>
      <c r="L386" t="s">
        <v>927</v>
      </c>
      <c r="M386">
        <f t="shared" si="11"/>
        <v>1342</v>
      </c>
    </row>
    <row r="387" spans="1:13" hidden="1" x14ac:dyDescent="0.25">
      <c r="A387" s="16" t="s">
        <v>2097</v>
      </c>
      <c r="B387" s="16" t="s">
        <v>703</v>
      </c>
      <c r="C387">
        <f t="shared" ref="C387:C450" si="12">MATCH(B387,L:L,0)</f>
        <v>962</v>
      </c>
      <c r="L387" t="s">
        <v>928</v>
      </c>
      <c r="M387">
        <f t="shared" ref="M387:M450" si="13">MATCH(L387,B:B,0)</f>
        <v>1343</v>
      </c>
    </row>
    <row r="388" spans="1:13" hidden="1" x14ac:dyDescent="0.25">
      <c r="A388" s="16" t="s">
        <v>2097</v>
      </c>
      <c r="B388" s="16" t="s">
        <v>704</v>
      </c>
      <c r="C388">
        <f t="shared" si="12"/>
        <v>963</v>
      </c>
      <c r="L388" t="s">
        <v>929</v>
      </c>
      <c r="M388">
        <f t="shared" si="13"/>
        <v>1344</v>
      </c>
    </row>
    <row r="389" spans="1:13" hidden="1" x14ac:dyDescent="0.25">
      <c r="A389" s="16" t="s">
        <v>2097</v>
      </c>
      <c r="B389" s="16" t="s">
        <v>705</v>
      </c>
      <c r="C389">
        <f t="shared" si="12"/>
        <v>964</v>
      </c>
      <c r="L389" t="s">
        <v>930</v>
      </c>
      <c r="M389">
        <f t="shared" si="13"/>
        <v>1345</v>
      </c>
    </row>
    <row r="390" spans="1:13" hidden="1" x14ac:dyDescent="0.25">
      <c r="A390" s="16" t="s">
        <v>2097</v>
      </c>
      <c r="B390" s="16" t="s">
        <v>706</v>
      </c>
      <c r="C390">
        <f t="shared" si="12"/>
        <v>965</v>
      </c>
      <c r="L390" t="s">
        <v>931</v>
      </c>
      <c r="M390">
        <f t="shared" si="13"/>
        <v>1346</v>
      </c>
    </row>
    <row r="391" spans="1:13" hidden="1" x14ac:dyDescent="0.25">
      <c r="A391" s="16" t="s">
        <v>2097</v>
      </c>
      <c r="B391" s="16" t="s">
        <v>2797</v>
      </c>
      <c r="C391">
        <f t="shared" si="12"/>
        <v>694</v>
      </c>
      <c r="L391" t="s">
        <v>932</v>
      </c>
      <c r="M391">
        <f t="shared" si="13"/>
        <v>1347</v>
      </c>
    </row>
    <row r="392" spans="1:13" hidden="1" x14ac:dyDescent="0.25">
      <c r="A392" s="16" t="s">
        <v>2097</v>
      </c>
      <c r="B392" s="16" t="s">
        <v>2798</v>
      </c>
      <c r="C392">
        <f t="shared" si="12"/>
        <v>695</v>
      </c>
      <c r="L392" t="s">
        <v>933</v>
      </c>
      <c r="M392">
        <f t="shared" si="13"/>
        <v>1348</v>
      </c>
    </row>
    <row r="393" spans="1:13" hidden="1" x14ac:dyDescent="0.25">
      <c r="A393" s="16" t="s">
        <v>2097</v>
      </c>
      <c r="B393" s="16" t="s">
        <v>2799</v>
      </c>
      <c r="C393">
        <f t="shared" si="12"/>
        <v>696</v>
      </c>
      <c r="L393" t="s">
        <v>934</v>
      </c>
      <c r="M393">
        <f t="shared" si="13"/>
        <v>1349</v>
      </c>
    </row>
    <row r="394" spans="1:13" hidden="1" x14ac:dyDescent="0.25">
      <c r="A394" s="16" t="s">
        <v>2097</v>
      </c>
      <c r="B394" s="16" t="s">
        <v>2800</v>
      </c>
      <c r="C394">
        <f t="shared" si="12"/>
        <v>697</v>
      </c>
      <c r="L394" t="s">
        <v>935</v>
      </c>
      <c r="M394">
        <f t="shared" si="13"/>
        <v>1350</v>
      </c>
    </row>
    <row r="395" spans="1:13" hidden="1" x14ac:dyDescent="0.25">
      <c r="A395" s="16" t="s">
        <v>2097</v>
      </c>
      <c r="B395" s="16" t="s">
        <v>351</v>
      </c>
      <c r="C395">
        <f t="shared" si="12"/>
        <v>653</v>
      </c>
      <c r="L395" t="s">
        <v>936</v>
      </c>
      <c r="M395">
        <f t="shared" si="13"/>
        <v>1351</v>
      </c>
    </row>
    <row r="396" spans="1:13" hidden="1" x14ac:dyDescent="0.25">
      <c r="A396" s="16" t="s">
        <v>2097</v>
      </c>
      <c r="B396" s="16" t="s">
        <v>355</v>
      </c>
      <c r="C396">
        <f t="shared" si="12"/>
        <v>655</v>
      </c>
      <c r="L396" t="s">
        <v>937</v>
      </c>
      <c r="M396">
        <f t="shared" si="13"/>
        <v>1352</v>
      </c>
    </row>
    <row r="397" spans="1:13" hidden="1" x14ac:dyDescent="0.25">
      <c r="A397" s="16" t="s">
        <v>2097</v>
      </c>
      <c r="B397" s="16" t="s">
        <v>359</v>
      </c>
      <c r="C397">
        <f t="shared" si="12"/>
        <v>657</v>
      </c>
      <c r="L397" t="s">
        <v>938</v>
      </c>
      <c r="M397">
        <f t="shared" si="13"/>
        <v>1353</v>
      </c>
    </row>
    <row r="398" spans="1:13" hidden="1" x14ac:dyDescent="0.25">
      <c r="A398" s="16" t="s">
        <v>2097</v>
      </c>
      <c r="B398" s="16" t="s">
        <v>363</v>
      </c>
      <c r="C398">
        <f t="shared" si="12"/>
        <v>659</v>
      </c>
      <c r="L398" t="s">
        <v>939</v>
      </c>
      <c r="M398">
        <f t="shared" si="13"/>
        <v>1354</v>
      </c>
    </row>
    <row r="399" spans="1:13" hidden="1" x14ac:dyDescent="0.25">
      <c r="A399" s="16" t="s">
        <v>2097</v>
      </c>
      <c r="B399" s="16" t="s">
        <v>367</v>
      </c>
      <c r="C399">
        <f t="shared" si="12"/>
        <v>661</v>
      </c>
      <c r="L399" t="s">
        <v>940</v>
      </c>
      <c r="M399">
        <f t="shared" si="13"/>
        <v>1355</v>
      </c>
    </row>
    <row r="400" spans="1:13" hidden="1" x14ac:dyDescent="0.25">
      <c r="A400" s="16" t="s">
        <v>2097</v>
      </c>
      <c r="B400" s="16" t="s">
        <v>371</v>
      </c>
      <c r="C400">
        <f t="shared" si="12"/>
        <v>663</v>
      </c>
      <c r="L400" t="s">
        <v>941</v>
      </c>
      <c r="M400">
        <f t="shared" si="13"/>
        <v>1356</v>
      </c>
    </row>
    <row r="401" spans="1:13" hidden="1" x14ac:dyDescent="0.25">
      <c r="A401" s="16" t="s">
        <v>2097</v>
      </c>
      <c r="B401" s="16" t="s">
        <v>375</v>
      </c>
      <c r="C401">
        <f t="shared" si="12"/>
        <v>665</v>
      </c>
      <c r="L401" t="s">
        <v>942</v>
      </c>
      <c r="M401">
        <f t="shared" si="13"/>
        <v>1357</v>
      </c>
    </row>
    <row r="402" spans="1:13" hidden="1" x14ac:dyDescent="0.25">
      <c r="A402" s="16" t="s">
        <v>2097</v>
      </c>
      <c r="B402" s="16" t="s">
        <v>379</v>
      </c>
      <c r="C402">
        <f t="shared" si="12"/>
        <v>667</v>
      </c>
      <c r="L402" t="s">
        <v>943</v>
      </c>
      <c r="M402">
        <f t="shared" si="13"/>
        <v>1358</v>
      </c>
    </row>
    <row r="403" spans="1:13" hidden="1" x14ac:dyDescent="0.25">
      <c r="A403" s="16" t="s">
        <v>2097</v>
      </c>
      <c r="B403" s="16" t="s">
        <v>383</v>
      </c>
      <c r="C403">
        <f t="shared" si="12"/>
        <v>669</v>
      </c>
      <c r="L403" t="s">
        <v>944</v>
      </c>
      <c r="M403">
        <f t="shared" si="13"/>
        <v>1359</v>
      </c>
    </row>
    <row r="404" spans="1:13" hidden="1" x14ac:dyDescent="0.25">
      <c r="A404" s="16" t="s">
        <v>2097</v>
      </c>
      <c r="B404" s="16" t="s">
        <v>387</v>
      </c>
      <c r="C404">
        <f t="shared" si="12"/>
        <v>671</v>
      </c>
      <c r="L404" t="s">
        <v>945</v>
      </c>
      <c r="M404">
        <f t="shared" si="13"/>
        <v>1360</v>
      </c>
    </row>
    <row r="405" spans="1:13" hidden="1" x14ac:dyDescent="0.25">
      <c r="A405" s="16" t="s">
        <v>2097</v>
      </c>
      <c r="B405" s="16" t="s">
        <v>391</v>
      </c>
      <c r="C405">
        <f t="shared" si="12"/>
        <v>673</v>
      </c>
      <c r="L405" t="s">
        <v>946</v>
      </c>
      <c r="M405">
        <f t="shared" si="13"/>
        <v>1361</v>
      </c>
    </row>
    <row r="406" spans="1:13" hidden="1" x14ac:dyDescent="0.25">
      <c r="A406" s="16" t="s">
        <v>2097</v>
      </c>
      <c r="B406" s="16" t="s">
        <v>395</v>
      </c>
      <c r="C406">
        <f t="shared" si="12"/>
        <v>675</v>
      </c>
      <c r="L406" t="s">
        <v>947</v>
      </c>
      <c r="M406">
        <f t="shared" si="13"/>
        <v>1362</v>
      </c>
    </row>
    <row r="407" spans="1:13" hidden="1" x14ac:dyDescent="0.25">
      <c r="A407" s="16" t="s">
        <v>2097</v>
      </c>
      <c r="B407" s="16" t="s">
        <v>399</v>
      </c>
      <c r="C407">
        <f t="shared" si="12"/>
        <v>677</v>
      </c>
      <c r="L407" t="s">
        <v>948</v>
      </c>
      <c r="M407">
        <f t="shared" si="13"/>
        <v>1363</v>
      </c>
    </row>
    <row r="408" spans="1:13" hidden="1" x14ac:dyDescent="0.25">
      <c r="A408" s="16" t="s">
        <v>2097</v>
      </c>
      <c r="B408" s="16" t="s">
        <v>403</v>
      </c>
      <c r="C408">
        <f t="shared" si="12"/>
        <v>679</v>
      </c>
      <c r="L408" t="s">
        <v>949</v>
      </c>
      <c r="M408">
        <f t="shared" si="13"/>
        <v>1364</v>
      </c>
    </row>
    <row r="409" spans="1:13" hidden="1" x14ac:dyDescent="0.25">
      <c r="A409" s="16" t="s">
        <v>2097</v>
      </c>
      <c r="B409" s="16" t="s">
        <v>407</v>
      </c>
      <c r="C409">
        <f t="shared" si="12"/>
        <v>681</v>
      </c>
      <c r="L409" t="s">
        <v>950</v>
      </c>
      <c r="M409">
        <f t="shared" si="13"/>
        <v>1365</v>
      </c>
    </row>
    <row r="410" spans="1:13" hidden="1" x14ac:dyDescent="0.25">
      <c r="A410" s="16" t="s">
        <v>2097</v>
      </c>
      <c r="B410" s="16" t="s">
        <v>411</v>
      </c>
      <c r="C410">
        <f t="shared" si="12"/>
        <v>683</v>
      </c>
      <c r="L410" t="s">
        <v>951</v>
      </c>
      <c r="M410">
        <f t="shared" si="13"/>
        <v>1366</v>
      </c>
    </row>
    <row r="411" spans="1:13" hidden="1" x14ac:dyDescent="0.25">
      <c r="A411" s="16" t="s">
        <v>2097</v>
      </c>
      <c r="B411" s="16" t="s">
        <v>415</v>
      </c>
      <c r="C411">
        <f t="shared" si="12"/>
        <v>685</v>
      </c>
      <c r="L411" t="s">
        <v>952</v>
      </c>
      <c r="M411">
        <f t="shared" si="13"/>
        <v>1367</v>
      </c>
    </row>
    <row r="412" spans="1:13" hidden="1" x14ac:dyDescent="0.25">
      <c r="A412" s="16" t="s">
        <v>2097</v>
      </c>
      <c r="B412" s="16" t="s">
        <v>419</v>
      </c>
      <c r="C412">
        <f t="shared" si="12"/>
        <v>687</v>
      </c>
      <c r="L412" t="s">
        <v>953</v>
      </c>
      <c r="M412">
        <f t="shared" si="13"/>
        <v>1368</v>
      </c>
    </row>
    <row r="413" spans="1:13" hidden="1" x14ac:dyDescent="0.25">
      <c r="A413" s="16" t="s">
        <v>2097</v>
      </c>
      <c r="B413" s="16" t="s">
        <v>423</v>
      </c>
      <c r="C413">
        <f t="shared" si="12"/>
        <v>689</v>
      </c>
      <c r="L413" t="s">
        <v>954</v>
      </c>
      <c r="M413">
        <f t="shared" si="13"/>
        <v>1369</v>
      </c>
    </row>
    <row r="414" spans="1:13" hidden="1" x14ac:dyDescent="0.25">
      <c r="A414" s="16" t="s">
        <v>3020</v>
      </c>
      <c r="B414" s="16" t="s">
        <v>2859</v>
      </c>
      <c r="C414">
        <f t="shared" si="12"/>
        <v>1162</v>
      </c>
      <c r="L414" t="s">
        <v>955</v>
      </c>
      <c r="M414">
        <f t="shared" si="13"/>
        <v>1370</v>
      </c>
    </row>
    <row r="415" spans="1:13" hidden="1" x14ac:dyDescent="0.25">
      <c r="A415" s="16" t="s">
        <v>3020</v>
      </c>
      <c r="B415" s="16" t="s">
        <v>2860</v>
      </c>
      <c r="C415">
        <f t="shared" si="12"/>
        <v>1163</v>
      </c>
      <c r="L415" t="s">
        <v>956</v>
      </c>
      <c r="M415">
        <f t="shared" si="13"/>
        <v>1371</v>
      </c>
    </row>
    <row r="416" spans="1:13" hidden="1" x14ac:dyDescent="0.25">
      <c r="A416" s="16" t="s">
        <v>3020</v>
      </c>
      <c r="B416" s="16" t="s">
        <v>2861</v>
      </c>
      <c r="C416">
        <f t="shared" si="12"/>
        <v>1164</v>
      </c>
      <c r="L416" t="s">
        <v>957</v>
      </c>
      <c r="M416">
        <f t="shared" si="13"/>
        <v>1372</v>
      </c>
    </row>
    <row r="417" spans="1:13" hidden="1" x14ac:dyDescent="0.25">
      <c r="A417" s="16" t="s">
        <v>3020</v>
      </c>
      <c r="B417" s="16" t="s">
        <v>2862</v>
      </c>
      <c r="C417">
        <f t="shared" si="12"/>
        <v>1165</v>
      </c>
      <c r="L417" t="s">
        <v>958</v>
      </c>
      <c r="M417">
        <f t="shared" si="13"/>
        <v>1373</v>
      </c>
    </row>
    <row r="418" spans="1:13" hidden="1" x14ac:dyDescent="0.25">
      <c r="A418" s="16" t="s">
        <v>3020</v>
      </c>
      <c r="B418" s="16" t="s">
        <v>2863</v>
      </c>
      <c r="C418">
        <f t="shared" si="12"/>
        <v>1166</v>
      </c>
      <c r="L418" t="s">
        <v>959</v>
      </c>
      <c r="M418">
        <f t="shared" si="13"/>
        <v>1374</v>
      </c>
    </row>
    <row r="419" spans="1:13" hidden="1" x14ac:dyDescent="0.25">
      <c r="A419" s="16" t="s">
        <v>3020</v>
      </c>
      <c r="B419" s="16" t="s">
        <v>2864</v>
      </c>
      <c r="C419">
        <f t="shared" si="12"/>
        <v>1167</v>
      </c>
      <c r="L419" t="s">
        <v>960</v>
      </c>
      <c r="M419">
        <f t="shared" si="13"/>
        <v>1375</v>
      </c>
    </row>
    <row r="420" spans="1:13" hidden="1" x14ac:dyDescent="0.25">
      <c r="A420" s="16" t="s">
        <v>3020</v>
      </c>
      <c r="B420" s="16" t="s">
        <v>2865</v>
      </c>
      <c r="C420">
        <f t="shared" si="12"/>
        <v>1168</v>
      </c>
      <c r="L420" t="s">
        <v>1095</v>
      </c>
      <c r="M420">
        <f t="shared" si="13"/>
        <v>1490</v>
      </c>
    </row>
    <row r="421" spans="1:13" hidden="1" x14ac:dyDescent="0.25">
      <c r="A421" s="16" t="s">
        <v>3020</v>
      </c>
      <c r="B421" s="16" t="s">
        <v>2866</v>
      </c>
      <c r="C421">
        <f t="shared" si="12"/>
        <v>1169</v>
      </c>
      <c r="L421" t="s">
        <v>1096</v>
      </c>
      <c r="M421">
        <f t="shared" si="13"/>
        <v>1491</v>
      </c>
    </row>
    <row r="422" spans="1:13" hidden="1" x14ac:dyDescent="0.25">
      <c r="A422" s="16" t="s">
        <v>3020</v>
      </c>
      <c r="B422" s="16" t="s">
        <v>2867</v>
      </c>
      <c r="C422">
        <f t="shared" si="12"/>
        <v>1170</v>
      </c>
      <c r="L422" t="s">
        <v>1097</v>
      </c>
      <c r="M422">
        <f t="shared" si="13"/>
        <v>1492</v>
      </c>
    </row>
    <row r="423" spans="1:13" hidden="1" x14ac:dyDescent="0.25">
      <c r="A423" s="16" t="s">
        <v>3020</v>
      </c>
      <c r="B423" s="16" t="s">
        <v>2868</v>
      </c>
      <c r="C423">
        <f t="shared" si="12"/>
        <v>1171</v>
      </c>
      <c r="L423" t="s">
        <v>1098</v>
      </c>
      <c r="M423">
        <f t="shared" si="13"/>
        <v>1493</v>
      </c>
    </row>
    <row r="424" spans="1:13" hidden="1" x14ac:dyDescent="0.25">
      <c r="A424" s="16" t="s">
        <v>3020</v>
      </c>
      <c r="B424" s="16" t="s">
        <v>2869</v>
      </c>
      <c r="C424">
        <f t="shared" si="12"/>
        <v>1172</v>
      </c>
      <c r="L424" t="s">
        <v>1099</v>
      </c>
      <c r="M424">
        <f t="shared" si="13"/>
        <v>1494</v>
      </c>
    </row>
    <row r="425" spans="1:13" hidden="1" x14ac:dyDescent="0.25">
      <c r="A425" s="16" t="s">
        <v>3020</v>
      </c>
      <c r="B425" s="16" t="s">
        <v>2870</v>
      </c>
      <c r="C425">
        <f t="shared" si="12"/>
        <v>1173</v>
      </c>
      <c r="L425" t="s">
        <v>1100</v>
      </c>
      <c r="M425">
        <f t="shared" si="13"/>
        <v>1495</v>
      </c>
    </row>
    <row r="426" spans="1:13" hidden="1" x14ac:dyDescent="0.25">
      <c r="A426" s="16" t="s">
        <v>3020</v>
      </c>
      <c r="B426" s="16" t="s">
        <v>2871</v>
      </c>
      <c r="C426">
        <f t="shared" si="12"/>
        <v>1174</v>
      </c>
      <c r="L426" t="s">
        <v>1101</v>
      </c>
      <c r="M426">
        <f t="shared" si="13"/>
        <v>1496</v>
      </c>
    </row>
    <row r="427" spans="1:13" hidden="1" x14ac:dyDescent="0.25">
      <c r="A427" s="16" t="s">
        <v>3020</v>
      </c>
      <c r="B427" s="16" t="s">
        <v>2872</v>
      </c>
      <c r="C427">
        <f t="shared" si="12"/>
        <v>1175</v>
      </c>
      <c r="L427" t="s">
        <v>1102</v>
      </c>
      <c r="M427">
        <f t="shared" si="13"/>
        <v>1497</v>
      </c>
    </row>
    <row r="428" spans="1:13" hidden="1" x14ac:dyDescent="0.25">
      <c r="A428" s="16" t="s">
        <v>3020</v>
      </c>
      <c r="B428" s="16" t="s">
        <v>2873</v>
      </c>
      <c r="C428">
        <f t="shared" si="12"/>
        <v>1176</v>
      </c>
      <c r="L428" t="s">
        <v>1103</v>
      </c>
      <c r="M428">
        <f t="shared" si="13"/>
        <v>1498</v>
      </c>
    </row>
    <row r="429" spans="1:13" hidden="1" x14ac:dyDescent="0.25">
      <c r="A429" s="16" t="s">
        <v>3020</v>
      </c>
      <c r="B429" s="16" t="s">
        <v>2874</v>
      </c>
      <c r="C429">
        <f t="shared" si="12"/>
        <v>1177</v>
      </c>
      <c r="L429" t="s">
        <v>1104</v>
      </c>
      <c r="M429">
        <f t="shared" si="13"/>
        <v>1499</v>
      </c>
    </row>
    <row r="430" spans="1:13" hidden="1" x14ac:dyDescent="0.25">
      <c r="A430" s="16" t="s">
        <v>3020</v>
      </c>
      <c r="B430" s="16" t="s">
        <v>2875</v>
      </c>
      <c r="C430">
        <f t="shared" si="12"/>
        <v>1178</v>
      </c>
      <c r="L430" t="s">
        <v>1105</v>
      </c>
      <c r="M430">
        <f t="shared" si="13"/>
        <v>1500</v>
      </c>
    </row>
    <row r="431" spans="1:13" hidden="1" x14ac:dyDescent="0.25">
      <c r="A431" s="16" t="s">
        <v>3020</v>
      </c>
      <c r="B431" s="16" t="s">
        <v>2876</v>
      </c>
      <c r="C431">
        <f t="shared" si="12"/>
        <v>1179</v>
      </c>
      <c r="L431" t="s">
        <v>1106</v>
      </c>
      <c r="M431">
        <f t="shared" si="13"/>
        <v>1501</v>
      </c>
    </row>
    <row r="432" spans="1:13" hidden="1" x14ac:dyDescent="0.25">
      <c r="A432" s="16" t="s">
        <v>3020</v>
      </c>
      <c r="B432" s="16" t="s">
        <v>2877</v>
      </c>
      <c r="C432">
        <f t="shared" si="12"/>
        <v>1180</v>
      </c>
      <c r="L432" t="s">
        <v>1107</v>
      </c>
      <c r="M432">
        <f t="shared" si="13"/>
        <v>1502</v>
      </c>
    </row>
    <row r="433" spans="1:13" hidden="1" x14ac:dyDescent="0.25">
      <c r="A433" s="16" t="s">
        <v>3020</v>
      </c>
      <c r="B433" s="16" t="s">
        <v>2878</v>
      </c>
      <c r="C433">
        <f t="shared" si="12"/>
        <v>1181</v>
      </c>
      <c r="L433" t="s">
        <v>1108</v>
      </c>
      <c r="M433">
        <f t="shared" si="13"/>
        <v>1503</v>
      </c>
    </row>
    <row r="434" spans="1:13" hidden="1" x14ac:dyDescent="0.25">
      <c r="A434" s="16" t="s">
        <v>3020</v>
      </c>
      <c r="B434" s="16" t="s">
        <v>2879</v>
      </c>
      <c r="C434">
        <f t="shared" si="12"/>
        <v>1182</v>
      </c>
      <c r="L434" t="s">
        <v>1109</v>
      </c>
      <c r="M434">
        <f t="shared" si="13"/>
        <v>1504</v>
      </c>
    </row>
    <row r="435" spans="1:13" hidden="1" x14ac:dyDescent="0.25">
      <c r="A435" s="16" t="s">
        <v>3020</v>
      </c>
      <c r="B435" s="16" t="s">
        <v>2880</v>
      </c>
      <c r="C435">
        <f t="shared" si="12"/>
        <v>1183</v>
      </c>
      <c r="L435" t="s">
        <v>1110</v>
      </c>
      <c r="M435">
        <f t="shared" si="13"/>
        <v>1505</v>
      </c>
    </row>
    <row r="436" spans="1:13" hidden="1" x14ac:dyDescent="0.25">
      <c r="A436" s="16" t="s">
        <v>3020</v>
      </c>
      <c r="B436" s="16" t="s">
        <v>2881</v>
      </c>
      <c r="C436">
        <f t="shared" si="12"/>
        <v>1184</v>
      </c>
      <c r="L436" t="s">
        <v>1111</v>
      </c>
      <c r="M436">
        <f t="shared" si="13"/>
        <v>1506</v>
      </c>
    </row>
    <row r="437" spans="1:13" hidden="1" x14ac:dyDescent="0.25">
      <c r="A437" s="16" t="s">
        <v>3020</v>
      </c>
      <c r="B437" s="16" t="s">
        <v>2882</v>
      </c>
      <c r="C437">
        <f t="shared" si="12"/>
        <v>1185</v>
      </c>
      <c r="L437" t="s">
        <v>1112</v>
      </c>
      <c r="M437">
        <f t="shared" si="13"/>
        <v>1507</v>
      </c>
    </row>
    <row r="438" spans="1:13" hidden="1" x14ac:dyDescent="0.25">
      <c r="A438" s="16" t="s">
        <v>3020</v>
      </c>
      <c r="B438" s="16" t="s">
        <v>2883</v>
      </c>
      <c r="C438">
        <f t="shared" si="12"/>
        <v>1186</v>
      </c>
      <c r="L438" t="s">
        <v>1113</v>
      </c>
      <c r="M438">
        <f t="shared" si="13"/>
        <v>1508</v>
      </c>
    </row>
    <row r="439" spans="1:13" hidden="1" x14ac:dyDescent="0.25">
      <c r="A439" s="16" t="s">
        <v>3020</v>
      </c>
      <c r="B439" s="16" t="s">
        <v>2884</v>
      </c>
      <c r="C439">
        <f t="shared" si="12"/>
        <v>1187</v>
      </c>
      <c r="L439" t="s">
        <v>1114</v>
      </c>
      <c r="M439">
        <f t="shared" si="13"/>
        <v>1509</v>
      </c>
    </row>
    <row r="440" spans="1:13" hidden="1" x14ac:dyDescent="0.25">
      <c r="A440" s="16" t="s">
        <v>3020</v>
      </c>
      <c r="B440" s="16" t="s">
        <v>2885</v>
      </c>
      <c r="C440">
        <f t="shared" si="12"/>
        <v>1188</v>
      </c>
      <c r="L440" t="s">
        <v>1115</v>
      </c>
      <c r="M440">
        <f t="shared" si="13"/>
        <v>1510</v>
      </c>
    </row>
    <row r="441" spans="1:13" hidden="1" x14ac:dyDescent="0.25">
      <c r="A441" s="16" t="s">
        <v>3020</v>
      </c>
      <c r="B441" s="16" t="s">
        <v>2886</v>
      </c>
      <c r="C441">
        <f t="shared" si="12"/>
        <v>1189</v>
      </c>
      <c r="L441" t="s">
        <v>1116</v>
      </c>
      <c r="M441">
        <f t="shared" si="13"/>
        <v>1511</v>
      </c>
    </row>
    <row r="442" spans="1:13" hidden="1" x14ac:dyDescent="0.25">
      <c r="A442" s="16" t="s">
        <v>3020</v>
      </c>
      <c r="B442" s="16" t="s">
        <v>2887</v>
      </c>
      <c r="C442">
        <f t="shared" si="12"/>
        <v>1190</v>
      </c>
      <c r="L442" t="s">
        <v>1117</v>
      </c>
      <c r="M442">
        <f t="shared" si="13"/>
        <v>1512</v>
      </c>
    </row>
    <row r="443" spans="1:13" hidden="1" x14ac:dyDescent="0.25">
      <c r="A443" s="16" t="s">
        <v>3020</v>
      </c>
      <c r="B443" s="16" t="s">
        <v>2888</v>
      </c>
      <c r="C443">
        <f t="shared" si="12"/>
        <v>1191</v>
      </c>
      <c r="L443" t="s">
        <v>1118</v>
      </c>
      <c r="M443">
        <f t="shared" si="13"/>
        <v>1513</v>
      </c>
    </row>
    <row r="444" spans="1:13" hidden="1" x14ac:dyDescent="0.25">
      <c r="A444" s="16" t="s">
        <v>3020</v>
      </c>
      <c r="B444" s="16" t="s">
        <v>2889</v>
      </c>
      <c r="C444">
        <f t="shared" si="12"/>
        <v>1192</v>
      </c>
      <c r="L444" t="s">
        <v>1119</v>
      </c>
      <c r="M444">
        <f t="shared" si="13"/>
        <v>1514</v>
      </c>
    </row>
    <row r="445" spans="1:13" hidden="1" x14ac:dyDescent="0.25">
      <c r="A445" s="16" t="s">
        <v>3020</v>
      </c>
      <c r="B445" s="16" t="s">
        <v>2890</v>
      </c>
      <c r="C445">
        <f t="shared" si="12"/>
        <v>1193</v>
      </c>
      <c r="L445" t="s">
        <v>1120</v>
      </c>
      <c r="M445">
        <f t="shared" si="13"/>
        <v>1515</v>
      </c>
    </row>
    <row r="446" spans="1:13" hidden="1" x14ac:dyDescent="0.25">
      <c r="A446" s="16" t="s">
        <v>3020</v>
      </c>
      <c r="B446" s="16" t="s">
        <v>2891</v>
      </c>
      <c r="C446">
        <f t="shared" si="12"/>
        <v>1194</v>
      </c>
      <c r="L446" t="s">
        <v>1121</v>
      </c>
      <c r="M446">
        <f t="shared" si="13"/>
        <v>1516</v>
      </c>
    </row>
    <row r="447" spans="1:13" hidden="1" x14ac:dyDescent="0.25">
      <c r="A447" s="16" t="s">
        <v>3020</v>
      </c>
      <c r="B447" s="16" t="s">
        <v>2892</v>
      </c>
      <c r="C447">
        <f t="shared" si="12"/>
        <v>1195</v>
      </c>
      <c r="L447" t="s">
        <v>1122</v>
      </c>
      <c r="M447">
        <f t="shared" si="13"/>
        <v>1517</v>
      </c>
    </row>
    <row r="448" spans="1:13" hidden="1" x14ac:dyDescent="0.25">
      <c r="A448" s="16" t="s">
        <v>3020</v>
      </c>
      <c r="B448" s="16" t="s">
        <v>2893</v>
      </c>
      <c r="C448">
        <f t="shared" si="12"/>
        <v>1196</v>
      </c>
      <c r="L448" t="s">
        <v>1123</v>
      </c>
      <c r="M448">
        <f t="shared" si="13"/>
        <v>1518</v>
      </c>
    </row>
    <row r="449" spans="1:13" hidden="1" x14ac:dyDescent="0.25">
      <c r="A449" s="16" t="s">
        <v>3021</v>
      </c>
      <c r="B449" s="16" t="s">
        <v>2894</v>
      </c>
      <c r="C449">
        <f t="shared" si="12"/>
        <v>1198</v>
      </c>
      <c r="L449" t="s">
        <v>1124</v>
      </c>
      <c r="M449">
        <f t="shared" si="13"/>
        <v>1519</v>
      </c>
    </row>
    <row r="450" spans="1:13" hidden="1" x14ac:dyDescent="0.25">
      <c r="A450" s="16" t="s">
        <v>3021</v>
      </c>
      <c r="B450" s="16" t="s">
        <v>2895</v>
      </c>
      <c r="C450">
        <f t="shared" si="12"/>
        <v>1199</v>
      </c>
      <c r="L450" t="s">
        <v>1125</v>
      </c>
      <c r="M450">
        <f t="shared" si="13"/>
        <v>1520</v>
      </c>
    </row>
    <row r="451" spans="1:13" hidden="1" x14ac:dyDescent="0.25">
      <c r="A451" s="16" t="s">
        <v>3021</v>
      </c>
      <c r="B451" s="16" t="s">
        <v>2896</v>
      </c>
      <c r="C451">
        <f t="shared" ref="C451:C514" si="14">MATCH(B451,L:L,0)</f>
        <v>1200</v>
      </c>
      <c r="L451" t="s">
        <v>1126</v>
      </c>
      <c r="M451">
        <f t="shared" ref="M451:M514" si="15">MATCH(L451,B:B,0)</f>
        <v>1521</v>
      </c>
    </row>
    <row r="452" spans="1:13" hidden="1" x14ac:dyDescent="0.25">
      <c r="A452" s="16" t="s">
        <v>3021</v>
      </c>
      <c r="B452" s="16" t="s">
        <v>2897</v>
      </c>
      <c r="C452">
        <f t="shared" si="14"/>
        <v>1201</v>
      </c>
      <c r="L452" t="s">
        <v>1127</v>
      </c>
      <c r="M452">
        <f t="shared" si="15"/>
        <v>1522</v>
      </c>
    </row>
    <row r="453" spans="1:13" hidden="1" x14ac:dyDescent="0.25">
      <c r="A453" s="16" t="s">
        <v>3021</v>
      </c>
      <c r="B453" s="16" t="s">
        <v>2898</v>
      </c>
      <c r="C453">
        <f t="shared" si="14"/>
        <v>1202</v>
      </c>
      <c r="L453" t="s">
        <v>1128</v>
      </c>
      <c r="M453">
        <f t="shared" si="15"/>
        <v>1523</v>
      </c>
    </row>
    <row r="454" spans="1:13" hidden="1" x14ac:dyDescent="0.25">
      <c r="A454" s="16" t="s">
        <v>3021</v>
      </c>
      <c r="B454" s="16" t="s">
        <v>2899</v>
      </c>
      <c r="C454">
        <f t="shared" si="14"/>
        <v>1203</v>
      </c>
      <c r="L454" t="s">
        <v>1129</v>
      </c>
      <c r="M454">
        <f t="shared" si="15"/>
        <v>1524</v>
      </c>
    </row>
    <row r="455" spans="1:13" hidden="1" x14ac:dyDescent="0.25">
      <c r="A455" s="16" t="s">
        <v>3021</v>
      </c>
      <c r="B455" s="16" t="s">
        <v>2900</v>
      </c>
      <c r="C455">
        <f t="shared" si="14"/>
        <v>1204</v>
      </c>
      <c r="L455" t="s">
        <v>1130</v>
      </c>
      <c r="M455">
        <f t="shared" si="15"/>
        <v>1525</v>
      </c>
    </row>
    <row r="456" spans="1:13" hidden="1" x14ac:dyDescent="0.25">
      <c r="A456" s="16" t="s">
        <v>3021</v>
      </c>
      <c r="B456" s="16" t="s">
        <v>2901</v>
      </c>
      <c r="C456">
        <f t="shared" si="14"/>
        <v>1205</v>
      </c>
      <c r="L456" t="s">
        <v>1131</v>
      </c>
      <c r="M456">
        <f t="shared" si="15"/>
        <v>1526</v>
      </c>
    </row>
    <row r="457" spans="1:13" hidden="1" x14ac:dyDescent="0.25">
      <c r="A457" s="16" t="s">
        <v>3021</v>
      </c>
      <c r="B457" s="16" t="s">
        <v>2902</v>
      </c>
      <c r="C457">
        <f t="shared" si="14"/>
        <v>1206</v>
      </c>
      <c r="L457" t="s">
        <v>1132</v>
      </c>
      <c r="M457">
        <f t="shared" si="15"/>
        <v>1527</v>
      </c>
    </row>
    <row r="458" spans="1:13" hidden="1" x14ac:dyDescent="0.25">
      <c r="A458" s="16" t="s">
        <v>3021</v>
      </c>
      <c r="B458" s="16" t="s">
        <v>2903</v>
      </c>
      <c r="C458">
        <f t="shared" si="14"/>
        <v>1207</v>
      </c>
      <c r="L458" t="s">
        <v>1133</v>
      </c>
      <c r="M458">
        <f t="shared" si="15"/>
        <v>1528</v>
      </c>
    </row>
    <row r="459" spans="1:13" hidden="1" x14ac:dyDescent="0.25">
      <c r="A459" s="16" t="s">
        <v>3021</v>
      </c>
      <c r="B459" s="16" t="s">
        <v>2904</v>
      </c>
      <c r="C459">
        <f t="shared" si="14"/>
        <v>1208</v>
      </c>
      <c r="L459" t="s">
        <v>1134</v>
      </c>
      <c r="M459">
        <f t="shared" si="15"/>
        <v>1529</v>
      </c>
    </row>
    <row r="460" spans="1:13" hidden="1" x14ac:dyDescent="0.25">
      <c r="A460" s="16" t="s">
        <v>3021</v>
      </c>
      <c r="B460" s="16" t="s">
        <v>2905</v>
      </c>
      <c r="C460">
        <f t="shared" si="14"/>
        <v>1209</v>
      </c>
      <c r="L460" t="s">
        <v>1135</v>
      </c>
      <c r="M460">
        <f t="shared" si="15"/>
        <v>1530</v>
      </c>
    </row>
    <row r="461" spans="1:13" hidden="1" x14ac:dyDescent="0.25">
      <c r="A461" s="16" t="s">
        <v>3021</v>
      </c>
      <c r="B461" s="16" t="s">
        <v>2906</v>
      </c>
      <c r="C461">
        <f t="shared" si="14"/>
        <v>1210</v>
      </c>
      <c r="L461" t="s">
        <v>1136</v>
      </c>
      <c r="M461">
        <f t="shared" si="15"/>
        <v>1531</v>
      </c>
    </row>
    <row r="462" spans="1:13" hidden="1" x14ac:dyDescent="0.25">
      <c r="A462" s="16" t="s">
        <v>3021</v>
      </c>
      <c r="B462" s="16" t="s">
        <v>2907</v>
      </c>
      <c r="C462">
        <f t="shared" si="14"/>
        <v>1211</v>
      </c>
      <c r="L462" t="s">
        <v>1137</v>
      </c>
      <c r="M462">
        <f t="shared" si="15"/>
        <v>1532</v>
      </c>
    </row>
    <row r="463" spans="1:13" hidden="1" x14ac:dyDescent="0.25">
      <c r="A463" s="16" t="s">
        <v>3021</v>
      </c>
      <c r="B463" s="16" t="s">
        <v>2908</v>
      </c>
      <c r="C463">
        <f t="shared" si="14"/>
        <v>1212</v>
      </c>
      <c r="L463" t="s">
        <v>1138</v>
      </c>
      <c r="M463">
        <f t="shared" si="15"/>
        <v>1533</v>
      </c>
    </row>
    <row r="464" spans="1:13" hidden="1" x14ac:dyDescent="0.25">
      <c r="A464" s="16" t="s">
        <v>3021</v>
      </c>
      <c r="B464" s="16" t="s">
        <v>2909</v>
      </c>
      <c r="C464">
        <f t="shared" si="14"/>
        <v>1213</v>
      </c>
      <c r="L464" t="s">
        <v>1139</v>
      </c>
      <c r="M464">
        <f t="shared" si="15"/>
        <v>1534</v>
      </c>
    </row>
    <row r="465" spans="1:13" hidden="1" x14ac:dyDescent="0.25">
      <c r="A465" s="16" t="s">
        <v>3021</v>
      </c>
      <c r="B465" s="16" t="s">
        <v>2910</v>
      </c>
      <c r="C465">
        <f t="shared" si="14"/>
        <v>1214</v>
      </c>
      <c r="L465" t="s">
        <v>1140</v>
      </c>
      <c r="M465">
        <f t="shared" si="15"/>
        <v>1535</v>
      </c>
    </row>
    <row r="466" spans="1:13" hidden="1" x14ac:dyDescent="0.25">
      <c r="A466" s="16" t="s">
        <v>3021</v>
      </c>
      <c r="B466" s="16" t="s">
        <v>2911</v>
      </c>
      <c r="C466">
        <f t="shared" si="14"/>
        <v>1215</v>
      </c>
      <c r="L466" t="s">
        <v>1141</v>
      </c>
      <c r="M466">
        <f t="shared" si="15"/>
        <v>1536</v>
      </c>
    </row>
    <row r="467" spans="1:13" hidden="1" x14ac:dyDescent="0.25">
      <c r="A467" s="16" t="s">
        <v>3021</v>
      </c>
      <c r="B467" s="16" t="s">
        <v>2912</v>
      </c>
      <c r="C467">
        <f t="shared" si="14"/>
        <v>1216</v>
      </c>
      <c r="L467" t="s">
        <v>1142</v>
      </c>
      <c r="M467">
        <f t="shared" si="15"/>
        <v>1537</v>
      </c>
    </row>
    <row r="468" spans="1:13" hidden="1" x14ac:dyDescent="0.25">
      <c r="A468" s="16" t="s">
        <v>3021</v>
      </c>
      <c r="B468" s="16" t="s">
        <v>2913</v>
      </c>
      <c r="C468">
        <f t="shared" si="14"/>
        <v>1217</v>
      </c>
      <c r="L468" t="s">
        <v>1143</v>
      </c>
      <c r="M468">
        <f t="shared" si="15"/>
        <v>1538</v>
      </c>
    </row>
    <row r="469" spans="1:13" hidden="1" x14ac:dyDescent="0.25">
      <c r="A469" s="16" t="s">
        <v>3021</v>
      </c>
      <c r="B469" s="16" t="s">
        <v>2914</v>
      </c>
      <c r="C469">
        <f t="shared" si="14"/>
        <v>1218</v>
      </c>
      <c r="L469" t="s">
        <v>1144</v>
      </c>
      <c r="M469">
        <f t="shared" si="15"/>
        <v>1539</v>
      </c>
    </row>
    <row r="470" spans="1:13" hidden="1" x14ac:dyDescent="0.25">
      <c r="A470" s="16" t="s">
        <v>3021</v>
      </c>
      <c r="B470" s="16" t="s">
        <v>2915</v>
      </c>
      <c r="C470">
        <f t="shared" si="14"/>
        <v>1219</v>
      </c>
      <c r="L470" t="s">
        <v>1145</v>
      </c>
      <c r="M470">
        <f t="shared" si="15"/>
        <v>1540</v>
      </c>
    </row>
    <row r="471" spans="1:13" hidden="1" x14ac:dyDescent="0.25">
      <c r="A471" s="16" t="s">
        <v>3021</v>
      </c>
      <c r="B471" s="16" t="s">
        <v>2916</v>
      </c>
      <c r="C471">
        <f t="shared" si="14"/>
        <v>1220</v>
      </c>
      <c r="L471" t="s">
        <v>1146</v>
      </c>
      <c r="M471">
        <f t="shared" si="15"/>
        <v>1541</v>
      </c>
    </row>
    <row r="472" spans="1:13" hidden="1" x14ac:dyDescent="0.25">
      <c r="A472" s="16" t="s">
        <v>3021</v>
      </c>
      <c r="B472" s="16" t="s">
        <v>2917</v>
      </c>
      <c r="C472">
        <f t="shared" si="14"/>
        <v>1221</v>
      </c>
      <c r="L472" t="s">
        <v>1147</v>
      </c>
      <c r="M472">
        <f t="shared" si="15"/>
        <v>1542</v>
      </c>
    </row>
    <row r="473" spans="1:13" hidden="1" x14ac:dyDescent="0.25">
      <c r="A473" s="16" t="s">
        <v>3021</v>
      </c>
      <c r="B473" s="16" t="s">
        <v>2918</v>
      </c>
      <c r="C473">
        <f t="shared" si="14"/>
        <v>1222</v>
      </c>
      <c r="L473" t="s">
        <v>1148</v>
      </c>
      <c r="M473">
        <f t="shared" si="15"/>
        <v>1543</v>
      </c>
    </row>
    <row r="474" spans="1:13" hidden="1" x14ac:dyDescent="0.25">
      <c r="A474" s="16" t="s">
        <v>3021</v>
      </c>
      <c r="B474" s="16" t="s">
        <v>2919</v>
      </c>
      <c r="C474">
        <f t="shared" si="14"/>
        <v>1223</v>
      </c>
      <c r="L474" t="s">
        <v>1149</v>
      </c>
      <c r="M474">
        <f t="shared" si="15"/>
        <v>1544</v>
      </c>
    </row>
    <row r="475" spans="1:13" hidden="1" x14ac:dyDescent="0.25">
      <c r="A475" s="16" t="s">
        <v>3021</v>
      </c>
      <c r="B475" s="16" t="s">
        <v>2920</v>
      </c>
      <c r="C475">
        <f t="shared" si="14"/>
        <v>1224</v>
      </c>
      <c r="L475" t="s">
        <v>1150</v>
      </c>
      <c r="M475">
        <f t="shared" si="15"/>
        <v>1545</v>
      </c>
    </row>
    <row r="476" spans="1:13" hidden="1" x14ac:dyDescent="0.25">
      <c r="A476" s="16" t="s">
        <v>2098</v>
      </c>
      <c r="B476" s="16" t="s">
        <v>2099</v>
      </c>
      <c r="C476">
        <f t="shared" si="14"/>
        <v>1004</v>
      </c>
      <c r="L476" t="s">
        <v>985</v>
      </c>
      <c r="M476">
        <f t="shared" si="15"/>
        <v>1390</v>
      </c>
    </row>
    <row r="477" spans="1:13" hidden="1" x14ac:dyDescent="0.25">
      <c r="A477" s="16" t="s">
        <v>2098</v>
      </c>
      <c r="B477" s="16" t="s">
        <v>2100</v>
      </c>
      <c r="C477">
        <f t="shared" si="14"/>
        <v>1005</v>
      </c>
      <c r="L477" t="s">
        <v>986</v>
      </c>
      <c r="M477">
        <f t="shared" si="15"/>
        <v>1391</v>
      </c>
    </row>
    <row r="478" spans="1:13" hidden="1" x14ac:dyDescent="0.25">
      <c r="A478" s="16" t="s">
        <v>2098</v>
      </c>
      <c r="B478" s="16" t="s">
        <v>2101</v>
      </c>
      <c r="C478">
        <f t="shared" si="14"/>
        <v>1006</v>
      </c>
      <c r="L478" t="s">
        <v>987</v>
      </c>
      <c r="M478">
        <f t="shared" si="15"/>
        <v>1392</v>
      </c>
    </row>
    <row r="479" spans="1:13" hidden="1" x14ac:dyDescent="0.25">
      <c r="A479" s="16" t="s">
        <v>2098</v>
      </c>
      <c r="B479" s="16" t="s">
        <v>2102</v>
      </c>
      <c r="C479">
        <f t="shared" si="14"/>
        <v>1007</v>
      </c>
      <c r="L479" t="s">
        <v>988</v>
      </c>
      <c r="M479">
        <f t="shared" si="15"/>
        <v>1393</v>
      </c>
    </row>
    <row r="480" spans="1:13" hidden="1" x14ac:dyDescent="0.25">
      <c r="A480" s="16" t="s">
        <v>2098</v>
      </c>
      <c r="B480" s="16" t="s">
        <v>2103</v>
      </c>
      <c r="C480">
        <f t="shared" si="14"/>
        <v>1008</v>
      </c>
      <c r="L480" t="s">
        <v>989</v>
      </c>
      <c r="M480">
        <f t="shared" si="15"/>
        <v>1394</v>
      </c>
    </row>
    <row r="481" spans="1:13" hidden="1" x14ac:dyDescent="0.25">
      <c r="A481" s="16" t="s">
        <v>2098</v>
      </c>
      <c r="B481" s="16" t="s">
        <v>2104</v>
      </c>
      <c r="C481">
        <f t="shared" si="14"/>
        <v>1009</v>
      </c>
      <c r="L481" t="s">
        <v>990</v>
      </c>
      <c r="M481">
        <f t="shared" si="15"/>
        <v>1395</v>
      </c>
    </row>
    <row r="482" spans="1:13" hidden="1" x14ac:dyDescent="0.25">
      <c r="A482" s="16" t="s">
        <v>2098</v>
      </c>
      <c r="B482" s="16" t="s">
        <v>2105</v>
      </c>
      <c r="C482">
        <f t="shared" si="14"/>
        <v>1010</v>
      </c>
      <c r="L482" t="s">
        <v>991</v>
      </c>
      <c r="M482">
        <f t="shared" si="15"/>
        <v>1396</v>
      </c>
    </row>
    <row r="483" spans="1:13" hidden="1" x14ac:dyDescent="0.25">
      <c r="A483" s="16" t="s">
        <v>2098</v>
      </c>
      <c r="B483" s="16" t="s">
        <v>2106</v>
      </c>
      <c r="C483">
        <f t="shared" si="14"/>
        <v>1011</v>
      </c>
      <c r="L483" t="s">
        <v>992</v>
      </c>
      <c r="M483">
        <f t="shared" si="15"/>
        <v>1397</v>
      </c>
    </row>
    <row r="484" spans="1:13" hidden="1" x14ac:dyDescent="0.25">
      <c r="A484" s="16" t="s">
        <v>2098</v>
      </c>
      <c r="B484" s="16" t="s">
        <v>2107</v>
      </c>
      <c r="C484">
        <f t="shared" si="14"/>
        <v>1012</v>
      </c>
      <c r="L484" t="s">
        <v>993</v>
      </c>
      <c r="M484">
        <f t="shared" si="15"/>
        <v>1398</v>
      </c>
    </row>
    <row r="485" spans="1:13" hidden="1" x14ac:dyDescent="0.25">
      <c r="A485" s="16" t="s">
        <v>2098</v>
      </c>
      <c r="B485" s="16" t="s">
        <v>2108</v>
      </c>
      <c r="C485">
        <f t="shared" si="14"/>
        <v>1013</v>
      </c>
      <c r="L485" t="s">
        <v>994</v>
      </c>
      <c r="M485">
        <f t="shared" si="15"/>
        <v>1399</v>
      </c>
    </row>
    <row r="486" spans="1:13" hidden="1" x14ac:dyDescent="0.25">
      <c r="A486" s="16" t="s">
        <v>2098</v>
      </c>
      <c r="B486" s="16" t="s">
        <v>2109</v>
      </c>
      <c r="C486">
        <f t="shared" si="14"/>
        <v>1014</v>
      </c>
      <c r="L486" t="s">
        <v>995</v>
      </c>
      <c r="M486">
        <f t="shared" si="15"/>
        <v>1400</v>
      </c>
    </row>
    <row r="487" spans="1:13" hidden="1" x14ac:dyDescent="0.25">
      <c r="A487" s="16" t="s">
        <v>2098</v>
      </c>
      <c r="B487" s="16" t="s">
        <v>2110</v>
      </c>
      <c r="C487">
        <f t="shared" si="14"/>
        <v>1015</v>
      </c>
      <c r="L487" t="s">
        <v>996</v>
      </c>
      <c r="M487">
        <f t="shared" si="15"/>
        <v>1401</v>
      </c>
    </row>
    <row r="488" spans="1:13" hidden="1" x14ac:dyDescent="0.25">
      <c r="A488" s="16" t="s">
        <v>2098</v>
      </c>
      <c r="B488" s="16" t="s">
        <v>2111</v>
      </c>
      <c r="C488">
        <f t="shared" si="14"/>
        <v>1016</v>
      </c>
      <c r="L488" t="s">
        <v>997</v>
      </c>
      <c r="M488">
        <f t="shared" si="15"/>
        <v>1402</v>
      </c>
    </row>
    <row r="489" spans="1:13" hidden="1" x14ac:dyDescent="0.25">
      <c r="A489" s="16" t="s">
        <v>2098</v>
      </c>
      <c r="B489" s="16" t="s">
        <v>2112</v>
      </c>
      <c r="C489">
        <f t="shared" si="14"/>
        <v>1017</v>
      </c>
      <c r="L489" t="s">
        <v>998</v>
      </c>
      <c r="M489">
        <f t="shared" si="15"/>
        <v>1403</v>
      </c>
    </row>
    <row r="490" spans="1:13" hidden="1" x14ac:dyDescent="0.25">
      <c r="A490" s="16" t="s">
        <v>2098</v>
      </c>
      <c r="B490" s="16" t="s">
        <v>2113</v>
      </c>
      <c r="C490">
        <f t="shared" si="14"/>
        <v>1018</v>
      </c>
      <c r="L490" t="s">
        <v>999</v>
      </c>
      <c r="M490">
        <f t="shared" si="15"/>
        <v>1404</v>
      </c>
    </row>
    <row r="491" spans="1:13" hidden="1" x14ac:dyDescent="0.25">
      <c r="A491" s="16" t="s">
        <v>2098</v>
      </c>
      <c r="B491" s="16" t="s">
        <v>2114</v>
      </c>
      <c r="C491">
        <f t="shared" si="14"/>
        <v>1019</v>
      </c>
      <c r="L491" t="s">
        <v>1000</v>
      </c>
      <c r="M491">
        <f t="shared" si="15"/>
        <v>1405</v>
      </c>
    </row>
    <row r="492" spans="1:13" hidden="1" x14ac:dyDescent="0.25">
      <c r="A492" s="16" t="s">
        <v>2098</v>
      </c>
      <c r="B492" s="16" t="s">
        <v>2115</v>
      </c>
      <c r="C492">
        <f t="shared" si="14"/>
        <v>1020</v>
      </c>
      <c r="L492" t="s">
        <v>1001</v>
      </c>
      <c r="M492">
        <f t="shared" si="15"/>
        <v>1406</v>
      </c>
    </row>
    <row r="493" spans="1:13" hidden="1" x14ac:dyDescent="0.25">
      <c r="A493" s="16" t="s">
        <v>2098</v>
      </c>
      <c r="B493" s="16" t="s">
        <v>2116</v>
      </c>
      <c r="C493">
        <f t="shared" si="14"/>
        <v>1021</v>
      </c>
      <c r="L493" t="s">
        <v>1002</v>
      </c>
      <c r="M493">
        <f t="shared" si="15"/>
        <v>1407</v>
      </c>
    </row>
    <row r="494" spans="1:13" hidden="1" x14ac:dyDescent="0.25">
      <c r="A494" s="16" t="s">
        <v>2098</v>
      </c>
      <c r="B494" s="16" t="s">
        <v>2117</v>
      </c>
      <c r="C494">
        <f t="shared" si="14"/>
        <v>1022</v>
      </c>
      <c r="L494" t="s">
        <v>1003</v>
      </c>
      <c r="M494">
        <f t="shared" si="15"/>
        <v>1408</v>
      </c>
    </row>
    <row r="495" spans="1:13" hidden="1" x14ac:dyDescent="0.25">
      <c r="A495" s="16" t="s">
        <v>2098</v>
      </c>
      <c r="B495" s="16" t="s">
        <v>2118</v>
      </c>
      <c r="C495">
        <f t="shared" si="14"/>
        <v>1023</v>
      </c>
      <c r="L495" t="s">
        <v>1004</v>
      </c>
      <c r="M495">
        <f t="shared" si="15"/>
        <v>1409</v>
      </c>
    </row>
    <row r="496" spans="1:13" hidden="1" x14ac:dyDescent="0.25">
      <c r="A496" s="16" t="s">
        <v>2098</v>
      </c>
      <c r="B496" s="16" t="s">
        <v>2119</v>
      </c>
      <c r="C496">
        <f t="shared" si="14"/>
        <v>1024</v>
      </c>
      <c r="L496" t="s">
        <v>1005</v>
      </c>
      <c r="M496">
        <f t="shared" si="15"/>
        <v>1410</v>
      </c>
    </row>
    <row r="497" spans="1:13" hidden="1" x14ac:dyDescent="0.25">
      <c r="A497" s="16" t="s">
        <v>2098</v>
      </c>
      <c r="B497" s="16" t="s">
        <v>2120</v>
      </c>
      <c r="C497">
        <f t="shared" si="14"/>
        <v>1025</v>
      </c>
      <c r="L497" t="s">
        <v>1151</v>
      </c>
      <c r="M497">
        <f t="shared" si="15"/>
        <v>1546</v>
      </c>
    </row>
    <row r="498" spans="1:13" hidden="1" x14ac:dyDescent="0.25">
      <c r="A498" s="16" t="s">
        <v>2098</v>
      </c>
      <c r="B498" s="16" t="s">
        <v>2121</v>
      </c>
      <c r="C498">
        <f t="shared" si="14"/>
        <v>1026</v>
      </c>
      <c r="L498" t="s">
        <v>1152</v>
      </c>
      <c r="M498">
        <f t="shared" si="15"/>
        <v>1547</v>
      </c>
    </row>
    <row r="499" spans="1:13" hidden="1" x14ac:dyDescent="0.25">
      <c r="A499" s="16" t="s">
        <v>2098</v>
      </c>
      <c r="B499" s="16" t="s">
        <v>2122</v>
      </c>
      <c r="C499">
        <f t="shared" si="14"/>
        <v>1027</v>
      </c>
      <c r="L499" t="s">
        <v>1153</v>
      </c>
      <c r="M499">
        <f t="shared" si="15"/>
        <v>1548</v>
      </c>
    </row>
    <row r="500" spans="1:13" hidden="1" x14ac:dyDescent="0.25">
      <c r="A500" s="16" t="s">
        <v>2098</v>
      </c>
      <c r="B500" s="16" t="s">
        <v>2123</v>
      </c>
      <c r="C500">
        <f t="shared" si="14"/>
        <v>1028</v>
      </c>
      <c r="L500" t="s">
        <v>1154</v>
      </c>
      <c r="M500">
        <f t="shared" si="15"/>
        <v>1549</v>
      </c>
    </row>
    <row r="501" spans="1:13" hidden="1" x14ac:dyDescent="0.25">
      <c r="A501" s="16" t="s">
        <v>2098</v>
      </c>
      <c r="B501" s="16" t="s">
        <v>2124</v>
      </c>
      <c r="C501">
        <f t="shared" si="14"/>
        <v>1029</v>
      </c>
      <c r="L501" t="s">
        <v>1155</v>
      </c>
      <c r="M501">
        <f t="shared" si="15"/>
        <v>1550</v>
      </c>
    </row>
    <row r="502" spans="1:13" hidden="1" x14ac:dyDescent="0.25">
      <c r="A502" s="16" t="s">
        <v>2098</v>
      </c>
      <c r="B502" s="16" t="s">
        <v>2125</v>
      </c>
      <c r="C502">
        <f t="shared" si="14"/>
        <v>1030</v>
      </c>
      <c r="L502" t="s">
        <v>1156</v>
      </c>
      <c r="M502">
        <f t="shared" si="15"/>
        <v>1551</v>
      </c>
    </row>
    <row r="503" spans="1:13" hidden="1" x14ac:dyDescent="0.25">
      <c r="A503" s="16" t="s">
        <v>2098</v>
      </c>
      <c r="B503" s="16" t="s">
        <v>2126</v>
      </c>
      <c r="C503">
        <f t="shared" si="14"/>
        <v>1031</v>
      </c>
      <c r="L503" t="s">
        <v>1157</v>
      </c>
      <c r="M503">
        <f t="shared" si="15"/>
        <v>1552</v>
      </c>
    </row>
    <row r="504" spans="1:13" hidden="1" x14ac:dyDescent="0.25">
      <c r="A504" s="16" t="s">
        <v>2098</v>
      </c>
      <c r="B504" s="16" t="s">
        <v>2127</v>
      </c>
      <c r="C504">
        <f t="shared" si="14"/>
        <v>1032</v>
      </c>
      <c r="L504" t="s">
        <v>1158</v>
      </c>
      <c r="M504">
        <f t="shared" si="15"/>
        <v>1553</v>
      </c>
    </row>
    <row r="505" spans="1:13" hidden="1" x14ac:dyDescent="0.25">
      <c r="A505" s="16" t="s">
        <v>2098</v>
      </c>
      <c r="B505" s="16" t="s">
        <v>2128</v>
      </c>
      <c r="C505">
        <f t="shared" si="14"/>
        <v>1033</v>
      </c>
      <c r="L505" t="s">
        <v>1159</v>
      </c>
      <c r="M505">
        <f t="shared" si="15"/>
        <v>1554</v>
      </c>
    </row>
    <row r="506" spans="1:13" hidden="1" x14ac:dyDescent="0.25">
      <c r="A506" s="16" t="s">
        <v>2098</v>
      </c>
      <c r="B506" s="16" t="s">
        <v>2129</v>
      </c>
      <c r="C506">
        <f t="shared" si="14"/>
        <v>1034</v>
      </c>
      <c r="L506" t="s">
        <v>1160</v>
      </c>
      <c r="M506">
        <f t="shared" si="15"/>
        <v>1555</v>
      </c>
    </row>
    <row r="507" spans="1:13" hidden="1" x14ac:dyDescent="0.25">
      <c r="A507" s="16" t="s">
        <v>2098</v>
      </c>
      <c r="B507" s="16" t="s">
        <v>2130</v>
      </c>
      <c r="C507">
        <f t="shared" si="14"/>
        <v>1035</v>
      </c>
      <c r="L507" t="s">
        <v>1161</v>
      </c>
      <c r="M507">
        <f t="shared" si="15"/>
        <v>1556</v>
      </c>
    </row>
    <row r="508" spans="1:13" hidden="1" x14ac:dyDescent="0.25">
      <c r="A508" s="16" t="s">
        <v>2098</v>
      </c>
      <c r="B508" s="16" t="s">
        <v>2131</v>
      </c>
      <c r="C508">
        <f t="shared" si="14"/>
        <v>1036</v>
      </c>
      <c r="L508" t="s">
        <v>1162</v>
      </c>
      <c r="M508">
        <f t="shared" si="15"/>
        <v>1557</v>
      </c>
    </row>
    <row r="509" spans="1:13" hidden="1" x14ac:dyDescent="0.25">
      <c r="A509" s="16" t="s">
        <v>2098</v>
      </c>
      <c r="B509" s="16" t="s">
        <v>2132</v>
      </c>
      <c r="C509">
        <f t="shared" si="14"/>
        <v>1037</v>
      </c>
      <c r="L509" t="s">
        <v>1163</v>
      </c>
      <c r="M509">
        <f t="shared" si="15"/>
        <v>1558</v>
      </c>
    </row>
    <row r="510" spans="1:13" hidden="1" x14ac:dyDescent="0.25">
      <c r="A510" s="16" t="s">
        <v>2098</v>
      </c>
      <c r="B510" s="16" t="s">
        <v>2133</v>
      </c>
      <c r="C510">
        <f t="shared" si="14"/>
        <v>1038</v>
      </c>
      <c r="L510" t="s">
        <v>1164</v>
      </c>
      <c r="M510">
        <f t="shared" si="15"/>
        <v>1559</v>
      </c>
    </row>
    <row r="511" spans="1:13" hidden="1" x14ac:dyDescent="0.25">
      <c r="A511" s="16" t="s">
        <v>2098</v>
      </c>
      <c r="B511" s="16" t="s">
        <v>2134</v>
      </c>
      <c r="C511">
        <f t="shared" si="14"/>
        <v>1039</v>
      </c>
      <c r="L511" t="s">
        <v>1165</v>
      </c>
      <c r="M511">
        <f t="shared" si="15"/>
        <v>1560</v>
      </c>
    </row>
    <row r="512" spans="1:13" hidden="1" x14ac:dyDescent="0.25">
      <c r="A512" s="16" t="s">
        <v>2098</v>
      </c>
      <c r="B512" s="16" t="s">
        <v>2135</v>
      </c>
      <c r="C512">
        <f t="shared" si="14"/>
        <v>1040</v>
      </c>
      <c r="L512" t="s">
        <v>1166</v>
      </c>
      <c r="M512">
        <f t="shared" si="15"/>
        <v>1561</v>
      </c>
    </row>
    <row r="513" spans="1:13" hidden="1" x14ac:dyDescent="0.25">
      <c r="A513" s="16" t="s">
        <v>2098</v>
      </c>
      <c r="B513" s="16" t="s">
        <v>2136</v>
      </c>
      <c r="C513">
        <f t="shared" si="14"/>
        <v>1041</v>
      </c>
      <c r="L513" t="s">
        <v>1167</v>
      </c>
      <c r="M513">
        <f t="shared" si="15"/>
        <v>1562</v>
      </c>
    </row>
    <row r="514" spans="1:13" hidden="1" x14ac:dyDescent="0.25">
      <c r="A514" s="16" t="s">
        <v>2098</v>
      </c>
      <c r="B514" s="16" t="s">
        <v>2137</v>
      </c>
      <c r="C514">
        <f t="shared" si="14"/>
        <v>1042</v>
      </c>
      <c r="L514" t="s">
        <v>1168</v>
      </c>
      <c r="M514">
        <f t="shared" si="15"/>
        <v>1563</v>
      </c>
    </row>
    <row r="515" spans="1:13" hidden="1" x14ac:dyDescent="0.25">
      <c r="A515" s="16" t="s">
        <v>2098</v>
      </c>
      <c r="B515" s="16" t="s">
        <v>2138</v>
      </c>
      <c r="C515">
        <f t="shared" ref="C515:C578" si="16">MATCH(B515,L:L,0)</f>
        <v>1043</v>
      </c>
      <c r="L515" t="s">
        <v>1169</v>
      </c>
      <c r="M515">
        <f t="shared" ref="M515:M578" si="17">MATCH(L515,B:B,0)</f>
        <v>1564</v>
      </c>
    </row>
    <row r="516" spans="1:13" hidden="1" x14ac:dyDescent="0.25">
      <c r="A516" s="16" t="s">
        <v>2098</v>
      </c>
      <c r="B516" s="16" t="s">
        <v>2139</v>
      </c>
      <c r="C516">
        <f t="shared" si="16"/>
        <v>1044</v>
      </c>
      <c r="L516" t="s">
        <v>1170</v>
      </c>
      <c r="M516">
        <f t="shared" si="17"/>
        <v>1565</v>
      </c>
    </row>
    <row r="517" spans="1:13" hidden="1" x14ac:dyDescent="0.25">
      <c r="A517" s="16" t="s">
        <v>2098</v>
      </c>
      <c r="B517" s="16" t="s">
        <v>2140</v>
      </c>
      <c r="C517">
        <f t="shared" si="16"/>
        <v>1045</v>
      </c>
      <c r="L517" t="s">
        <v>1171</v>
      </c>
      <c r="M517">
        <f t="shared" si="17"/>
        <v>1566</v>
      </c>
    </row>
    <row r="518" spans="1:13" hidden="1" x14ac:dyDescent="0.25">
      <c r="A518" s="16" t="s">
        <v>2098</v>
      </c>
      <c r="B518" s="16" t="s">
        <v>2141</v>
      </c>
      <c r="C518">
        <f t="shared" si="16"/>
        <v>1046</v>
      </c>
      <c r="L518" t="s">
        <v>1172</v>
      </c>
      <c r="M518">
        <f t="shared" si="17"/>
        <v>1567</v>
      </c>
    </row>
    <row r="519" spans="1:13" hidden="1" x14ac:dyDescent="0.25">
      <c r="A519" s="16" t="s">
        <v>2098</v>
      </c>
      <c r="B519" s="16" t="s">
        <v>2142</v>
      </c>
      <c r="C519">
        <f t="shared" si="16"/>
        <v>1047</v>
      </c>
      <c r="L519" t="s">
        <v>1173</v>
      </c>
      <c r="M519">
        <f t="shared" si="17"/>
        <v>1568</v>
      </c>
    </row>
    <row r="520" spans="1:13" hidden="1" x14ac:dyDescent="0.25">
      <c r="A520" s="16" t="s">
        <v>2098</v>
      </c>
      <c r="B520" s="16" t="s">
        <v>2143</v>
      </c>
      <c r="C520">
        <f t="shared" si="16"/>
        <v>1048</v>
      </c>
      <c r="L520" t="s">
        <v>1174</v>
      </c>
      <c r="M520">
        <f t="shared" si="17"/>
        <v>1569</v>
      </c>
    </row>
    <row r="521" spans="1:13" hidden="1" x14ac:dyDescent="0.25">
      <c r="A521" s="16" t="s">
        <v>2098</v>
      </c>
      <c r="B521" s="16" t="s">
        <v>2144</v>
      </c>
      <c r="C521">
        <f t="shared" si="16"/>
        <v>1049</v>
      </c>
      <c r="L521" t="s">
        <v>1175</v>
      </c>
      <c r="M521">
        <f t="shared" si="17"/>
        <v>1570</v>
      </c>
    </row>
    <row r="522" spans="1:13" hidden="1" x14ac:dyDescent="0.25">
      <c r="A522" s="16" t="s">
        <v>2098</v>
      </c>
      <c r="B522" s="16" t="s">
        <v>2145</v>
      </c>
      <c r="C522">
        <f t="shared" si="16"/>
        <v>1050</v>
      </c>
      <c r="L522" t="s">
        <v>1176</v>
      </c>
      <c r="M522">
        <f t="shared" si="17"/>
        <v>1571</v>
      </c>
    </row>
    <row r="523" spans="1:13" hidden="1" x14ac:dyDescent="0.25">
      <c r="A523" s="16" t="s">
        <v>2098</v>
      </c>
      <c r="B523" s="16" t="s">
        <v>2146</v>
      </c>
      <c r="C523">
        <f t="shared" si="16"/>
        <v>1051</v>
      </c>
      <c r="L523" t="s">
        <v>1177</v>
      </c>
      <c r="M523">
        <f t="shared" si="17"/>
        <v>1572</v>
      </c>
    </row>
    <row r="524" spans="1:13" hidden="1" x14ac:dyDescent="0.25">
      <c r="A524" s="16" t="s">
        <v>2098</v>
      </c>
      <c r="B524" s="16" t="s">
        <v>2147</v>
      </c>
      <c r="C524">
        <f t="shared" si="16"/>
        <v>1052</v>
      </c>
      <c r="L524" t="s">
        <v>1178</v>
      </c>
      <c r="M524">
        <f t="shared" si="17"/>
        <v>1573</v>
      </c>
    </row>
    <row r="525" spans="1:13" hidden="1" x14ac:dyDescent="0.25">
      <c r="A525" s="16" t="s">
        <v>2098</v>
      </c>
      <c r="B525" s="16" t="s">
        <v>2148</v>
      </c>
      <c r="C525">
        <f t="shared" si="16"/>
        <v>1053</v>
      </c>
      <c r="L525" t="s">
        <v>1179</v>
      </c>
      <c r="M525">
        <f t="shared" si="17"/>
        <v>1574</v>
      </c>
    </row>
    <row r="526" spans="1:13" hidden="1" x14ac:dyDescent="0.25">
      <c r="A526" s="16" t="s">
        <v>2098</v>
      </c>
      <c r="B526" s="16" t="s">
        <v>2149</v>
      </c>
      <c r="C526">
        <f t="shared" si="16"/>
        <v>1054</v>
      </c>
      <c r="L526" t="s">
        <v>1180</v>
      </c>
      <c r="M526">
        <f t="shared" si="17"/>
        <v>1575</v>
      </c>
    </row>
    <row r="527" spans="1:13" hidden="1" x14ac:dyDescent="0.25">
      <c r="A527" s="16" t="s">
        <v>2098</v>
      </c>
      <c r="B527" s="16" t="s">
        <v>2150</v>
      </c>
      <c r="C527">
        <f t="shared" si="16"/>
        <v>1055</v>
      </c>
      <c r="L527" t="s">
        <v>1181</v>
      </c>
      <c r="M527">
        <f t="shared" si="17"/>
        <v>1576</v>
      </c>
    </row>
    <row r="528" spans="1:13" hidden="1" x14ac:dyDescent="0.25">
      <c r="A528" s="16" t="s">
        <v>2098</v>
      </c>
      <c r="B528" s="16" t="s">
        <v>2151</v>
      </c>
      <c r="C528">
        <f t="shared" si="16"/>
        <v>1056</v>
      </c>
      <c r="L528" t="s">
        <v>1182</v>
      </c>
      <c r="M528">
        <f t="shared" si="17"/>
        <v>1577</v>
      </c>
    </row>
    <row r="529" spans="1:13" hidden="1" x14ac:dyDescent="0.25">
      <c r="A529" s="16" t="s">
        <v>2098</v>
      </c>
      <c r="B529" s="16" t="s">
        <v>2152</v>
      </c>
      <c r="C529">
        <f t="shared" si="16"/>
        <v>1057</v>
      </c>
      <c r="L529" t="s">
        <v>1183</v>
      </c>
      <c r="M529">
        <f t="shared" si="17"/>
        <v>1578</v>
      </c>
    </row>
    <row r="530" spans="1:13" hidden="1" x14ac:dyDescent="0.25">
      <c r="A530" s="16" t="s">
        <v>2098</v>
      </c>
      <c r="B530" s="16" t="s">
        <v>2153</v>
      </c>
      <c r="C530">
        <f t="shared" si="16"/>
        <v>1058</v>
      </c>
      <c r="L530" t="s">
        <v>1184</v>
      </c>
      <c r="M530">
        <f t="shared" si="17"/>
        <v>1579</v>
      </c>
    </row>
    <row r="531" spans="1:13" hidden="1" x14ac:dyDescent="0.25">
      <c r="A531" s="16" t="s">
        <v>2098</v>
      </c>
      <c r="B531" s="16" t="s">
        <v>2154</v>
      </c>
      <c r="C531">
        <f t="shared" si="16"/>
        <v>1059</v>
      </c>
      <c r="L531" t="s">
        <v>1185</v>
      </c>
      <c r="M531">
        <f t="shared" si="17"/>
        <v>1580</v>
      </c>
    </row>
    <row r="532" spans="1:13" hidden="1" x14ac:dyDescent="0.25">
      <c r="A532" s="16" t="s">
        <v>2098</v>
      </c>
      <c r="B532" s="16" t="s">
        <v>2155</v>
      </c>
      <c r="C532">
        <f t="shared" si="16"/>
        <v>1060</v>
      </c>
      <c r="L532" t="s">
        <v>1186</v>
      </c>
      <c r="M532">
        <f t="shared" si="17"/>
        <v>1581</v>
      </c>
    </row>
    <row r="533" spans="1:13" hidden="1" x14ac:dyDescent="0.25">
      <c r="A533" s="16" t="s">
        <v>2098</v>
      </c>
      <c r="B533" s="16" t="s">
        <v>2156</v>
      </c>
      <c r="C533">
        <f t="shared" si="16"/>
        <v>1061</v>
      </c>
      <c r="L533" t="s">
        <v>1187</v>
      </c>
      <c r="M533">
        <f t="shared" si="17"/>
        <v>1582</v>
      </c>
    </row>
    <row r="534" spans="1:13" hidden="1" x14ac:dyDescent="0.25">
      <c r="A534" s="16" t="s">
        <v>2098</v>
      </c>
      <c r="B534" s="16" t="s">
        <v>2157</v>
      </c>
      <c r="C534">
        <f t="shared" si="16"/>
        <v>1062</v>
      </c>
      <c r="L534" t="s">
        <v>1188</v>
      </c>
      <c r="M534">
        <f t="shared" si="17"/>
        <v>1583</v>
      </c>
    </row>
    <row r="535" spans="1:13" hidden="1" x14ac:dyDescent="0.25">
      <c r="A535" s="16" t="s">
        <v>2098</v>
      </c>
      <c r="B535" s="16" t="s">
        <v>2158</v>
      </c>
      <c r="C535">
        <f t="shared" si="16"/>
        <v>1063</v>
      </c>
      <c r="L535" t="s">
        <v>1189</v>
      </c>
      <c r="M535">
        <f t="shared" si="17"/>
        <v>1584</v>
      </c>
    </row>
    <row r="536" spans="1:13" hidden="1" x14ac:dyDescent="0.25">
      <c r="A536" s="16" t="s">
        <v>2098</v>
      </c>
      <c r="B536" s="16" t="s">
        <v>2159</v>
      </c>
      <c r="C536">
        <f t="shared" si="16"/>
        <v>1064</v>
      </c>
      <c r="L536" t="s">
        <v>1190</v>
      </c>
      <c r="M536">
        <f t="shared" si="17"/>
        <v>1585</v>
      </c>
    </row>
    <row r="537" spans="1:13" hidden="1" x14ac:dyDescent="0.25">
      <c r="A537" s="16" t="s">
        <v>2098</v>
      </c>
      <c r="B537" s="16" t="s">
        <v>2160</v>
      </c>
      <c r="C537">
        <f t="shared" si="16"/>
        <v>1065</v>
      </c>
      <c r="L537" t="s">
        <v>1191</v>
      </c>
      <c r="M537">
        <f t="shared" si="17"/>
        <v>1586</v>
      </c>
    </row>
    <row r="538" spans="1:13" hidden="1" x14ac:dyDescent="0.25">
      <c r="A538" s="16" t="s">
        <v>2098</v>
      </c>
      <c r="B538" s="16" t="s">
        <v>2161</v>
      </c>
      <c r="C538">
        <f t="shared" si="16"/>
        <v>1066</v>
      </c>
      <c r="L538" t="s">
        <v>1192</v>
      </c>
      <c r="M538">
        <f t="shared" si="17"/>
        <v>1587</v>
      </c>
    </row>
    <row r="539" spans="1:13" hidden="1" x14ac:dyDescent="0.25">
      <c r="A539" s="16" t="s">
        <v>2098</v>
      </c>
      <c r="B539" s="16" t="s">
        <v>2162</v>
      </c>
      <c r="C539">
        <f t="shared" si="16"/>
        <v>1067</v>
      </c>
      <c r="L539" t="s">
        <v>1193</v>
      </c>
      <c r="M539">
        <f t="shared" si="17"/>
        <v>1588</v>
      </c>
    </row>
    <row r="540" spans="1:13" hidden="1" x14ac:dyDescent="0.25">
      <c r="A540" s="16" t="s">
        <v>2098</v>
      </c>
      <c r="B540" s="16" t="s">
        <v>2163</v>
      </c>
      <c r="C540">
        <f t="shared" si="16"/>
        <v>1068</v>
      </c>
      <c r="L540" t="s">
        <v>1194</v>
      </c>
      <c r="M540">
        <f t="shared" si="17"/>
        <v>1589</v>
      </c>
    </row>
    <row r="541" spans="1:13" hidden="1" x14ac:dyDescent="0.25">
      <c r="A541" s="16" t="s">
        <v>2098</v>
      </c>
      <c r="B541" s="16" t="s">
        <v>2164</v>
      </c>
      <c r="C541">
        <f t="shared" si="16"/>
        <v>1069</v>
      </c>
      <c r="L541" t="s">
        <v>1195</v>
      </c>
      <c r="M541">
        <f t="shared" si="17"/>
        <v>1590</v>
      </c>
    </row>
    <row r="542" spans="1:13" hidden="1" x14ac:dyDescent="0.25">
      <c r="A542" s="16" t="s">
        <v>2098</v>
      </c>
      <c r="B542" s="16" t="s">
        <v>2165</v>
      </c>
      <c r="C542">
        <f t="shared" si="16"/>
        <v>1070</v>
      </c>
      <c r="L542" t="s">
        <v>1196</v>
      </c>
      <c r="M542">
        <f t="shared" si="17"/>
        <v>1591</v>
      </c>
    </row>
    <row r="543" spans="1:13" hidden="1" x14ac:dyDescent="0.25">
      <c r="A543" s="16" t="s">
        <v>2098</v>
      </c>
      <c r="B543" s="16" t="s">
        <v>2166</v>
      </c>
      <c r="C543">
        <f t="shared" si="16"/>
        <v>1071</v>
      </c>
      <c r="L543" t="s">
        <v>1197</v>
      </c>
      <c r="M543">
        <f t="shared" si="17"/>
        <v>1592</v>
      </c>
    </row>
    <row r="544" spans="1:13" hidden="1" x14ac:dyDescent="0.25">
      <c r="A544" s="16" t="s">
        <v>2098</v>
      </c>
      <c r="B544" s="16" t="s">
        <v>2167</v>
      </c>
      <c r="C544">
        <f t="shared" si="16"/>
        <v>1072</v>
      </c>
      <c r="L544" t="s">
        <v>1198</v>
      </c>
      <c r="M544">
        <f t="shared" si="17"/>
        <v>1593</v>
      </c>
    </row>
    <row r="545" spans="1:13" hidden="1" x14ac:dyDescent="0.25">
      <c r="A545" s="16" t="s">
        <v>2098</v>
      </c>
      <c r="B545" s="16" t="s">
        <v>2168</v>
      </c>
      <c r="C545">
        <f t="shared" si="16"/>
        <v>1073</v>
      </c>
      <c r="L545" t="s">
        <v>1199</v>
      </c>
      <c r="M545">
        <f t="shared" si="17"/>
        <v>1594</v>
      </c>
    </row>
    <row r="546" spans="1:13" hidden="1" x14ac:dyDescent="0.25">
      <c r="A546" s="16" t="s">
        <v>2098</v>
      </c>
      <c r="B546" s="16" t="s">
        <v>2169</v>
      </c>
      <c r="C546">
        <f t="shared" si="16"/>
        <v>1074</v>
      </c>
      <c r="L546" t="s">
        <v>1200</v>
      </c>
      <c r="M546">
        <f t="shared" si="17"/>
        <v>1595</v>
      </c>
    </row>
    <row r="547" spans="1:13" hidden="1" x14ac:dyDescent="0.25">
      <c r="A547" s="16" t="s">
        <v>2098</v>
      </c>
      <c r="B547" s="16" t="s">
        <v>2170</v>
      </c>
      <c r="C547">
        <f t="shared" si="16"/>
        <v>1075</v>
      </c>
      <c r="L547" t="s">
        <v>1201</v>
      </c>
      <c r="M547">
        <f t="shared" si="17"/>
        <v>1596</v>
      </c>
    </row>
    <row r="548" spans="1:13" hidden="1" x14ac:dyDescent="0.25">
      <c r="A548" s="16" t="s">
        <v>2098</v>
      </c>
      <c r="B548" s="16" t="s">
        <v>2171</v>
      </c>
      <c r="C548">
        <f t="shared" si="16"/>
        <v>1076</v>
      </c>
      <c r="L548" t="s">
        <v>1202</v>
      </c>
      <c r="M548">
        <f t="shared" si="17"/>
        <v>1597</v>
      </c>
    </row>
    <row r="549" spans="1:13" hidden="1" x14ac:dyDescent="0.25">
      <c r="A549" s="16" t="s">
        <v>2098</v>
      </c>
      <c r="B549" s="16" t="s">
        <v>2172</v>
      </c>
      <c r="C549">
        <f t="shared" si="16"/>
        <v>1077</v>
      </c>
      <c r="L549" t="s">
        <v>1203</v>
      </c>
      <c r="M549">
        <f t="shared" si="17"/>
        <v>1598</v>
      </c>
    </row>
    <row r="550" spans="1:13" hidden="1" x14ac:dyDescent="0.25">
      <c r="A550" s="16" t="s">
        <v>2098</v>
      </c>
      <c r="B550" s="16" t="s">
        <v>2173</v>
      </c>
      <c r="C550">
        <f t="shared" si="16"/>
        <v>1078</v>
      </c>
      <c r="L550" t="s">
        <v>1204</v>
      </c>
      <c r="M550">
        <f t="shared" si="17"/>
        <v>1599</v>
      </c>
    </row>
    <row r="551" spans="1:13" hidden="1" x14ac:dyDescent="0.25">
      <c r="A551" s="16" t="s">
        <v>2098</v>
      </c>
      <c r="B551" s="16" t="s">
        <v>2174</v>
      </c>
      <c r="C551">
        <f t="shared" si="16"/>
        <v>1079</v>
      </c>
      <c r="L551" t="s">
        <v>1205</v>
      </c>
      <c r="M551">
        <f t="shared" si="17"/>
        <v>1600</v>
      </c>
    </row>
    <row r="552" spans="1:13" hidden="1" x14ac:dyDescent="0.25">
      <c r="A552" s="16" t="s">
        <v>2098</v>
      </c>
      <c r="B552" s="16" t="s">
        <v>2175</v>
      </c>
      <c r="C552">
        <f t="shared" si="16"/>
        <v>1080</v>
      </c>
      <c r="L552" t="s">
        <v>1206</v>
      </c>
      <c r="M552">
        <f t="shared" si="17"/>
        <v>1601</v>
      </c>
    </row>
    <row r="553" spans="1:13" hidden="1" x14ac:dyDescent="0.25">
      <c r="A553" s="16" t="s">
        <v>2098</v>
      </c>
      <c r="B553" s="16" t="s">
        <v>2176</v>
      </c>
      <c r="C553">
        <f t="shared" si="16"/>
        <v>1081</v>
      </c>
      <c r="L553" t="s">
        <v>1020</v>
      </c>
      <c r="M553">
        <f t="shared" si="17"/>
        <v>1425</v>
      </c>
    </row>
    <row r="554" spans="1:13" hidden="1" x14ac:dyDescent="0.25">
      <c r="A554" s="16" t="s">
        <v>2098</v>
      </c>
      <c r="B554" s="16" t="s">
        <v>2177</v>
      </c>
      <c r="C554">
        <f t="shared" si="16"/>
        <v>1082</v>
      </c>
      <c r="L554" t="s">
        <v>1021</v>
      </c>
      <c r="M554">
        <f t="shared" si="17"/>
        <v>1426</v>
      </c>
    </row>
    <row r="555" spans="1:13" hidden="1" x14ac:dyDescent="0.25">
      <c r="A555" s="16" t="s">
        <v>2098</v>
      </c>
      <c r="B555" s="16" t="s">
        <v>2178</v>
      </c>
      <c r="C555">
        <f t="shared" si="16"/>
        <v>1083</v>
      </c>
      <c r="L555" t="s">
        <v>1022</v>
      </c>
      <c r="M555">
        <f t="shared" si="17"/>
        <v>1427</v>
      </c>
    </row>
    <row r="556" spans="1:13" hidden="1" x14ac:dyDescent="0.25">
      <c r="A556" s="16" t="s">
        <v>2098</v>
      </c>
      <c r="B556" s="16" t="s">
        <v>2179</v>
      </c>
      <c r="C556">
        <f t="shared" si="16"/>
        <v>1084</v>
      </c>
      <c r="L556" t="s">
        <v>1023</v>
      </c>
      <c r="M556">
        <f t="shared" si="17"/>
        <v>1428</v>
      </c>
    </row>
    <row r="557" spans="1:13" hidden="1" x14ac:dyDescent="0.25">
      <c r="A557" s="16" t="s">
        <v>2098</v>
      </c>
      <c r="B557" s="16" t="s">
        <v>2180</v>
      </c>
      <c r="C557">
        <f t="shared" si="16"/>
        <v>1085</v>
      </c>
      <c r="L557" t="s">
        <v>1024</v>
      </c>
      <c r="M557">
        <f t="shared" si="17"/>
        <v>1429</v>
      </c>
    </row>
    <row r="558" spans="1:13" hidden="1" x14ac:dyDescent="0.25">
      <c r="A558" s="16" t="s">
        <v>2098</v>
      </c>
      <c r="B558" s="16" t="s">
        <v>2181</v>
      </c>
      <c r="C558">
        <f t="shared" si="16"/>
        <v>1086</v>
      </c>
      <c r="L558" t="s">
        <v>1025</v>
      </c>
      <c r="M558">
        <f t="shared" si="17"/>
        <v>1430</v>
      </c>
    </row>
    <row r="559" spans="1:13" hidden="1" x14ac:dyDescent="0.25">
      <c r="A559" s="16" t="s">
        <v>2098</v>
      </c>
      <c r="B559" s="16" t="s">
        <v>2182</v>
      </c>
      <c r="C559">
        <f t="shared" si="16"/>
        <v>1087</v>
      </c>
      <c r="L559" t="s">
        <v>961</v>
      </c>
      <c r="M559">
        <f t="shared" si="17"/>
        <v>1431</v>
      </c>
    </row>
    <row r="560" spans="1:13" hidden="1" x14ac:dyDescent="0.25">
      <c r="A560" s="16" t="s">
        <v>2098</v>
      </c>
      <c r="B560" s="16" t="s">
        <v>2183</v>
      </c>
      <c r="C560">
        <f t="shared" si="16"/>
        <v>1088</v>
      </c>
      <c r="L560" t="s">
        <v>962</v>
      </c>
      <c r="M560">
        <f t="shared" si="17"/>
        <v>1432</v>
      </c>
    </row>
    <row r="561" spans="1:13" hidden="1" x14ac:dyDescent="0.25">
      <c r="A561" s="16" t="s">
        <v>2098</v>
      </c>
      <c r="B561" s="16" t="s">
        <v>2184</v>
      </c>
      <c r="C561">
        <f t="shared" si="16"/>
        <v>1089</v>
      </c>
      <c r="L561" t="s">
        <v>963</v>
      </c>
      <c r="M561">
        <f t="shared" si="17"/>
        <v>1433</v>
      </c>
    </row>
    <row r="562" spans="1:13" hidden="1" x14ac:dyDescent="0.25">
      <c r="A562" s="16" t="s">
        <v>3022</v>
      </c>
      <c r="B562" s="16" t="s">
        <v>2802</v>
      </c>
      <c r="C562">
        <f t="shared" si="16"/>
        <v>1091</v>
      </c>
      <c r="L562" t="s">
        <v>964</v>
      </c>
      <c r="M562">
        <f t="shared" si="17"/>
        <v>1434</v>
      </c>
    </row>
    <row r="563" spans="1:13" hidden="1" x14ac:dyDescent="0.25">
      <c r="A563" s="16" t="s">
        <v>3022</v>
      </c>
      <c r="B563" s="16" t="s">
        <v>2803</v>
      </c>
      <c r="C563">
        <f t="shared" si="16"/>
        <v>1092</v>
      </c>
      <c r="L563" t="s">
        <v>965</v>
      </c>
      <c r="M563">
        <f t="shared" si="17"/>
        <v>1435</v>
      </c>
    </row>
    <row r="564" spans="1:13" hidden="1" x14ac:dyDescent="0.25">
      <c r="A564" s="16" t="s">
        <v>3022</v>
      </c>
      <c r="B564" s="16" t="s">
        <v>2804</v>
      </c>
      <c r="C564">
        <f t="shared" si="16"/>
        <v>1093</v>
      </c>
      <c r="L564" t="s">
        <v>966</v>
      </c>
      <c r="M564">
        <f t="shared" si="17"/>
        <v>1436</v>
      </c>
    </row>
    <row r="565" spans="1:13" hidden="1" x14ac:dyDescent="0.25">
      <c r="A565" s="16" t="s">
        <v>3022</v>
      </c>
      <c r="B565" s="16" t="s">
        <v>2805</v>
      </c>
      <c r="C565">
        <f t="shared" si="16"/>
        <v>1094</v>
      </c>
      <c r="L565" t="s">
        <v>967</v>
      </c>
      <c r="M565">
        <f t="shared" si="17"/>
        <v>1437</v>
      </c>
    </row>
    <row r="566" spans="1:13" hidden="1" x14ac:dyDescent="0.25">
      <c r="A566" s="16" t="s">
        <v>3022</v>
      </c>
      <c r="B566" s="16" t="s">
        <v>2806</v>
      </c>
      <c r="C566">
        <f t="shared" si="16"/>
        <v>1095</v>
      </c>
      <c r="L566" t="s">
        <v>968</v>
      </c>
      <c r="M566">
        <f t="shared" si="17"/>
        <v>1438</v>
      </c>
    </row>
    <row r="567" spans="1:13" hidden="1" x14ac:dyDescent="0.25">
      <c r="A567" s="16" t="s">
        <v>3022</v>
      </c>
      <c r="B567" s="16" t="s">
        <v>2807</v>
      </c>
      <c r="C567">
        <f t="shared" si="16"/>
        <v>1096</v>
      </c>
      <c r="L567" t="s">
        <v>2527</v>
      </c>
      <c r="M567">
        <f t="shared" si="17"/>
        <v>943</v>
      </c>
    </row>
    <row r="568" spans="1:13" hidden="1" x14ac:dyDescent="0.25">
      <c r="A568" s="16" t="s">
        <v>3022</v>
      </c>
      <c r="B568" s="16" t="s">
        <v>2808</v>
      </c>
      <c r="C568">
        <f t="shared" si="16"/>
        <v>1097</v>
      </c>
      <c r="L568" t="s">
        <v>2528</v>
      </c>
      <c r="M568">
        <f t="shared" si="17"/>
        <v>944</v>
      </c>
    </row>
    <row r="569" spans="1:13" hidden="1" x14ac:dyDescent="0.25">
      <c r="A569" s="16" t="s">
        <v>3022</v>
      </c>
      <c r="B569" s="16" t="s">
        <v>2809</v>
      </c>
      <c r="C569">
        <f t="shared" si="16"/>
        <v>1098</v>
      </c>
      <c r="L569" t="s">
        <v>2529</v>
      </c>
      <c r="M569">
        <f t="shared" si="17"/>
        <v>945</v>
      </c>
    </row>
    <row r="570" spans="1:13" hidden="1" x14ac:dyDescent="0.25">
      <c r="A570" s="16" t="s">
        <v>3022</v>
      </c>
      <c r="B570" s="16" t="s">
        <v>2810</v>
      </c>
      <c r="C570">
        <f t="shared" si="16"/>
        <v>1099</v>
      </c>
      <c r="L570" t="s">
        <v>2530</v>
      </c>
      <c r="M570">
        <f t="shared" si="17"/>
        <v>946</v>
      </c>
    </row>
    <row r="571" spans="1:13" hidden="1" x14ac:dyDescent="0.25">
      <c r="A571" s="16" t="s">
        <v>3022</v>
      </c>
      <c r="B571" s="16" t="s">
        <v>2811</v>
      </c>
      <c r="C571">
        <f t="shared" si="16"/>
        <v>1100</v>
      </c>
      <c r="L571" t="s">
        <v>2531</v>
      </c>
      <c r="M571">
        <f t="shared" si="17"/>
        <v>947</v>
      </c>
    </row>
    <row r="572" spans="1:13" hidden="1" x14ac:dyDescent="0.25">
      <c r="A572" s="16" t="s">
        <v>3022</v>
      </c>
      <c r="B572" s="16" t="s">
        <v>2812</v>
      </c>
      <c r="C572">
        <f t="shared" si="16"/>
        <v>1101</v>
      </c>
      <c r="L572" t="s">
        <v>2532</v>
      </c>
      <c r="M572">
        <f t="shared" si="17"/>
        <v>948</v>
      </c>
    </row>
    <row r="573" spans="1:13" hidden="1" x14ac:dyDescent="0.25">
      <c r="A573" s="16" t="s">
        <v>3022</v>
      </c>
      <c r="B573" s="16" t="s">
        <v>2813</v>
      </c>
      <c r="C573">
        <f t="shared" si="16"/>
        <v>1102</v>
      </c>
      <c r="L573" t="s">
        <v>2533</v>
      </c>
      <c r="M573">
        <f t="shared" si="17"/>
        <v>949</v>
      </c>
    </row>
    <row r="574" spans="1:13" hidden="1" x14ac:dyDescent="0.25">
      <c r="A574" s="16" t="s">
        <v>3022</v>
      </c>
      <c r="B574" s="16" t="s">
        <v>2814</v>
      </c>
      <c r="C574">
        <f t="shared" si="16"/>
        <v>1103</v>
      </c>
      <c r="L574" t="s">
        <v>2534</v>
      </c>
      <c r="M574">
        <f t="shared" si="17"/>
        <v>950</v>
      </c>
    </row>
    <row r="575" spans="1:13" hidden="1" x14ac:dyDescent="0.25">
      <c r="A575" s="16" t="s">
        <v>3022</v>
      </c>
      <c r="B575" s="16" t="s">
        <v>2815</v>
      </c>
      <c r="C575">
        <f t="shared" si="16"/>
        <v>1104</v>
      </c>
      <c r="L575" t="s">
        <v>2535</v>
      </c>
      <c r="M575">
        <f t="shared" si="17"/>
        <v>951</v>
      </c>
    </row>
    <row r="576" spans="1:13" hidden="1" x14ac:dyDescent="0.25">
      <c r="A576" s="16" t="s">
        <v>3022</v>
      </c>
      <c r="B576" s="16" t="s">
        <v>2816</v>
      </c>
      <c r="C576">
        <f t="shared" si="16"/>
        <v>1105</v>
      </c>
      <c r="L576" t="s">
        <v>2536</v>
      </c>
      <c r="M576">
        <f t="shared" si="17"/>
        <v>952</v>
      </c>
    </row>
    <row r="577" spans="1:13" hidden="1" x14ac:dyDescent="0.25">
      <c r="A577" s="16" t="s">
        <v>3022</v>
      </c>
      <c r="B577" s="16" t="s">
        <v>2817</v>
      </c>
      <c r="C577">
        <f t="shared" si="16"/>
        <v>1106</v>
      </c>
      <c r="L577" t="s">
        <v>2537</v>
      </c>
      <c r="M577">
        <f t="shared" si="17"/>
        <v>953</v>
      </c>
    </row>
    <row r="578" spans="1:13" hidden="1" x14ac:dyDescent="0.25">
      <c r="A578" s="16" t="s">
        <v>3022</v>
      </c>
      <c r="B578" s="16" t="s">
        <v>2818</v>
      </c>
      <c r="C578">
        <f t="shared" si="16"/>
        <v>1107</v>
      </c>
      <c r="L578" t="s">
        <v>2538</v>
      </c>
      <c r="M578">
        <f t="shared" si="17"/>
        <v>954</v>
      </c>
    </row>
    <row r="579" spans="1:13" hidden="1" x14ac:dyDescent="0.25">
      <c r="A579" s="16" t="s">
        <v>3022</v>
      </c>
      <c r="B579" s="16" t="s">
        <v>2819</v>
      </c>
      <c r="C579">
        <f t="shared" ref="C579:C642" si="18">MATCH(B579,L:L,0)</f>
        <v>1108</v>
      </c>
      <c r="L579" t="s">
        <v>2539</v>
      </c>
      <c r="M579">
        <f t="shared" ref="M579:M642" si="19">MATCH(L579,B:B,0)</f>
        <v>955</v>
      </c>
    </row>
    <row r="580" spans="1:13" hidden="1" x14ac:dyDescent="0.25">
      <c r="A580" s="16" t="s">
        <v>3022</v>
      </c>
      <c r="B580" s="16" t="s">
        <v>2820</v>
      </c>
      <c r="C580">
        <f t="shared" si="18"/>
        <v>1109</v>
      </c>
      <c r="L580" t="s">
        <v>2540</v>
      </c>
      <c r="M580">
        <f t="shared" si="19"/>
        <v>956</v>
      </c>
    </row>
    <row r="581" spans="1:13" hidden="1" x14ac:dyDescent="0.25">
      <c r="A581" s="16" t="s">
        <v>3022</v>
      </c>
      <c r="B581" s="16" t="s">
        <v>2821</v>
      </c>
      <c r="C581">
        <f t="shared" si="18"/>
        <v>1110</v>
      </c>
      <c r="L581" t="s">
        <v>2541</v>
      </c>
      <c r="M581">
        <f t="shared" si="19"/>
        <v>957</v>
      </c>
    </row>
    <row r="582" spans="1:13" hidden="1" x14ac:dyDescent="0.25">
      <c r="A582" s="16" t="s">
        <v>3022</v>
      </c>
      <c r="B582" s="16" t="s">
        <v>2822</v>
      </c>
      <c r="C582">
        <f t="shared" si="18"/>
        <v>1111</v>
      </c>
      <c r="L582" t="s">
        <v>2542</v>
      </c>
      <c r="M582">
        <f t="shared" si="19"/>
        <v>958</v>
      </c>
    </row>
    <row r="583" spans="1:13" hidden="1" x14ac:dyDescent="0.25">
      <c r="A583" s="16" t="s">
        <v>3022</v>
      </c>
      <c r="B583" s="16" t="s">
        <v>2823</v>
      </c>
      <c r="C583">
        <f t="shared" si="18"/>
        <v>1112</v>
      </c>
      <c r="L583" t="s">
        <v>2543</v>
      </c>
      <c r="M583">
        <f t="shared" si="19"/>
        <v>959</v>
      </c>
    </row>
    <row r="584" spans="1:13" hidden="1" x14ac:dyDescent="0.25">
      <c r="A584" s="16" t="s">
        <v>3022</v>
      </c>
      <c r="B584" s="16" t="s">
        <v>2824</v>
      </c>
      <c r="C584">
        <f t="shared" si="18"/>
        <v>1113</v>
      </c>
      <c r="L584" t="s">
        <v>2544</v>
      </c>
      <c r="M584">
        <f t="shared" si="19"/>
        <v>960</v>
      </c>
    </row>
    <row r="585" spans="1:13" hidden="1" x14ac:dyDescent="0.25">
      <c r="A585" s="16" t="s">
        <v>3022</v>
      </c>
      <c r="B585" s="16" t="s">
        <v>2825</v>
      </c>
      <c r="C585">
        <f t="shared" si="18"/>
        <v>1114</v>
      </c>
      <c r="L585" t="s">
        <v>2545</v>
      </c>
      <c r="M585">
        <f t="shared" si="19"/>
        <v>961</v>
      </c>
    </row>
    <row r="586" spans="1:13" hidden="1" x14ac:dyDescent="0.25">
      <c r="A586" s="16" t="s">
        <v>3022</v>
      </c>
      <c r="B586" s="16" t="s">
        <v>2826</v>
      </c>
      <c r="C586">
        <f t="shared" si="18"/>
        <v>1115</v>
      </c>
      <c r="L586" t="s">
        <v>2546</v>
      </c>
      <c r="M586">
        <f t="shared" si="19"/>
        <v>962</v>
      </c>
    </row>
    <row r="587" spans="1:13" hidden="1" x14ac:dyDescent="0.25">
      <c r="A587" s="16" t="s">
        <v>3022</v>
      </c>
      <c r="B587" s="16" t="s">
        <v>2827</v>
      </c>
      <c r="C587">
        <f t="shared" si="18"/>
        <v>1116</v>
      </c>
      <c r="L587" t="s">
        <v>2547</v>
      </c>
      <c r="M587">
        <f t="shared" si="19"/>
        <v>963</v>
      </c>
    </row>
    <row r="588" spans="1:13" x14ac:dyDescent="0.25">
      <c r="A588" s="16" t="s">
        <v>3022</v>
      </c>
      <c r="B588" s="16" t="s">
        <v>2828</v>
      </c>
      <c r="C588">
        <f t="shared" si="18"/>
        <v>1117</v>
      </c>
      <c r="L588" s="17" t="s">
        <v>2782</v>
      </c>
      <c r="M588" t="e">
        <f t="shared" si="19"/>
        <v>#N/A</v>
      </c>
    </row>
    <row r="589" spans="1:13" x14ac:dyDescent="0.25">
      <c r="A589" s="16" t="s">
        <v>3022</v>
      </c>
      <c r="B589" s="16" t="s">
        <v>2829</v>
      </c>
      <c r="C589">
        <f t="shared" si="18"/>
        <v>1118</v>
      </c>
      <c r="L589" s="17" t="s">
        <v>2783</v>
      </c>
      <c r="M589" t="e">
        <f t="shared" si="19"/>
        <v>#N/A</v>
      </c>
    </row>
    <row r="590" spans="1:13" x14ac:dyDescent="0.25">
      <c r="A590" s="16" t="s">
        <v>3022</v>
      </c>
      <c r="B590" s="16" t="s">
        <v>2830</v>
      </c>
      <c r="C590">
        <f t="shared" si="18"/>
        <v>1119</v>
      </c>
      <c r="L590" s="17" t="s">
        <v>2784</v>
      </c>
      <c r="M590" t="e">
        <f t="shared" si="19"/>
        <v>#N/A</v>
      </c>
    </row>
    <row r="591" spans="1:13" x14ac:dyDescent="0.25">
      <c r="A591" s="16" t="s">
        <v>3022</v>
      </c>
      <c r="B591" s="16" t="s">
        <v>2831</v>
      </c>
      <c r="C591">
        <f t="shared" si="18"/>
        <v>1120</v>
      </c>
      <c r="L591" s="17" t="s">
        <v>2785</v>
      </c>
      <c r="M591" t="e">
        <f t="shared" si="19"/>
        <v>#N/A</v>
      </c>
    </row>
    <row r="592" spans="1:13" x14ac:dyDescent="0.25">
      <c r="A592" s="16" t="s">
        <v>3022</v>
      </c>
      <c r="B592" s="16" t="s">
        <v>2832</v>
      </c>
      <c r="C592">
        <f t="shared" si="18"/>
        <v>1121</v>
      </c>
      <c r="L592" s="17" t="s">
        <v>2786</v>
      </c>
      <c r="M592" t="e">
        <f t="shared" si="19"/>
        <v>#N/A</v>
      </c>
    </row>
    <row r="593" spans="1:13" x14ac:dyDescent="0.25">
      <c r="A593" s="16" t="s">
        <v>3022</v>
      </c>
      <c r="B593" s="16" t="s">
        <v>2833</v>
      </c>
      <c r="C593">
        <f t="shared" si="18"/>
        <v>1122</v>
      </c>
      <c r="L593" s="17" t="s">
        <v>2787</v>
      </c>
      <c r="M593" t="e">
        <f t="shared" si="19"/>
        <v>#N/A</v>
      </c>
    </row>
    <row r="594" spans="1:13" x14ac:dyDescent="0.25">
      <c r="A594" s="16" t="s">
        <v>3022</v>
      </c>
      <c r="B594" s="16" t="s">
        <v>2834</v>
      </c>
      <c r="C594">
        <f t="shared" si="18"/>
        <v>1123</v>
      </c>
      <c r="L594" s="17" t="s">
        <v>2788</v>
      </c>
      <c r="M594" t="e">
        <f t="shared" si="19"/>
        <v>#N/A</v>
      </c>
    </row>
    <row r="595" spans="1:13" x14ac:dyDescent="0.25">
      <c r="A595" s="16" t="s">
        <v>3022</v>
      </c>
      <c r="B595" s="16" t="s">
        <v>2835</v>
      </c>
      <c r="C595">
        <f t="shared" si="18"/>
        <v>1124</v>
      </c>
      <c r="L595" s="17" t="s">
        <v>2789</v>
      </c>
      <c r="M595" t="e">
        <f t="shared" si="19"/>
        <v>#N/A</v>
      </c>
    </row>
    <row r="596" spans="1:13" x14ac:dyDescent="0.25">
      <c r="A596" s="16" t="s">
        <v>3022</v>
      </c>
      <c r="B596" s="16" t="s">
        <v>2836</v>
      </c>
      <c r="C596">
        <f t="shared" si="18"/>
        <v>1125</v>
      </c>
      <c r="L596" s="17" t="s">
        <v>2790</v>
      </c>
      <c r="M596" t="e">
        <f t="shared" si="19"/>
        <v>#N/A</v>
      </c>
    </row>
    <row r="597" spans="1:13" x14ac:dyDescent="0.25">
      <c r="A597" s="16" t="s">
        <v>3022</v>
      </c>
      <c r="B597" s="16" t="s">
        <v>2837</v>
      </c>
      <c r="C597">
        <f t="shared" si="18"/>
        <v>1126</v>
      </c>
      <c r="L597" s="17" t="s">
        <v>2791</v>
      </c>
      <c r="M597" t="e">
        <f t="shared" si="19"/>
        <v>#N/A</v>
      </c>
    </row>
    <row r="598" spans="1:13" x14ac:dyDescent="0.25">
      <c r="A598" s="16" t="s">
        <v>3022</v>
      </c>
      <c r="B598" s="16" t="s">
        <v>2838</v>
      </c>
      <c r="C598">
        <f t="shared" si="18"/>
        <v>1127</v>
      </c>
      <c r="L598" s="17" t="s">
        <v>2792</v>
      </c>
      <c r="M598" t="e">
        <f t="shared" si="19"/>
        <v>#N/A</v>
      </c>
    </row>
    <row r="599" spans="1:13" x14ac:dyDescent="0.25">
      <c r="A599" s="16" t="s">
        <v>3022</v>
      </c>
      <c r="B599" s="16" t="s">
        <v>2839</v>
      </c>
      <c r="C599">
        <f t="shared" si="18"/>
        <v>1128</v>
      </c>
      <c r="L599" s="17" t="s">
        <v>2793</v>
      </c>
      <c r="M599" t="e">
        <f t="shared" si="19"/>
        <v>#N/A</v>
      </c>
    </row>
    <row r="600" spans="1:13" x14ac:dyDescent="0.25">
      <c r="A600" s="16" t="s">
        <v>3022</v>
      </c>
      <c r="B600" s="16" t="s">
        <v>2840</v>
      </c>
      <c r="C600">
        <f t="shared" si="18"/>
        <v>1129</v>
      </c>
      <c r="L600" s="17" t="s">
        <v>2794</v>
      </c>
      <c r="M600" t="e">
        <f t="shared" si="19"/>
        <v>#N/A</v>
      </c>
    </row>
    <row r="601" spans="1:13" x14ac:dyDescent="0.25">
      <c r="A601" s="16" t="s">
        <v>2185</v>
      </c>
      <c r="B601" s="16" t="s">
        <v>2186</v>
      </c>
      <c r="C601" t="e">
        <f t="shared" si="18"/>
        <v>#N/A</v>
      </c>
      <c r="L601" s="17" t="s">
        <v>2795</v>
      </c>
      <c r="M601" t="e">
        <f t="shared" si="19"/>
        <v>#N/A</v>
      </c>
    </row>
    <row r="602" spans="1:13" x14ac:dyDescent="0.25">
      <c r="A602" s="16" t="s">
        <v>2185</v>
      </c>
      <c r="B602" s="16" t="s">
        <v>2187</v>
      </c>
      <c r="C602" t="e">
        <f t="shared" si="18"/>
        <v>#N/A</v>
      </c>
      <c r="L602" s="17" t="s">
        <v>2796</v>
      </c>
      <c r="M602" t="e">
        <f t="shared" si="19"/>
        <v>#N/A</v>
      </c>
    </row>
    <row r="603" spans="1:13" hidden="1" x14ac:dyDescent="0.25">
      <c r="A603" s="16" t="s">
        <v>2185</v>
      </c>
      <c r="B603" s="16" t="s">
        <v>2188</v>
      </c>
      <c r="C603" t="e">
        <f t="shared" si="18"/>
        <v>#N/A</v>
      </c>
      <c r="L603" t="s">
        <v>1030</v>
      </c>
      <c r="M603">
        <f t="shared" si="19"/>
        <v>974</v>
      </c>
    </row>
    <row r="604" spans="1:13" hidden="1" x14ac:dyDescent="0.25">
      <c r="A604" s="16" t="s">
        <v>2185</v>
      </c>
      <c r="B604" s="16" t="s">
        <v>2189</v>
      </c>
      <c r="C604" t="e">
        <f t="shared" si="18"/>
        <v>#N/A</v>
      </c>
      <c r="L604" t="s">
        <v>288</v>
      </c>
      <c r="M604">
        <f t="shared" si="19"/>
        <v>2</v>
      </c>
    </row>
    <row r="605" spans="1:13" hidden="1" x14ac:dyDescent="0.25">
      <c r="A605" s="16" t="s">
        <v>2185</v>
      </c>
      <c r="B605" s="16" t="s">
        <v>2190</v>
      </c>
      <c r="C605" t="e">
        <f t="shared" si="18"/>
        <v>#N/A</v>
      </c>
      <c r="L605" t="s">
        <v>289</v>
      </c>
      <c r="M605">
        <f t="shared" si="19"/>
        <v>3</v>
      </c>
    </row>
    <row r="606" spans="1:13" hidden="1" x14ac:dyDescent="0.25">
      <c r="A606" s="16" t="s">
        <v>2185</v>
      </c>
      <c r="B606" s="16" t="s">
        <v>2191</v>
      </c>
      <c r="C606" t="e">
        <f t="shared" si="18"/>
        <v>#N/A</v>
      </c>
      <c r="L606" t="s">
        <v>290</v>
      </c>
      <c r="M606">
        <f t="shared" si="19"/>
        <v>4</v>
      </c>
    </row>
    <row r="607" spans="1:13" hidden="1" x14ac:dyDescent="0.25">
      <c r="A607" s="16" t="s">
        <v>2185</v>
      </c>
      <c r="B607" s="16" t="s">
        <v>2192</v>
      </c>
      <c r="C607" t="e">
        <f t="shared" si="18"/>
        <v>#N/A</v>
      </c>
      <c r="L607" t="s">
        <v>291</v>
      </c>
      <c r="M607">
        <f t="shared" si="19"/>
        <v>5</v>
      </c>
    </row>
    <row r="608" spans="1:13" hidden="1" x14ac:dyDescent="0.25">
      <c r="A608" s="16" t="s">
        <v>2185</v>
      </c>
      <c r="B608" s="16" t="s">
        <v>2193</v>
      </c>
      <c r="C608" t="e">
        <f t="shared" si="18"/>
        <v>#N/A</v>
      </c>
      <c r="L608" t="s">
        <v>292</v>
      </c>
      <c r="M608">
        <f t="shared" si="19"/>
        <v>6</v>
      </c>
    </row>
    <row r="609" spans="1:13" hidden="1" x14ac:dyDescent="0.25">
      <c r="A609" s="16" t="s">
        <v>2185</v>
      </c>
      <c r="B609" s="16" t="s">
        <v>2194</v>
      </c>
      <c r="C609" t="e">
        <f t="shared" si="18"/>
        <v>#N/A</v>
      </c>
      <c r="L609" t="s">
        <v>293</v>
      </c>
      <c r="M609">
        <f t="shared" si="19"/>
        <v>7</v>
      </c>
    </row>
    <row r="610" spans="1:13" hidden="1" x14ac:dyDescent="0.25">
      <c r="A610" s="16" t="s">
        <v>2185</v>
      </c>
      <c r="B610" s="16" t="s">
        <v>2195</v>
      </c>
      <c r="C610" t="e">
        <f t="shared" si="18"/>
        <v>#N/A</v>
      </c>
      <c r="L610" t="s">
        <v>294</v>
      </c>
      <c r="M610">
        <f t="shared" si="19"/>
        <v>8</v>
      </c>
    </row>
    <row r="611" spans="1:13" hidden="1" x14ac:dyDescent="0.25">
      <c r="A611" s="16" t="s">
        <v>2185</v>
      </c>
      <c r="B611" s="16" t="s">
        <v>2196</v>
      </c>
      <c r="C611" t="e">
        <f t="shared" si="18"/>
        <v>#N/A</v>
      </c>
      <c r="L611" t="s">
        <v>295</v>
      </c>
      <c r="M611">
        <f t="shared" si="19"/>
        <v>9</v>
      </c>
    </row>
    <row r="612" spans="1:13" hidden="1" x14ac:dyDescent="0.25">
      <c r="A612" s="16" t="s">
        <v>2185</v>
      </c>
      <c r="B612" s="16" t="s">
        <v>2197</v>
      </c>
      <c r="C612" t="e">
        <f t="shared" si="18"/>
        <v>#N/A</v>
      </c>
      <c r="L612" t="s">
        <v>296</v>
      </c>
      <c r="M612">
        <f t="shared" si="19"/>
        <v>10</v>
      </c>
    </row>
    <row r="613" spans="1:13" hidden="1" x14ac:dyDescent="0.25">
      <c r="A613" s="16" t="s">
        <v>2185</v>
      </c>
      <c r="B613" s="16" t="s">
        <v>2198</v>
      </c>
      <c r="C613" t="e">
        <f t="shared" si="18"/>
        <v>#N/A</v>
      </c>
      <c r="L613" t="s">
        <v>297</v>
      </c>
      <c r="M613">
        <f t="shared" si="19"/>
        <v>11</v>
      </c>
    </row>
    <row r="614" spans="1:13" hidden="1" x14ac:dyDescent="0.25">
      <c r="A614" s="16" t="s">
        <v>2185</v>
      </c>
      <c r="B614" s="16" t="s">
        <v>2199</v>
      </c>
      <c r="C614" t="e">
        <f t="shared" si="18"/>
        <v>#N/A</v>
      </c>
      <c r="L614" t="s">
        <v>299</v>
      </c>
      <c r="M614">
        <f t="shared" si="19"/>
        <v>12</v>
      </c>
    </row>
    <row r="615" spans="1:13" hidden="1" x14ac:dyDescent="0.25">
      <c r="A615" s="16" t="s">
        <v>2185</v>
      </c>
      <c r="B615" s="16" t="s">
        <v>2200</v>
      </c>
      <c r="C615" t="e">
        <f t="shared" si="18"/>
        <v>#N/A</v>
      </c>
      <c r="L615" t="s">
        <v>300</v>
      </c>
      <c r="M615">
        <f t="shared" si="19"/>
        <v>13</v>
      </c>
    </row>
    <row r="616" spans="1:13" hidden="1" x14ac:dyDescent="0.25">
      <c r="A616" s="16" t="s">
        <v>2185</v>
      </c>
      <c r="B616" s="16" t="s">
        <v>2201</v>
      </c>
      <c r="C616" t="e">
        <f t="shared" si="18"/>
        <v>#N/A</v>
      </c>
      <c r="L616" t="s">
        <v>301</v>
      </c>
      <c r="M616">
        <f t="shared" si="19"/>
        <v>14</v>
      </c>
    </row>
    <row r="617" spans="1:13" hidden="1" x14ac:dyDescent="0.25">
      <c r="A617" s="16" t="s">
        <v>2185</v>
      </c>
      <c r="B617" s="16" t="s">
        <v>2202</v>
      </c>
      <c r="C617" t="e">
        <f t="shared" si="18"/>
        <v>#N/A</v>
      </c>
      <c r="L617" t="s">
        <v>302</v>
      </c>
      <c r="M617">
        <f t="shared" si="19"/>
        <v>15</v>
      </c>
    </row>
    <row r="618" spans="1:13" hidden="1" x14ac:dyDescent="0.25">
      <c r="A618" s="16" t="s">
        <v>2185</v>
      </c>
      <c r="B618" s="16" t="s">
        <v>2203</v>
      </c>
      <c r="C618" t="e">
        <f t="shared" si="18"/>
        <v>#N/A</v>
      </c>
      <c r="L618" t="s">
        <v>304</v>
      </c>
      <c r="M618">
        <f t="shared" si="19"/>
        <v>16</v>
      </c>
    </row>
    <row r="619" spans="1:13" hidden="1" x14ac:dyDescent="0.25">
      <c r="A619" s="16" t="s">
        <v>2185</v>
      </c>
      <c r="B619" s="16" t="s">
        <v>2204</v>
      </c>
      <c r="C619" t="e">
        <f t="shared" si="18"/>
        <v>#N/A</v>
      </c>
      <c r="L619" t="s">
        <v>306</v>
      </c>
      <c r="M619">
        <f t="shared" si="19"/>
        <v>17</v>
      </c>
    </row>
    <row r="620" spans="1:13" hidden="1" x14ac:dyDescent="0.25">
      <c r="A620" s="16" t="s">
        <v>2185</v>
      </c>
      <c r="B620" s="16" t="s">
        <v>2205</v>
      </c>
      <c r="C620" t="e">
        <f t="shared" si="18"/>
        <v>#N/A</v>
      </c>
      <c r="L620" t="s">
        <v>308</v>
      </c>
      <c r="M620">
        <f t="shared" si="19"/>
        <v>18</v>
      </c>
    </row>
    <row r="621" spans="1:13" hidden="1" x14ac:dyDescent="0.25">
      <c r="A621" s="16" t="s">
        <v>2185</v>
      </c>
      <c r="B621" s="16" t="s">
        <v>2206</v>
      </c>
      <c r="C621" t="e">
        <f t="shared" si="18"/>
        <v>#N/A</v>
      </c>
      <c r="L621" t="s">
        <v>310</v>
      </c>
      <c r="M621">
        <f t="shared" si="19"/>
        <v>19</v>
      </c>
    </row>
    <row r="622" spans="1:13" hidden="1" x14ac:dyDescent="0.25">
      <c r="A622" s="16" t="s">
        <v>2185</v>
      </c>
      <c r="B622" s="16" t="s">
        <v>2207</v>
      </c>
      <c r="C622" t="e">
        <f t="shared" si="18"/>
        <v>#N/A</v>
      </c>
      <c r="L622" t="s">
        <v>311</v>
      </c>
      <c r="M622">
        <f t="shared" si="19"/>
        <v>20</v>
      </c>
    </row>
    <row r="623" spans="1:13" hidden="1" x14ac:dyDescent="0.25">
      <c r="A623" s="16" t="s">
        <v>2185</v>
      </c>
      <c r="B623" s="16" t="s">
        <v>2208</v>
      </c>
      <c r="C623" t="e">
        <f t="shared" si="18"/>
        <v>#N/A</v>
      </c>
      <c r="L623" t="s">
        <v>313</v>
      </c>
      <c r="M623">
        <f t="shared" si="19"/>
        <v>21</v>
      </c>
    </row>
    <row r="624" spans="1:13" hidden="1" x14ac:dyDescent="0.25">
      <c r="A624" s="16" t="s">
        <v>2185</v>
      </c>
      <c r="B624" s="16" t="s">
        <v>2209</v>
      </c>
      <c r="C624" t="e">
        <f t="shared" si="18"/>
        <v>#N/A</v>
      </c>
      <c r="L624" t="s">
        <v>314</v>
      </c>
      <c r="M624">
        <f t="shared" si="19"/>
        <v>22</v>
      </c>
    </row>
    <row r="625" spans="1:13" hidden="1" x14ac:dyDescent="0.25">
      <c r="A625" s="16" t="s">
        <v>2185</v>
      </c>
      <c r="B625" s="16" t="s">
        <v>2210</v>
      </c>
      <c r="C625" t="e">
        <f t="shared" si="18"/>
        <v>#N/A</v>
      </c>
      <c r="L625" t="s">
        <v>316</v>
      </c>
      <c r="M625">
        <f t="shared" si="19"/>
        <v>23</v>
      </c>
    </row>
    <row r="626" spans="1:13" hidden="1" x14ac:dyDescent="0.25">
      <c r="A626" s="16" t="s">
        <v>2185</v>
      </c>
      <c r="B626" s="16" t="s">
        <v>2211</v>
      </c>
      <c r="C626" t="e">
        <f t="shared" si="18"/>
        <v>#N/A</v>
      </c>
      <c r="L626" t="s">
        <v>317</v>
      </c>
      <c r="M626">
        <f t="shared" si="19"/>
        <v>24</v>
      </c>
    </row>
    <row r="627" spans="1:13" hidden="1" x14ac:dyDescent="0.25">
      <c r="A627" s="16" t="s">
        <v>2185</v>
      </c>
      <c r="B627" s="16" t="s">
        <v>2212</v>
      </c>
      <c r="C627" t="e">
        <f t="shared" si="18"/>
        <v>#N/A</v>
      </c>
      <c r="L627" t="s">
        <v>318</v>
      </c>
      <c r="M627">
        <f t="shared" si="19"/>
        <v>25</v>
      </c>
    </row>
    <row r="628" spans="1:13" hidden="1" x14ac:dyDescent="0.25">
      <c r="A628" s="16" t="s">
        <v>2185</v>
      </c>
      <c r="B628" s="16" t="s">
        <v>2213</v>
      </c>
      <c r="C628" t="e">
        <f t="shared" si="18"/>
        <v>#N/A</v>
      </c>
      <c r="L628" t="s">
        <v>319</v>
      </c>
      <c r="M628">
        <f t="shared" si="19"/>
        <v>26</v>
      </c>
    </row>
    <row r="629" spans="1:13" hidden="1" x14ac:dyDescent="0.25">
      <c r="A629" s="16" t="s">
        <v>2185</v>
      </c>
      <c r="B629" s="16" t="s">
        <v>2214</v>
      </c>
      <c r="C629" t="e">
        <f t="shared" si="18"/>
        <v>#N/A</v>
      </c>
      <c r="L629" t="s">
        <v>321</v>
      </c>
      <c r="M629">
        <f t="shared" si="19"/>
        <v>27</v>
      </c>
    </row>
    <row r="630" spans="1:13" hidden="1" x14ac:dyDescent="0.25">
      <c r="A630" s="16" t="s">
        <v>2185</v>
      </c>
      <c r="B630" s="16" t="s">
        <v>2215</v>
      </c>
      <c r="C630" t="e">
        <f t="shared" si="18"/>
        <v>#N/A</v>
      </c>
      <c r="L630" t="s">
        <v>322</v>
      </c>
      <c r="M630">
        <f t="shared" si="19"/>
        <v>28</v>
      </c>
    </row>
    <row r="631" spans="1:13" hidden="1" x14ac:dyDescent="0.25">
      <c r="A631" s="16" t="s">
        <v>2185</v>
      </c>
      <c r="B631" s="16" t="s">
        <v>2216</v>
      </c>
      <c r="C631" t="e">
        <f t="shared" si="18"/>
        <v>#N/A</v>
      </c>
      <c r="L631" t="s">
        <v>323</v>
      </c>
      <c r="M631">
        <f t="shared" si="19"/>
        <v>29</v>
      </c>
    </row>
    <row r="632" spans="1:13" hidden="1" x14ac:dyDescent="0.25">
      <c r="A632" s="16" t="s">
        <v>2185</v>
      </c>
      <c r="B632" s="16" t="s">
        <v>2217</v>
      </c>
      <c r="C632" t="e">
        <f t="shared" si="18"/>
        <v>#N/A</v>
      </c>
      <c r="L632" t="s">
        <v>324</v>
      </c>
      <c r="M632">
        <f t="shared" si="19"/>
        <v>30</v>
      </c>
    </row>
    <row r="633" spans="1:13" hidden="1" x14ac:dyDescent="0.25">
      <c r="A633" s="16" t="s">
        <v>2185</v>
      </c>
      <c r="B633" s="16" t="s">
        <v>2218</v>
      </c>
      <c r="C633" t="e">
        <f t="shared" si="18"/>
        <v>#N/A</v>
      </c>
      <c r="L633" t="s">
        <v>325</v>
      </c>
      <c r="M633">
        <f t="shared" si="19"/>
        <v>31</v>
      </c>
    </row>
    <row r="634" spans="1:13" hidden="1" x14ac:dyDescent="0.25">
      <c r="A634" s="16" t="s">
        <v>2185</v>
      </c>
      <c r="B634" s="16" t="s">
        <v>2219</v>
      </c>
      <c r="C634" t="e">
        <f t="shared" si="18"/>
        <v>#N/A</v>
      </c>
      <c r="L634" t="s">
        <v>326</v>
      </c>
      <c r="M634">
        <f t="shared" si="19"/>
        <v>32</v>
      </c>
    </row>
    <row r="635" spans="1:13" hidden="1" x14ac:dyDescent="0.25">
      <c r="A635" s="16" t="s">
        <v>2185</v>
      </c>
      <c r="B635" s="16" t="s">
        <v>2220</v>
      </c>
      <c r="C635" t="e">
        <f t="shared" si="18"/>
        <v>#N/A</v>
      </c>
      <c r="L635" t="s">
        <v>327</v>
      </c>
      <c r="M635">
        <f t="shared" si="19"/>
        <v>33</v>
      </c>
    </row>
    <row r="636" spans="1:13" hidden="1" x14ac:dyDescent="0.25">
      <c r="A636" s="16" t="s">
        <v>2185</v>
      </c>
      <c r="B636" s="16" t="s">
        <v>2221</v>
      </c>
      <c r="C636" t="e">
        <f t="shared" si="18"/>
        <v>#N/A</v>
      </c>
      <c r="L636" t="s">
        <v>328</v>
      </c>
      <c r="M636">
        <f t="shared" si="19"/>
        <v>34</v>
      </c>
    </row>
    <row r="637" spans="1:13" hidden="1" x14ac:dyDescent="0.25">
      <c r="A637" s="16" t="s">
        <v>2185</v>
      </c>
      <c r="B637" s="16" t="s">
        <v>2222</v>
      </c>
      <c r="C637" t="e">
        <f t="shared" si="18"/>
        <v>#N/A</v>
      </c>
      <c r="L637" t="s">
        <v>329</v>
      </c>
      <c r="M637">
        <f t="shared" si="19"/>
        <v>35</v>
      </c>
    </row>
    <row r="638" spans="1:13" hidden="1" x14ac:dyDescent="0.25">
      <c r="A638" s="16" t="s">
        <v>2185</v>
      </c>
      <c r="B638" s="16" t="s">
        <v>2223</v>
      </c>
      <c r="C638" t="e">
        <f t="shared" si="18"/>
        <v>#N/A</v>
      </c>
      <c r="L638" t="s">
        <v>330</v>
      </c>
      <c r="M638">
        <f t="shared" si="19"/>
        <v>36</v>
      </c>
    </row>
    <row r="639" spans="1:13" hidden="1" x14ac:dyDescent="0.25">
      <c r="A639" s="16" t="s">
        <v>2185</v>
      </c>
      <c r="B639" s="16" t="s">
        <v>2224</v>
      </c>
      <c r="C639" t="e">
        <f t="shared" si="18"/>
        <v>#N/A</v>
      </c>
      <c r="L639" t="s">
        <v>332</v>
      </c>
      <c r="M639">
        <f t="shared" si="19"/>
        <v>37</v>
      </c>
    </row>
    <row r="640" spans="1:13" hidden="1" x14ac:dyDescent="0.25">
      <c r="A640" s="16" t="s">
        <v>2185</v>
      </c>
      <c r="B640" s="16" t="s">
        <v>2225</v>
      </c>
      <c r="C640" t="e">
        <f t="shared" si="18"/>
        <v>#N/A</v>
      </c>
      <c r="L640" t="s">
        <v>333</v>
      </c>
      <c r="M640">
        <f t="shared" si="19"/>
        <v>38</v>
      </c>
    </row>
    <row r="641" spans="1:13" hidden="1" x14ac:dyDescent="0.25">
      <c r="A641" s="16" t="s">
        <v>2185</v>
      </c>
      <c r="B641" s="16" t="s">
        <v>2226</v>
      </c>
      <c r="C641" t="e">
        <f t="shared" si="18"/>
        <v>#N/A</v>
      </c>
      <c r="L641" t="s">
        <v>335</v>
      </c>
      <c r="M641">
        <f t="shared" si="19"/>
        <v>39</v>
      </c>
    </row>
    <row r="642" spans="1:13" hidden="1" x14ac:dyDescent="0.25">
      <c r="A642" s="16" t="s">
        <v>2185</v>
      </c>
      <c r="B642" s="16" t="s">
        <v>2227</v>
      </c>
      <c r="C642" t="e">
        <f t="shared" si="18"/>
        <v>#N/A</v>
      </c>
      <c r="L642" t="s">
        <v>337</v>
      </c>
      <c r="M642">
        <f t="shared" si="19"/>
        <v>40</v>
      </c>
    </row>
    <row r="643" spans="1:13" hidden="1" x14ac:dyDescent="0.25">
      <c r="A643" s="16" t="s">
        <v>2185</v>
      </c>
      <c r="B643" s="16" t="s">
        <v>2228</v>
      </c>
      <c r="C643" t="e">
        <f t="shared" ref="C643:C706" si="20">MATCH(B643,L:L,0)</f>
        <v>#N/A</v>
      </c>
      <c r="L643" t="s">
        <v>338</v>
      </c>
      <c r="M643">
        <f t="shared" ref="M643:M706" si="21">MATCH(L643,B:B,0)</f>
        <v>41</v>
      </c>
    </row>
    <row r="644" spans="1:13" hidden="1" x14ac:dyDescent="0.25">
      <c r="A644" s="16" t="s">
        <v>2185</v>
      </c>
      <c r="B644" s="16" t="s">
        <v>2229</v>
      </c>
      <c r="C644" t="e">
        <f t="shared" si="20"/>
        <v>#N/A</v>
      </c>
      <c r="L644" t="s">
        <v>339</v>
      </c>
      <c r="M644">
        <f t="shared" si="21"/>
        <v>42</v>
      </c>
    </row>
    <row r="645" spans="1:13" hidden="1" x14ac:dyDescent="0.25">
      <c r="A645" s="16" t="s">
        <v>2185</v>
      </c>
      <c r="B645" s="16" t="s">
        <v>2230</v>
      </c>
      <c r="C645" t="e">
        <f t="shared" si="20"/>
        <v>#N/A</v>
      </c>
      <c r="L645" t="s">
        <v>340</v>
      </c>
      <c r="M645">
        <f t="shared" si="21"/>
        <v>43</v>
      </c>
    </row>
    <row r="646" spans="1:13" hidden="1" x14ac:dyDescent="0.25">
      <c r="A646" s="16" t="s">
        <v>2185</v>
      </c>
      <c r="B646" s="16" t="s">
        <v>2231</v>
      </c>
      <c r="C646" t="e">
        <f t="shared" si="20"/>
        <v>#N/A</v>
      </c>
      <c r="L646" t="s">
        <v>341</v>
      </c>
      <c r="M646">
        <f t="shared" si="21"/>
        <v>44</v>
      </c>
    </row>
    <row r="647" spans="1:13" hidden="1" x14ac:dyDescent="0.25">
      <c r="A647" s="16" t="s">
        <v>2185</v>
      </c>
      <c r="B647" s="16" t="s">
        <v>2232</v>
      </c>
      <c r="C647" t="e">
        <f t="shared" si="20"/>
        <v>#N/A</v>
      </c>
      <c r="L647" t="s">
        <v>343</v>
      </c>
      <c r="M647">
        <f t="shared" si="21"/>
        <v>45</v>
      </c>
    </row>
    <row r="648" spans="1:13" hidden="1" x14ac:dyDescent="0.25">
      <c r="A648" s="16" t="s">
        <v>2185</v>
      </c>
      <c r="B648" s="16" t="s">
        <v>2233</v>
      </c>
      <c r="C648" t="e">
        <f t="shared" si="20"/>
        <v>#N/A</v>
      </c>
      <c r="L648" t="s">
        <v>344</v>
      </c>
      <c r="M648">
        <f t="shared" si="21"/>
        <v>46</v>
      </c>
    </row>
    <row r="649" spans="1:13" hidden="1" x14ac:dyDescent="0.25">
      <c r="A649" s="16" t="s">
        <v>2185</v>
      </c>
      <c r="B649" s="16" t="s">
        <v>2234</v>
      </c>
      <c r="C649" t="e">
        <f t="shared" si="20"/>
        <v>#N/A</v>
      </c>
      <c r="L649" t="s">
        <v>345</v>
      </c>
      <c r="M649">
        <f t="shared" si="21"/>
        <v>47</v>
      </c>
    </row>
    <row r="650" spans="1:13" hidden="1" x14ac:dyDescent="0.25">
      <c r="A650" s="16" t="s">
        <v>2185</v>
      </c>
      <c r="B650" s="16" t="s">
        <v>2235</v>
      </c>
      <c r="C650" t="e">
        <f t="shared" si="20"/>
        <v>#N/A</v>
      </c>
      <c r="L650" t="s">
        <v>347</v>
      </c>
      <c r="M650">
        <f t="shared" si="21"/>
        <v>48</v>
      </c>
    </row>
    <row r="651" spans="1:13" hidden="1" x14ac:dyDescent="0.25">
      <c r="A651" s="16" t="s">
        <v>2185</v>
      </c>
      <c r="B651" s="16" t="s">
        <v>2236</v>
      </c>
      <c r="C651" t="e">
        <f t="shared" si="20"/>
        <v>#N/A</v>
      </c>
      <c r="L651" t="s">
        <v>348</v>
      </c>
      <c r="M651">
        <f t="shared" si="21"/>
        <v>49</v>
      </c>
    </row>
    <row r="652" spans="1:13" hidden="1" x14ac:dyDescent="0.25">
      <c r="A652" s="16" t="s">
        <v>2185</v>
      </c>
      <c r="B652" s="16" t="s">
        <v>2237</v>
      </c>
      <c r="C652" t="e">
        <f t="shared" si="20"/>
        <v>#N/A</v>
      </c>
      <c r="L652" t="s">
        <v>349</v>
      </c>
      <c r="M652">
        <f t="shared" si="21"/>
        <v>247</v>
      </c>
    </row>
    <row r="653" spans="1:13" hidden="1" x14ac:dyDescent="0.25">
      <c r="A653" s="16" t="s">
        <v>2185</v>
      </c>
      <c r="B653" s="16" t="s">
        <v>2238</v>
      </c>
      <c r="C653" t="e">
        <f t="shared" si="20"/>
        <v>#N/A</v>
      </c>
      <c r="L653" t="s">
        <v>351</v>
      </c>
      <c r="M653">
        <f t="shared" si="21"/>
        <v>395</v>
      </c>
    </row>
    <row r="654" spans="1:13" hidden="1" x14ac:dyDescent="0.25">
      <c r="A654" s="16" t="s">
        <v>2185</v>
      </c>
      <c r="B654" s="16" t="s">
        <v>2239</v>
      </c>
      <c r="C654" t="e">
        <f t="shared" si="20"/>
        <v>#N/A</v>
      </c>
      <c r="L654" t="s">
        <v>353</v>
      </c>
      <c r="M654">
        <f t="shared" si="21"/>
        <v>248</v>
      </c>
    </row>
    <row r="655" spans="1:13" hidden="1" x14ac:dyDescent="0.25">
      <c r="A655" s="16" t="s">
        <v>2185</v>
      </c>
      <c r="B655" s="16" t="s">
        <v>2240</v>
      </c>
      <c r="C655" t="e">
        <f t="shared" si="20"/>
        <v>#N/A</v>
      </c>
      <c r="L655" t="s">
        <v>355</v>
      </c>
      <c r="M655">
        <f t="shared" si="21"/>
        <v>396</v>
      </c>
    </row>
    <row r="656" spans="1:13" hidden="1" x14ac:dyDescent="0.25">
      <c r="A656" s="16" t="s">
        <v>2185</v>
      </c>
      <c r="B656" s="16" t="s">
        <v>2241</v>
      </c>
      <c r="C656" t="e">
        <f t="shared" si="20"/>
        <v>#N/A</v>
      </c>
      <c r="L656" t="s">
        <v>357</v>
      </c>
      <c r="M656">
        <f t="shared" si="21"/>
        <v>249</v>
      </c>
    </row>
    <row r="657" spans="1:13" hidden="1" x14ac:dyDescent="0.25">
      <c r="A657" s="16" t="s">
        <v>2185</v>
      </c>
      <c r="B657" s="16" t="s">
        <v>2242</v>
      </c>
      <c r="C657" t="e">
        <f t="shared" si="20"/>
        <v>#N/A</v>
      </c>
      <c r="L657" t="s">
        <v>359</v>
      </c>
      <c r="M657">
        <f t="shared" si="21"/>
        <v>397</v>
      </c>
    </row>
    <row r="658" spans="1:13" hidden="1" x14ac:dyDescent="0.25">
      <c r="A658" s="16" t="s">
        <v>2185</v>
      </c>
      <c r="B658" s="16" t="s">
        <v>2243</v>
      </c>
      <c r="C658" t="e">
        <f t="shared" si="20"/>
        <v>#N/A</v>
      </c>
      <c r="L658" t="s">
        <v>361</v>
      </c>
      <c r="M658">
        <f t="shared" si="21"/>
        <v>250</v>
      </c>
    </row>
    <row r="659" spans="1:13" hidden="1" x14ac:dyDescent="0.25">
      <c r="A659" s="16" t="s">
        <v>2185</v>
      </c>
      <c r="B659" s="16" t="s">
        <v>2244</v>
      </c>
      <c r="C659" t="e">
        <f t="shared" si="20"/>
        <v>#N/A</v>
      </c>
      <c r="L659" t="s">
        <v>363</v>
      </c>
      <c r="M659">
        <f t="shared" si="21"/>
        <v>398</v>
      </c>
    </row>
    <row r="660" spans="1:13" hidden="1" x14ac:dyDescent="0.25">
      <c r="A660" s="16" t="s">
        <v>2185</v>
      </c>
      <c r="B660" s="16" t="s">
        <v>2245</v>
      </c>
      <c r="C660" t="e">
        <f t="shared" si="20"/>
        <v>#N/A</v>
      </c>
      <c r="L660" t="s">
        <v>365</v>
      </c>
      <c r="M660">
        <f t="shared" si="21"/>
        <v>251</v>
      </c>
    </row>
    <row r="661" spans="1:13" hidden="1" x14ac:dyDescent="0.25">
      <c r="A661" s="16" t="s">
        <v>2185</v>
      </c>
      <c r="B661" s="16" t="s">
        <v>2246</v>
      </c>
      <c r="C661" t="e">
        <f t="shared" si="20"/>
        <v>#N/A</v>
      </c>
      <c r="L661" t="s">
        <v>367</v>
      </c>
      <c r="M661">
        <f t="shared" si="21"/>
        <v>399</v>
      </c>
    </row>
    <row r="662" spans="1:13" hidden="1" x14ac:dyDescent="0.25">
      <c r="A662" s="16" t="s">
        <v>2185</v>
      </c>
      <c r="B662" s="16" t="s">
        <v>2247</v>
      </c>
      <c r="C662" t="e">
        <f t="shared" si="20"/>
        <v>#N/A</v>
      </c>
      <c r="L662" t="s">
        <v>369</v>
      </c>
      <c r="M662">
        <f t="shared" si="21"/>
        <v>252</v>
      </c>
    </row>
    <row r="663" spans="1:13" hidden="1" x14ac:dyDescent="0.25">
      <c r="A663" s="16" t="s">
        <v>2185</v>
      </c>
      <c r="B663" s="16" t="s">
        <v>2248</v>
      </c>
      <c r="C663" t="e">
        <f t="shared" si="20"/>
        <v>#N/A</v>
      </c>
      <c r="L663" t="s">
        <v>371</v>
      </c>
      <c r="M663">
        <f t="shared" si="21"/>
        <v>400</v>
      </c>
    </row>
    <row r="664" spans="1:13" hidden="1" x14ac:dyDescent="0.25">
      <c r="A664" s="16" t="s">
        <v>2185</v>
      </c>
      <c r="B664" s="16" t="s">
        <v>2249</v>
      </c>
      <c r="C664" t="e">
        <f t="shared" si="20"/>
        <v>#N/A</v>
      </c>
      <c r="L664" t="s">
        <v>373</v>
      </c>
      <c r="M664">
        <f t="shared" si="21"/>
        <v>253</v>
      </c>
    </row>
    <row r="665" spans="1:13" hidden="1" x14ac:dyDescent="0.25">
      <c r="A665" s="16" t="s">
        <v>2185</v>
      </c>
      <c r="B665" s="16" t="s">
        <v>2250</v>
      </c>
      <c r="C665" t="e">
        <f t="shared" si="20"/>
        <v>#N/A</v>
      </c>
      <c r="L665" t="s">
        <v>375</v>
      </c>
      <c r="M665">
        <f t="shared" si="21"/>
        <v>401</v>
      </c>
    </row>
    <row r="666" spans="1:13" hidden="1" x14ac:dyDescent="0.25">
      <c r="A666" s="16" t="s">
        <v>2185</v>
      </c>
      <c r="B666" s="16" t="s">
        <v>2251</v>
      </c>
      <c r="C666" t="e">
        <f t="shared" si="20"/>
        <v>#N/A</v>
      </c>
      <c r="L666" t="s">
        <v>377</v>
      </c>
      <c r="M666">
        <f t="shared" si="21"/>
        <v>254</v>
      </c>
    </row>
    <row r="667" spans="1:13" hidden="1" x14ac:dyDescent="0.25">
      <c r="A667" s="16" t="s">
        <v>2185</v>
      </c>
      <c r="B667" s="16" t="s">
        <v>2252</v>
      </c>
      <c r="C667" t="e">
        <f t="shared" si="20"/>
        <v>#N/A</v>
      </c>
      <c r="L667" t="s">
        <v>379</v>
      </c>
      <c r="M667">
        <f t="shared" si="21"/>
        <v>402</v>
      </c>
    </row>
    <row r="668" spans="1:13" hidden="1" x14ac:dyDescent="0.25">
      <c r="A668" s="16" t="s">
        <v>2185</v>
      </c>
      <c r="B668" s="16" t="s">
        <v>2253</v>
      </c>
      <c r="C668" t="e">
        <f t="shared" si="20"/>
        <v>#N/A</v>
      </c>
      <c r="L668" t="s">
        <v>381</v>
      </c>
      <c r="M668">
        <f t="shared" si="21"/>
        <v>255</v>
      </c>
    </row>
    <row r="669" spans="1:13" hidden="1" x14ac:dyDescent="0.25">
      <c r="A669" s="16" t="s">
        <v>2185</v>
      </c>
      <c r="B669" s="16" t="s">
        <v>2254</v>
      </c>
      <c r="C669" t="e">
        <f t="shared" si="20"/>
        <v>#N/A</v>
      </c>
      <c r="L669" t="s">
        <v>383</v>
      </c>
      <c r="M669">
        <f t="shared" si="21"/>
        <v>403</v>
      </c>
    </row>
    <row r="670" spans="1:13" hidden="1" x14ac:dyDescent="0.25">
      <c r="A670" s="16" t="s">
        <v>2185</v>
      </c>
      <c r="B670" s="16" t="s">
        <v>2255</v>
      </c>
      <c r="C670" t="e">
        <f t="shared" si="20"/>
        <v>#N/A</v>
      </c>
      <c r="L670" t="s">
        <v>385</v>
      </c>
      <c r="M670">
        <f t="shared" si="21"/>
        <v>256</v>
      </c>
    </row>
    <row r="671" spans="1:13" hidden="1" x14ac:dyDescent="0.25">
      <c r="A671" s="16" t="s">
        <v>2185</v>
      </c>
      <c r="B671" s="16" t="s">
        <v>2256</v>
      </c>
      <c r="C671" t="e">
        <f t="shared" si="20"/>
        <v>#N/A</v>
      </c>
      <c r="L671" t="s">
        <v>387</v>
      </c>
      <c r="M671">
        <f t="shared" si="21"/>
        <v>404</v>
      </c>
    </row>
    <row r="672" spans="1:13" hidden="1" x14ac:dyDescent="0.25">
      <c r="A672" s="16" t="s">
        <v>2185</v>
      </c>
      <c r="B672" s="16" t="s">
        <v>2257</v>
      </c>
      <c r="C672" t="e">
        <f t="shared" si="20"/>
        <v>#N/A</v>
      </c>
      <c r="L672" t="s">
        <v>389</v>
      </c>
      <c r="M672">
        <f t="shared" si="21"/>
        <v>257</v>
      </c>
    </row>
    <row r="673" spans="1:13" hidden="1" x14ac:dyDescent="0.25">
      <c r="A673" s="16" t="s">
        <v>2185</v>
      </c>
      <c r="B673" s="16" t="s">
        <v>2258</v>
      </c>
      <c r="C673" t="e">
        <f t="shared" si="20"/>
        <v>#N/A</v>
      </c>
      <c r="L673" t="s">
        <v>391</v>
      </c>
      <c r="M673">
        <f t="shared" si="21"/>
        <v>405</v>
      </c>
    </row>
    <row r="674" spans="1:13" hidden="1" x14ac:dyDescent="0.25">
      <c r="A674" s="16" t="s">
        <v>2185</v>
      </c>
      <c r="B674" s="16" t="s">
        <v>2259</v>
      </c>
      <c r="C674" t="e">
        <f t="shared" si="20"/>
        <v>#N/A</v>
      </c>
      <c r="L674" t="s">
        <v>393</v>
      </c>
      <c r="M674">
        <f t="shared" si="21"/>
        <v>258</v>
      </c>
    </row>
    <row r="675" spans="1:13" hidden="1" x14ac:dyDescent="0.25">
      <c r="A675" s="16" t="s">
        <v>2185</v>
      </c>
      <c r="B675" s="16" t="s">
        <v>2260</v>
      </c>
      <c r="C675" t="e">
        <f t="shared" si="20"/>
        <v>#N/A</v>
      </c>
      <c r="L675" t="s">
        <v>395</v>
      </c>
      <c r="M675">
        <f t="shared" si="21"/>
        <v>406</v>
      </c>
    </row>
    <row r="676" spans="1:13" hidden="1" x14ac:dyDescent="0.25">
      <c r="A676" s="16" t="s">
        <v>2185</v>
      </c>
      <c r="B676" s="16" t="s">
        <v>2261</v>
      </c>
      <c r="C676" t="e">
        <f t="shared" si="20"/>
        <v>#N/A</v>
      </c>
      <c r="L676" t="s">
        <v>397</v>
      </c>
      <c r="M676">
        <f t="shared" si="21"/>
        <v>259</v>
      </c>
    </row>
    <row r="677" spans="1:13" hidden="1" x14ac:dyDescent="0.25">
      <c r="A677" s="16" t="s">
        <v>2185</v>
      </c>
      <c r="B677" s="16" t="s">
        <v>2262</v>
      </c>
      <c r="C677" t="e">
        <f t="shared" si="20"/>
        <v>#N/A</v>
      </c>
      <c r="L677" t="s">
        <v>399</v>
      </c>
      <c r="M677">
        <f t="shared" si="21"/>
        <v>407</v>
      </c>
    </row>
    <row r="678" spans="1:13" hidden="1" x14ac:dyDescent="0.25">
      <c r="A678" s="16" t="s">
        <v>2185</v>
      </c>
      <c r="B678" s="16" t="s">
        <v>2263</v>
      </c>
      <c r="C678" t="e">
        <f t="shared" si="20"/>
        <v>#N/A</v>
      </c>
      <c r="L678" t="s">
        <v>401</v>
      </c>
      <c r="M678">
        <f t="shared" si="21"/>
        <v>260</v>
      </c>
    </row>
    <row r="679" spans="1:13" hidden="1" x14ac:dyDescent="0.25">
      <c r="A679" s="16" t="s">
        <v>2185</v>
      </c>
      <c r="B679" s="16" t="s">
        <v>2264</v>
      </c>
      <c r="C679" t="e">
        <f t="shared" si="20"/>
        <v>#N/A</v>
      </c>
      <c r="L679" t="s">
        <v>403</v>
      </c>
      <c r="M679">
        <f t="shared" si="21"/>
        <v>408</v>
      </c>
    </row>
    <row r="680" spans="1:13" hidden="1" x14ac:dyDescent="0.25">
      <c r="A680" s="16" t="s">
        <v>2185</v>
      </c>
      <c r="B680" s="16" t="s">
        <v>2265</v>
      </c>
      <c r="C680" t="e">
        <f t="shared" si="20"/>
        <v>#N/A</v>
      </c>
      <c r="L680" t="s">
        <v>405</v>
      </c>
      <c r="M680">
        <f t="shared" si="21"/>
        <v>261</v>
      </c>
    </row>
    <row r="681" spans="1:13" hidden="1" x14ac:dyDescent="0.25">
      <c r="A681" s="16" t="s">
        <v>2185</v>
      </c>
      <c r="B681" s="16" t="s">
        <v>2266</v>
      </c>
      <c r="C681" t="e">
        <f t="shared" si="20"/>
        <v>#N/A</v>
      </c>
      <c r="L681" t="s">
        <v>407</v>
      </c>
      <c r="M681">
        <f t="shared" si="21"/>
        <v>409</v>
      </c>
    </row>
    <row r="682" spans="1:13" hidden="1" x14ac:dyDescent="0.25">
      <c r="A682" s="16" t="s">
        <v>2185</v>
      </c>
      <c r="B682" s="16" t="s">
        <v>2267</v>
      </c>
      <c r="C682" t="e">
        <f t="shared" si="20"/>
        <v>#N/A</v>
      </c>
      <c r="L682" t="s">
        <v>409</v>
      </c>
      <c r="M682">
        <f t="shared" si="21"/>
        <v>262</v>
      </c>
    </row>
    <row r="683" spans="1:13" hidden="1" x14ac:dyDescent="0.25">
      <c r="A683" s="16" t="s">
        <v>2185</v>
      </c>
      <c r="B683" s="16" t="s">
        <v>2268</v>
      </c>
      <c r="C683" t="e">
        <f t="shared" si="20"/>
        <v>#N/A</v>
      </c>
      <c r="L683" t="s">
        <v>411</v>
      </c>
      <c r="M683">
        <f t="shared" si="21"/>
        <v>410</v>
      </c>
    </row>
    <row r="684" spans="1:13" hidden="1" x14ac:dyDescent="0.25">
      <c r="A684" s="16" t="s">
        <v>2185</v>
      </c>
      <c r="B684" s="16" t="s">
        <v>2269</v>
      </c>
      <c r="C684" t="e">
        <f t="shared" si="20"/>
        <v>#N/A</v>
      </c>
      <c r="L684" t="s">
        <v>413</v>
      </c>
      <c r="M684">
        <f t="shared" si="21"/>
        <v>263</v>
      </c>
    </row>
    <row r="685" spans="1:13" hidden="1" x14ac:dyDescent="0.25">
      <c r="A685" s="16" t="s">
        <v>2185</v>
      </c>
      <c r="B685" s="16" t="s">
        <v>2270</v>
      </c>
      <c r="C685" t="e">
        <f t="shared" si="20"/>
        <v>#N/A</v>
      </c>
      <c r="L685" t="s">
        <v>415</v>
      </c>
      <c r="M685">
        <f t="shared" si="21"/>
        <v>411</v>
      </c>
    </row>
    <row r="686" spans="1:13" hidden="1" x14ac:dyDescent="0.25">
      <c r="A686" s="16" t="s">
        <v>2185</v>
      </c>
      <c r="B686" s="16" t="s">
        <v>2271</v>
      </c>
      <c r="C686" t="e">
        <f t="shared" si="20"/>
        <v>#N/A</v>
      </c>
      <c r="L686" t="s">
        <v>417</v>
      </c>
      <c r="M686">
        <f t="shared" si="21"/>
        <v>264</v>
      </c>
    </row>
    <row r="687" spans="1:13" hidden="1" x14ac:dyDescent="0.25">
      <c r="A687" s="16" t="s">
        <v>2185</v>
      </c>
      <c r="B687" s="16" t="s">
        <v>2272</v>
      </c>
      <c r="C687" t="e">
        <f t="shared" si="20"/>
        <v>#N/A</v>
      </c>
      <c r="L687" t="s">
        <v>419</v>
      </c>
      <c r="M687">
        <f t="shared" si="21"/>
        <v>412</v>
      </c>
    </row>
    <row r="688" spans="1:13" hidden="1" x14ac:dyDescent="0.25">
      <c r="A688" s="16" t="s">
        <v>2185</v>
      </c>
      <c r="B688" s="16" t="s">
        <v>2273</v>
      </c>
      <c r="C688" t="e">
        <f t="shared" si="20"/>
        <v>#N/A</v>
      </c>
      <c r="L688" t="s">
        <v>421</v>
      </c>
      <c r="M688">
        <f t="shared" si="21"/>
        <v>265</v>
      </c>
    </row>
    <row r="689" spans="1:13" hidden="1" x14ac:dyDescent="0.25">
      <c r="A689" s="16" t="s">
        <v>2185</v>
      </c>
      <c r="B689" s="16" t="s">
        <v>2274</v>
      </c>
      <c r="C689" t="e">
        <f t="shared" si="20"/>
        <v>#N/A</v>
      </c>
      <c r="L689" t="s">
        <v>423</v>
      </c>
      <c r="M689">
        <f t="shared" si="21"/>
        <v>413</v>
      </c>
    </row>
    <row r="690" spans="1:13" hidden="1" x14ac:dyDescent="0.25">
      <c r="A690" s="16" t="s">
        <v>2185</v>
      </c>
      <c r="B690" s="16" t="s">
        <v>2275</v>
      </c>
      <c r="C690" t="e">
        <f t="shared" si="20"/>
        <v>#N/A</v>
      </c>
      <c r="L690" t="s">
        <v>425</v>
      </c>
      <c r="M690">
        <f t="shared" si="21"/>
        <v>266</v>
      </c>
    </row>
    <row r="691" spans="1:13" hidden="1" x14ac:dyDescent="0.25">
      <c r="A691" s="16" t="s">
        <v>2185</v>
      </c>
      <c r="B691" s="16" t="s">
        <v>2276</v>
      </c>
      <c r="C691" t="e">
        <f t="shared" si="20"/>
        <v>#N/A</v>
      </c>
      <c r="L691" t="s">
        <v>426</v>
      </c>
      <c r="M691">
        <f t="shared" si="21"/>
        <v>267</v>
      </c>
    </row>
    <row r="692" spans="1:13" hidden="1" x14ac:dyDescent="0.25">
      <c r="A692" s="16" t="s">
        <v>2185</v>
      </c>
      <c r="B692" s="16" t="s">
        <v>2277</v>
      </c>
      <c r="C692" t="e">
        <f t="shared" si="20"/>
        <v>#N/A</v>
      </c>
      <c r="L692" t="s">
        <v>427</v>
      </c>
      <c r="M692">
        <f t="shared" si="21"/>
        <v>268</v>
      </c>
    </row>
    <row r="693" spans="1:13" hidden="1" x14ac:dyDescent="0.25">
      <c r="A693" s="16" t="s">
        <v>2185</v>
      </c>
      <c r="B693" s="16" t="s">
        <v>2278</v>
      </c>
      <c r="C693" t="e">
        <f t="shared" si="20"/>
        <v>#N/A</v>
      </c>
      <c r="L693" t="s">
        <v>428</v>
      </c>
      <c r="M693">
        <f t="shared" si="21"/>
        <v>269</v>
      </c>
    </row>
    <row r="694" spans="1:13" hidden="1" x14ac:dyDescent="0.25">
      <c r="A694" s="16" t="s">
        <v>2185</v>
      </c>
      <c r="B694" s="16" t="s">
        <v>2279</v>
      </c>
      <c r="C694" t="e">
        <f t="shared" si="20"/>
        <v>#N/A</v>
      </c>
      <c r="L694" t="s">
        <v>2797</v>
      </c>
      <c r="M694">
        <f t="shared" si="21"/>
        <v>391</v>
      </c>
    </row>
    <row r="695" spans="1:13" hidden="1" x14ac:dyDescent="0.25">
      <c r="A695" s="16" t="s">
        <v>2185</v>
      </c>
      <c r="B695" s="16" t="s">
        <v>2280</v>
      </c>
      <c r="C695" t="e">
        <f t="shared" si="20"/>
        <v>#N/A</v>
      </c>
      <c r="L695" t="s">
        <v>2798</v>
      </c>
      <c r="M695">
        <f t="shared" si="21"/>
        <v>392</v>
      </c>
    </row>
    <row r="696" spans="1:13" hidden="1" x14ac:dyDescent="0.25">
      <c r="A696" s="16" t="s">
        <v>2185</v>
      </c>
      <c r="B696" s="16" t="s">
        <v>2281</v>
      </c>
      <c r="C696" t="e">
        <f t="shared" si="20"/>
        <v>#N/A</v>
      </c>
      <c r="L696" t="s">
        <v>2799</v>
      </c>
      <c r="M696">
        <f t="shared" si="21"/>
        <v>393</v>
      </c>
    </row>
    <row r="697" spans="1:13" hidden="1" x14ac:dyDescent="0.25">
      <c r="A697" s="16" t="s">
        <v>2185</v>
      </c>
      <c r="B697" s="16" t="s">
        <v>2282</v>
      </c>
      <c r="C697" t="e">
        <f t="shared" si="20"/>
        <v>#N/A</v>
      </c>
      <c r="L697" t="s">
        <v>2800</v>
      </c>
      <c r="M697">
        <f t="shared" si="21"/>
        <v>394</v>
      </c>
    </row>
    <row r="698" spans="1:13" hidden="1" x14ac:dyDescent="0.25">
      <c r="A698" s="16" t="s">
        <v>2185</v>
      </c>
      <c r="B698" s="16" t="s">
        <v>2283</v>
      </c>
      <c r="C698" t="e">
        <f t="shared" si="20"/>
        <v>#N/A</v>
      </c>
      <c r="L698" t="s">
        <v>433</v>
      </c>
      <c r="M698">
        <f t="shared" si="21"/>
        <v>54</v>
      </c>
    </row>
    <row r="699" spans="1:13" hidden="1" x14ac:dyDescent="0.25">
      <c r="A699" s="16" t="s">
        <v>2185</v>
      </c>
      <c r="B699" s="16" t="s">
        <v>2284</v>
      </c>
      <c r="C699" t="e">
        <f t="shared" si="20"/>
        <v>#N/A</v>
      </c>
      <c r="L699" t="s">
        <v>435</v>
      </c>
      <c r="M699">
        <f t="shared" si="21"/>
        <v>55</v>
      </c>
    </row>
    <row r="700" spans="1:13" hidden="1" x14ac:dyDescent="0.25">
      <c r="A700" s="16" t="s">
        <v>2185</v>
      </c>
      <c r="B700" s="16" t="s">
        <v>2285</v>
      </c>
      <c r="C700" t="e">
        <f t="shared" si="20"/>
        <v>#N/A</v>
      </c>
      <c r="L700" t="s">
        <v>436</v>
      </c>
      <c r="M700">
        <f t="shared" si="21"/>
        <v>56</v>
      </c>
    </row>
    <row r="701" spans="1:13" hidden="1" x14ac:dyDescent="0.25">
      <c r="A701" s="16" t="s">
        <v>2185</v>
      </c>
      <c r="B701" s="16" t="s">
        <v>2286</v>
      </c>
      <c r="C701" t="e">
        <f t="shared" si="20"/>
        <v>#N/A</v>
      </c>
      <c r="L701" t="s">
        <v>437</v>
      </c>
      <c r="M701">
        <f t="shared" si="21"/>
        <v>57</v>
      </c>
    </row>
    <row r="702" spans="1:13" hidden="1" x14ac:dyDescent="0.25">
      <c r="A702" s="16" t="s">
        <v>2185</v>
      </c>
      <c r="B702" s="16" t="s">
        <v>2287</v>
      </c>
      <c r="C702" t="e">
        <f t="shared" si="20"/>
        <v>#N/A</v>
      </c>
      <c r="L702" t="s">
        <v>438</v>
      </c>
      <c r="M702">
        <f t="shared" si="21"/>
        <v>273</v>
      </c>
    </row>
    <row r="703" spans="1:13" hidden="1" x14ac:dyDescent="0.25">
      <c r="A703" s="16" t="s">
        <v>2185</v>
      </c>
      <c r="B703" s="16" t="s">
        <v>2288</v>
      </c>
      <c r="C703" t="e">
        <f t="shared" si="20"/>
        <v>#N/A</v>
      </c>
      <c r="L703" t="s">
        <v>439</v>
      </c>
      <c r="M703">
        <f t="shared" si="21"/>
        <v>274</v>
      </c>
    </row>
    <row r="704" spans="1:13" hidden="1" x14ac:dyDescent="0.25">
      <c r="A704" s="16" t="s">
        <v>2185</v>
      </c>
      <c r="B704" s="16" t="s">
        <v>2289</v>
      </c>
      <c r="C704" t="e">
        <f t="shared" si="20"/>
        <v>#N/A</v>
      </c>
      <c r="L704" t="s">
        <v>440</v>
      </c>
      <c r="M704">
        <f t="shared" si="21"/>
        <v>275</v>
      </c>
    </row>
    <row r="705" spans="1:13" hidden="1" x14ac:dyDescent="0.25">
      <c r="A705" s="16" t="s">
        <v>2185</v>
      </c>
      <c r="B705" s="16" t="s">
        <v>2290</v>
      </c>
      <c r="C705" t="e">
        <f t="shared" si="20"/>
        <v>#N/A</v>
      </c>
      <c r="L705" t="s">
        <v>441</v>
      </c>
      <c r="M705">
        <f t="shared" si="21"/>
        <v>58</v>
      </c>
    </row>
    <row r="706" spans="1:13" hidden="1" x14ac:dyDescent="0.25">
      <c r="A706" s="16" t="s">
        <v>2185</v>
      </c>
      <c r="B706" s="16" t="s">
        <v>2291</v>
      </c>
      <c r="C706" t="e">
        <f t="shared" si="20"/>
        <v>#N/A</v>
      </c>
      <c r="L706" t="s">
        <v>442</v>
      </c>
      <c r="M706">
        <f t="shared" si="21"/>
        <v>276</v>
      </c>
    </row>
    <row r="707" spans="1:13" hidden="1" x14ac:dyDescent="0.25">
      <c r="A707" s="16" t="s">
        <v>2185</v>
      </c>
      <c r="B707" s="16" t="s">
        <v>2292</v>
      </c>
      <c r="C707" t="e">
        <f t="shared" ref="C707:C770" si="22">MATCH(B707,L:L,0)</f>
        <v>#N/A</v>
      </c>
      <c r="L707" t="s">
        <v>443</v>
      </c>
      <c r="M707">
        <f t="shared" ref="M707:M770" si="23">MATCH(L707,B:B,0)</f>
        <v>277</v>
      </c>
    </row>
    <row r="708" spans="1:13" hidden="1" x14ac:dyDescent="0.25">
      <c r="A708" s="16" t="s">
        <v>2185</v>
      </c>
      <c r="B708" s="16" t="s">
        <v>2293</v>
      </c>
      <c r="C708" t="e">
        <f t="shared" si="22"/>
        <v>#N/A</v>
      </c>
      <c r="L708" t="s">
        <v>444</v>
      </c>
      <c r="M708">
        <f t="shared" si="23"/>
        <v>278</v>
      </c>
    </row>
    <row r="709" spans="1:13" hidden="1" x14ac:dyDescent="0.25">
      <c r="A709" s="16" t="s">
        <v>2185</v>
      </c>
      <c r="B709" s="16" t="s">
        <v>2294</v>
      </c>
      <c r="C709" t="e">
        <f t="shared" si="22"/>
        <v>#N/A</v>
      </c>
      <c r="L709" t="s">
        <v>445</v>
      </c>
      <c r="M709">
        <f t="shared" si="23"/>
        <v>59</v>
      </c>
    </row>
    <row r="710" spans="1:13" hidden="1" x14ac:dyDescent="0.25">
      <c r="A710" s="16" t="s">
        <v>2185</v>
      </c>
      <c r="B710" s="16" t="s">
        <v>2295</v>
      </c>
      <c r="C710" t="e">
        <f t="shared" si="22"/>
        <v>#N/A</v>
      </c>
      <c r="L710" t="s">
        <v>447</v>
      </c>
      <c r="M710">
        <f t="shared" si="23"/>
        <v>60</v>
      </c>
    </row>
    <row r="711" spans="1:13" hidden="1" x14ac:dyDescent="0.25">
      <c r="A711" s="16" t="s">
        <v>2185</v>
      </c>
      <c r="B711" s="16" t="s">
        <v>2296</v>
      </c>
      <c r="C711" t="e">
        <f t="shared" si="22"/>
        <v>#N/A</v>
      </c>
      <c r="L711" t="s">
        <v>448</v>
      </c>
      <c r="M711">
        <f t="shared" si="23"/>
        <v>61</v>
      </c>
    </row>
    <row r="712" spans="1:13" hidden="1" x14ac:dyDescent="0.25">
      <c r="A712" s="16" t="s">
        <v>2185</v>
      </c>
      <c r="B712" s="16" t="s">
        <v>2297</v>
      </c>
      <c r="C712" t="e">
        <f t="shared" si="22"/>
        <v>#N/A</v>
      </c>
      <c r="L712" t="s">
        <v>449</v>
      </c>
      <c r="M712">
        <f t="shared" si="23"/>
        <v>62</v>
      </c>
    </row>
    <row r="713" spans="1:13" hidden="1" x14ac:dyDescent="0.25">
      <c r="A713" s="16" t="s">
        <v>2185</v>
      </c>
      <c r="B713" s="16" t="s">
        <v>2298</v>
      </c>
      <c r="C713" t="e">
        <f t="shared" si="22"/>
        <v>#N/A</v>
      </c>
      <c r="L713" t="s">
        <v>450</v>
      </c>
      <c r="M713">
        <f t="shared" si="23"/>
        <v>63</v>
      </c>
    </row>
    <row r="714" spans="1:13" hidden="1" x14ac:dyDescent="0.25">
      <c r="A714" s="16" t="s">
        <v>2185</v>
      </c>
      <c r="B714" s="16" t="s">
        <v>2299</v>
      </c>
      <c r="C714" t="e">
        <f t="shared" si="22"/>
        <v>#N/A</v>
      </c>
      <c r="L714" t="s">
        <v>451</v>
      </c>
      <c r="M714">
        <f t="shared" si="23"/>
        <v>64</v>
      </c>
    </row>
    <row r="715" spans="1:13" hidden="1" x14ac:dyDescent="0.25">
      <c r="A715" s="16" t="s">
        <v>2185</v>
      </c>
      <c r="B715" s="16" t="s">
        <v>2300</v>
      </c>
      <c r="C715" t="e">
        <f t="shared" si="22"/>
        <v>#N/A</v>
      </c>
      <c r="L715" t="s">
        <v>452</v>
      </c>
      <c r="M715">
        <f t="shared" si="23"/>
        <v>65</v>
      </c>
    </row>
    <row r="716" spans="1:13" hidden="1" x14ac:dyDescent="0.25">
      <c r="A716" s="16" t="s">
        <v>2185</v>
      </c>
      <c r="B716" s="16" t="s">
        <v>2301</v>
      </c>
      <c r="C716" t="e">
        <f t="shared" si="22"/>
        <v>#N/A</v>
      </c>
      <c r="L716" t="s">
        <v>453</v>
      </c>
      <c r="M716">
        <f t="shared" si="23"/>
        <v>66</v>
      </c>
    </row>
    <row r="717" spans="1:13" hidden="1" x14ac:dyDescent="0.25">
      <c r="A717" s="16" t="s">
        <v>2185</v>
      </c>
      <c r="B717" s="16" t="s">
        <v>2302</v>
      </c>
      <c r="C717" t="e">
        <f t="shared" si="22"/>
        <v>#N/A</v>
      </c>
      <c r="L717" t="s">
        <v>454</v>
      </c>
      <c r="M717">
        <f t="shared" si="23"/>
        <v>67</v>
      </c>
    </row>
    <row r="718" spans="1:13" hidden="1" x14ac:dyDescent="0.25">
      <c r="A718" s="16" t="s">
        <v>2185</v>
      </c>
      <c r="B718" s="16" t="s">
        <v>2303</v>
      </c>
      <c r="C718" t="e">
        <f t="shared" si="22"/>
        <v>#N/A</v>
      </c>
      <c r="L718" t="s">
        <v>455</v>
      </c>
      <c r="M718">
        <f t="shared" si="23"/>
        <v>68</v>
      </c>
    </row>
    <row r="719" spans="1:13" hidden="1" x14ac:dyDescent="0.25">
      <c r="A719" s="16" t="s">
        <v>2185</v>
      </c>
      <c r="B719" s="16" t="s">
        <v>2304</v>
      </c>
      <c r="C719" t="e">
        <f t="shared" si="22"/>
        <v>#N/A</v>
      </c>
      <c r="L719" t="s">
        <v>456</v>
      </c>
      <c r="M719">
        <f t="shared" si="23"/>
        <v>69</v>
      </c>
    </row>
    <row r="720" spans="1:13" hidden="1" x14ac:dyDescent="0.25">
      <c r="A720" s="16" t="s">
        <v>2185</v>
      </c>
      <c r="B720" s="16" t="s">
        <v>2305</v>
      </c>
      <c r="C720" t="e">
        <f t="shared" si="22"/>
        <v>#N/A</v>
      </c>
      <c r="L720" t="s">
        <v>457</v>
      </c>
      <c r="M720">
        <f t="shared" si="23"/>
        <v>70</v>
      </c>
    </row>
    <row r="721" spans="1:13" hidden="1" x14ac:dyDescent="0.25">
      <c r="A721" s="16" t="s">
        <v>2185</v>
      </c>
      <c r="B721" s="16" t="s">
        <v>2306</v>
      </c>
      <c r="C721" t="e">
        <f t="shared" si="22"/>
        <v>#N/A</v>
      </c>
      <c r="L721" t="s">
        <v>458</v>
      </c>
      <c r="M721">
        <f t="shared" si="23"/>
        <v>71</v>
      </c>
    </row>
    <row r="722" spans="1:13" hidden="1" x14ac:dyDescent="0.25">
      <c r="A722" s="16" t="s">
        <v>2185</v>
      </c>
      <c r="B722" s="16" t="s">
        <v>2307</v>
      </c>
      <c r="C722" t="e">
        <f t="shared" si="22"/>
        <v>#N/A</v>
      </c>
      <c r="L722" t="s">
        <v>459</v>
      </c>
      <c r="M722">
        <f t="shared" si="23"/>
        <v>72</v>
      </c>
    </row>
    <row r="723" spans="1:13" hidden="1" x14ac:dyDescent="0.25">
      <c r="A723" s="16" t="s">
        <v>2185</v>
      </c>
      <c r="B723" s="16" t="s">
        <v>2308</v>
      </c>
      <c r="C723" t="e">
        <f t="shared" si="22"/>
        <v>#N/A</v>
      </c>
      <c r="L723" t="s">
        <v>460</v>
      </c>
      <c r="M723">
        <f t="shared" si="23"/>
        <v>73</v>
      </c>
    </row>
    <row r="724" spans="1:13" hidden="1" x14ac:dyDescent="0.25">
      <c r="A724" s="16" t="s">
        <v>2185</v>
      </c>
      <c r="B724" s="16" t="s">
        <v>2309</v>
      </c>
      <c r="C724" t="e">
        <f t="shared" si="22"/>
        <v>#N/A</v>
      </c>
      <c r="L724" t="s">
        <v>461</v>
      </c>
      <c r="M724">
        <f t="shared" si="23"/>
        <v>74</v>
      </c>
    </row>
    <row r="725" spans="1:13" hidden="1" x14ac:dyDescent="0.25">
      <c r="A725" s="16" t="s">
        <v>2185</v>
      </c>
      <c r="B725" s="16" t="s">
        <v>2310</v>
      </c>
      <c r="C725" t="e">
        <f t="shared" si="22"/>
        <v>#N/A</v>
      </c>
      <c r="L725" t="s">
        <v>462</v>
      </c>
      <c r="M725">
        <f t="shared" si="23"/>
        <v>75</v>
      </c>
    </row>
    <row r="726" spans="1:13" hidden="1" x14ac:dyDescent="0.25">
      <c r="A726" s="16" t="s">
        <v>2185</v>
      </c>
      <c r="B726" s="16" t="s">
        <v>2311</v>
      </c>
      <c r="C726" t="e">
        <f t="shared" si="22"/>
        <v>#N/A</v>
      </c>
      <c r="L726" t="s">
        <v>463</v>
      </c>
      <c r="M726">
        <f t="shared" si="23"/>
        <v>76</v>
      </c>
    </row>
    <row r="727" spans="1:13" hidden="1" x14ac:dyDescent="0.25">
      <c r="A727" s="16" t="s">
        <v>2185</v>
      </c>
      <c r="B727" s="16" t="s">
        <v>2312</v>
      </c>
      <c r="C727" t="e">
        <f t="shared" si="22"/>
        <v>#N/A</v>
      </c>
      <c r="L727" t="s">
        <v>464</v>
      </c>
      <c r="M727">
        <f t="shared" si="23"/>
        <v>77</v>
      </c>
    </row>
    <row r="728" spans="1:13" hidden="1" x14ac:dyDescent="0.25">
      <c r="A728" s="16" t="s">
        <v>2185</v>
      </c>
      <c r="B728" s="16" t="s">
        <v>2313</v>
      </c>
      <c r="C728" t="e">
        <f t="shared" si="22"/>
        <v>#N/A</v>
      </c>
      <c r="L728" t="s">
        <v>465</v>
      </c>
      <c r="M728">
        <f t="shared" si="23"/>
        <v>78</v>
      </c>
    </row>
    <row r="729" spans="1:13" hidden="1" x14ac:dyDescent="0.25">
      <c r="A729" s="16" t="s">
        <v>2185</v>
      </c>
      <c r="B729" s="16" t="s">
        <v>2314</v>
      </c>
      <c r="C729" t="e">
        <f t="shared" si="22"/>
        <v>#N/A</v>
      </c>
      <c r="L729" t="s">
        <v>466</v>
      </c>
      <c r="M729">
        <f t="shared" si="23"/>
        <v>79</v>
      </c>
    </row>
    <row r="730" spans="1:13" hidden="1" x14ac:dyDescent="0.25">
      <c r="A730" s="16" t="s">
        <v>2185</v>
      </c>
      <c r="B730" s="16" t="s">
        <v>2315</v>
      </c>
      <c r="C730" t="e">
        <f t="shared" si="22"/>
        <v>#N/A</v>
      </c>
      <c r="L730" t="s">
        <v>467</v>
      </c>
      <c r="M730">
        <f t="shared" si="23"/>
        <v>80</v>
      </c>
    </row>
    <row r="731" spans="1:13" hidden="1" x14ac:dyDescent="0.25">
      <c r="A731" s="16" t="s">
        <v>2185</v>
      </c>
      <c r="B731" s="16" t="s">
        <v>2316</v>
      </c>
      <c r="C731" t="e">
        <f t="shared" si="22"/>
        <v>#N/A</v>
      </c>
      <c r="L731" t="s">
        <v>468</v>
      </c>
      <c r="M731">
        <f t="shared" si="23"/>
        <v>81</v>
      </c>
    </row>
    <row r="732" spans="1:13" hidden="1" x14ac:dyDescent="0.25">
      <c r="A732" s="16" t="s">
        <v>2185</v>
      </c>
      <c r="B732" s="16" t="s">
        <v>2317</v>
      </c>
      <c r="C732" t="e">
        <f t="shared" si="22"/>
        <v>#N/A</v>
      </c>
      <c r="L732" t="s">
        <v>469</v>
      </c>
      <c r="M732">
        <f t="shared" si="23"/>
        <v>82</v>
      </c>
    </row>
    <row r="733" spans="1:13" hidden="1" x14ac:dyDescent="0.25">
      <c r="A733" s="16" t="s">
        <v>2185</v>
      </c>
      <c r="B733" s="16" t="s">
        <v>2318</v>
      </c>
      <c r="C733" t="e">
        <f t="shared" si="22"/>
        <v>#N/A</v>
      </c>
      <c r="L733" t="s">
        <v>470</v>
      </c>
      <c r="M733">
        <f t="shared" si="23"/>
        <v>83</v>
      </c>
    </row>
    <row r="734" spans="1:13" hidden="1" x14ac:dyDescent="0.25">
      <c r="A734" s="16" t="s">
        <v>2185</v>
      </c>
      <c r="B734" s="16" t="s">
        <v>2319</v>
      </c>
      <c r="C734" t="e">
        <f t="shared" si="22"/>
        <v>#N/A</v>
      </c>
      <c r="L734" t="s">
        <v>471</v>
      </c>
      <c r="M734">
        <f t="shared" si="23"/>
        <v>84</v>
      </c>
    </row>
    <row r="735" spans="1:13" hidden="1" x14ac:dyDescent="0.25">
      <c r="A735" s="16" t="s">
        <v>2185</v>
      </c>
      <c r="B735" s="16" t="s">
        <v>2320</v>
      </c>
      <c r="C735" t="e">
        <f t="shared" si="22"/>
        <v>#N/A</v>
      </c>
      <c r="L735" t="s">
        <v>472</v>
      </c>
      <c r="M735">
        <f t="shared" si="23"/>
        <v>85</v>
      </c>
    </row>
    <row r="736" spans="1:13" hidden="1" x14ac:dyDescent="0.25">
      <c r="A736" s="16" t="s">
        <v>2185</v>
      </c>
      <c r="B736" s="16" t="s">
        <v>2321</v>
      </c>
      <c r="C736" t="e">
        <f t="shared" si="22"/>
        <v>#N/A</v>
      </c>
      <c r="L736" t="s">
        <v>473</v>
      </c>
      <c r="M736">
        <f t="shared" si="23"/>
        <v>86</v>
      </c>
    </row>
    <row r="737" spans="1:13" hidden="1" x14ac:dyDescent="0.25">
      <c r="A737" s="16" t="s">
        <v>2185</v>
      </c>
      <c r="B737" s="16" t="s">
        <v>2322</v>
      </c>
      <c r="C737" t="e">
        <f t="shared" si="22"/>
        <v>#N/A</v>
      </c>
      <c r="L737" t="s">
        <v>474</v>
      </c>
      <c r="M737">
        <f t="shared" si="23"/>
        <v>87</v>
      </c>
    </row>
    <row r="738" spans="1:13" hidden="1" x14ac:dyDescent="0.25">
      <c r="A738" s="16" t="s">
        <v>2185</v>
      </c>
      <c r="B738" s="16" t="s">
        <v>2323</v>
      </c>
      <c r="C738" t="e">
        <f t="shared" si="22"/>
        <v>#N/A</v>
      </c>
      <c r="L738" t="s">
        <v>475</v>
      </c>
      <c r="M738">
        <f t="shared" si="23"/>
        <v>88</v>
      </c>
    </row>
    <row r="739" spans="1:13" hidden="1" x14ac:dyDescent="0.25">
      <c r="A739" s="16" t="s">
        <v>2185</v>
      </c>
      <c r="B739" s="16" t="s">
        <v>2324</v>
      </c>
      <c r="C739" t="e">
        <f t="shared" si="22"/>
        <v>#N/A</v>
      </c>
      <c r="L739" t="s">
        <v>476</v>
      </c>
      <c r="M739">
        <f t="shared" si="23"/>
        <v>89</v>
      </c>
    </row>
    <row r="740" spans="1:13" hidden="1" x14ac:dyDescent="0.25">
      <c r="A740" s="16" t="s">
        <v>2185</v>
      </c>
      <c r="B740" s="16" t="s">
        <v>2325</v>
      </c>
      <c r="C740" t="e">
        <f t="shared" si="22"/>
        <v>#N/A</v>
      </c>
      <c r="L740" t="s">
        <v>477</v>
      </c>
      <c r="M740">
        <f t="shared" si="23"/>
        <v>90</v>
      </c>
    </row>
    <row r="741" spans="1:13" hidden="1" x14ac:dyDescent="0.25">
      <c r="A741" s="16" t="s">
        <v>2185</v>
      </c>
      <c r="B741" s="16" t="s">
        <v>2326</v>
      </c>
      <c r="C741" t="e">
        <f t="shared" si="22"/>
        <v>#N/A</v>
      </c>
      <c r="L741" t="s">
        <v>478</v>
      </c>
      <c r="M741">
        <f t="shared" si="23"/>
        <v>91</v>
      </c>
    </row>
    <row r="742" spans="1:13" hidden="1" x14ac:dyDescent="0.25">
      <c r="A742" s="16" t="s">
        <v>2185</v>
      </c>
      <c r="B742" s="16" t="s">
        <v>2327</v>
      </c>
      <c r="C742" t="e">
        <f t="shared" si="22"/>
        <v>#N/A</v>
      </c>
      <c r="L742" t="s">
        <v>479</v>
      </c>
      <c r="M742">
        <f t="shared" si="23"/>
        <v>92</v>
      </c>
    </row>
    <row r="743" spans="1:13" hidden="1" x14ac:dyDescent="0.25">
      <c r="A743" s="16" t="s">
        <v>2185</v>
      </c>
      <c r="B743" s="16" t="s">
        <v>2328</v>
      </c>
      <c r="C743" t="e">
        <f t="shared" si="22"/>
        <v>#N/A</v>
      </c>
      <c r="L743" t="s">
        <v>480</v>
      </c>
      <c r="M743">
        <f t="shared" si="23"/>
        <v>93</v>
      </c>
    </row>
    <row r="744" spans="1:13" hidden="1" x14ac:dyDescent="0.25">
      <c r="A744" s="16" t="s">
        <v>2185</v>
      </c>
      <c r="B744" s="16" t="s">
        <v>2329</v>
      </c>
      <c r="C744" t="e">
        <f t="shared" si="22"/>
        <v>#N/A</v>
      </c>
      <c r="L744" t="s">
        <v>481</v>
      </c>
      <c r="M744">
        <f t="shared" si="23"/>
        <v>94</v>
      </c>
    </row>
    <row r="745" spans="1:13" hidden="1" x14ac:dyDescent="0.25">
      <c r="A745" s="16" t="s">
        <v>2185</v>
      </c>
      <c r="B745" s="16" t="s">
        <v>2330</v>
      </c>
      <c r="C745" t="e">
        <f t="shared" si="22"/>
        <v>#N/A</v>
      </c>
      <c r="L745" t="s">
        <v>482</v>
      </c>
      <c r="M745">
        <f t="shared" si="23"/>
        <v>95</v>
      </c>
    </row>
    <row r="746" spans="1:13" hidden="1" x14ac:dyDescent="0.25">
      <c r="A746" s="16" t="s">
        <v>2185</v>
      </c>
      <c r="B746" s="16" t="s">
        <v>2331</v>
      </c>
      <c r="C746" t="e">
        <f t="shared" si="22"/>
        <v>#N/A</v>
      </c>
      <c r="L746" t="s">
        <v>483</v>
      </c>
      <c r="M746">
        <f t="shared" si="23"/>
        <v>96</v>
      </c>
    </row>
    <row r="747" spans="1:13" hidden="1" x14ac:dyDescent="0.25">
      <c r="A747" s="16" t="s">
        <v>2185</v>
      </c>
      <c r="B747" s="16" t="s">
        <v>2332</v>
      </c>
      <c r="C747" t="e">
        <f t="shared" si="22"/>
        <v>#N/A</v>
      </c>
      <c r="L747" t="s">
        <v>484</v>
      </c>
      <c r="M747">
        <f t="shared" si="23"/>
        <v>97</v>
      </c>
    </row>
    <row r="748" spans="1:13" hidden="1" x14ac:dyDescent="0.25">
      <c r="A748" s="16" t="s">
        <v>2185</v>
      </c>
      <c r="B748" s="16" t="s">
        <v>2333</v>
      </c>
      <c r="C748" t="e">
        <f t="shared" si="22"/>
        <v>#N/A</v>
      </c>
      <c r="L748" t="s">
        <v>485</v>
      </c>
      <c r="M748">
        <f t="shared" si="23"/>
        <v>98</v>
      </c>
    </row>
    <row r="749" spans="1:13" hidden="1" x14ac:dyDescent="0.25">
      <c r="A749" s="16" t="s">
        <v>2185</v>
      </c>
      <c r="B749" s="16" t="s">
        <v>2334</v>
      </c>
      <c r="C749" t="e">
        <f t="shared" si="22"/>
        <v>#N/A</v>
      </c>
      <c r="L749" t="s">
        <v>486</v>
      </c>
      <c r="M749">
        <f t="shared" si="23"/>
        <v>99</v>
      </c>
    </row>
    <row r="750" spans="1:13" hidden="1" x14ac:dyDescent="0.25">
      <c r="A750" s="16" t="s">
        <v>2185</v>
      </c>
      <c r="B750" s="16" t="s">
        <v>2335</v>
      </c>
      <c r="C750" t="e">
        <f t="shared" si="22"/>
        <v>#N/A</v>
      </c>
      <c r="L750" t="s">
        <v>487</v>
      </c>
      <c r="M750">
        <f t="shared" si="23"/>
        <v>100</v>
      </c>
    </row>
    <row r="751" spans="1:13" hidden="1" x14ac:dyDescent="0.25">
      <c r="A751" s="16" t="s">
        <v>2185</v>
      </c>
      <c r="B751" s="16" t="s">
        <v>2336</v>
      </c>
      <c r="C751" t="e">
        <f t="shared" si="22"/>
        <v>#N/A</v>
      </c>
      <c r="L751" t="s">
        <v>488</v>
      </c>
      <c r="M751">
        <f t="shared" si="23"/>
        <v>101</v>
      </c>
    </row>
    <row r="752" spans="1:13" hidden="1" x14ac:dyDescent="0.25">
      <c r="A752" s="16" t="s">
        <v>2185</v>
      </c>
      <c r="B752" s="16" t="s">
        <v>2337</v>
      </c>
      <c r="C752" t="e">
        <f t="shared" si="22"/>
        <v>#N/A</v>
      </c>
      <c r="L752" t="s">
        <v>489</v>
      </c>
      <c r="M752">
        <f t="shared" si="23"/>
        <v>102</v>
      </c>
    </row>
    <row r="753" spans="1:13" hidden="1" x14ac:dyDescent="0.25">
      <c r="A753" s="16" t="s">
        <v>2185</v>
      </c>
      <c r="B753" s="16" t="s">
        <v>2338</v>
      </c>
      <c r="C753" t="e">
        <f t="shared" si="22"/>
        <v>#N/A</v>
      </c>
      <c r="L753" t="s">
        <v>490</v>
      </c>
      <c r="M753">
        <f t="shared" si="23"/>
        <v>103</v>
      </c>
    </row>
    <row r="754" spans="1:13" hidden="1" x14ac:dyDescent="0.25">
      <c r="A754" s="16" t="s">
        <v>2185</v>
      </c>
      <c r="B754" s="16" t="s">
        <v>2339</v>
      </c>
      <c r="C754" t="e">
        <f t="shared" si="22"/>
        <v>#N/A</v>
      </c>
      <c r="L754" t="s">
        <v>491</v>
      </c>
      <c r="M754">
        <f t="shared" si="23"/>
        <v>104</v>
      </c>
    </row>
    <row r="755" spans="1:13" hidden="1" x14ac:dyDescent="0.25">
      <c r="A755" s="16" t="s">
        <v>2185</v>
      </c>
      <c r="B755" s="16" t="s">
        <v>2340</v>
      </c>
      <c r="C755">
        <f t="shared" si="22"/>
        <v>2</v>
      </c>
      <c r="L755" t="s">
        <v>492</v>
      </c>
      <c r="M755">
        <f t="shared" si="23"/>
        <v>105</v>
      </c>
    </row>
    <row r="756" spans="1:13" hidden="1" x14ac:dyDescent="0.25">
      <c r="A756" s="16" t="s">
        <v>2185</v>
      </c>
      <c r="B756" s="16" t="s">
        <v>2341</v>
      </c>
      <c r="C756">
        <f t="shared" si="22"/>
        <v>3</v>
      </c>
      <c r="L756" t="s">
        <v>493</v>
      </c>
      <c r="M756">
        <f t="shared" si="23"/>
        <v>106</v>
      </c>
    </row>
    <row r="757" spans="1:13" hidden="1" x14ac:dyDescent="0.25">
      <c r="A757" s="16" t="s">
        <v>2185</v>
      </c>
      <c r="B757" s="16" t="s">
        <v>2342</v>
      </c>
      <c r="C757">
        <f t="shared" si="22"/>
        <v>4</v>
      </c>
      <c r="L757" t="s">
        <v>494</v>
      </c>
      <c r="M757">
        <f t="shared" si="23"/>
        <v>107</v>
      </c>
    </row>
    <row r="758" spans="1:13" hidden="1" x14ac:dyDescent="0.25">
      <c r="A758" s="16" t="s">
        <v>2185</v>
      </c>
      <c r="B758" s="16" t="s">
        <v>2343</v>
      </c>
      <c r="C758">
        <f t="shared" si="22"/>
        <v>5</v>
      </c>
      <c r="L758" t="s">
        <v>495</v>
      </c>
      <c r="M758">
        <f t="shared" si="23"/>
        <v>108</v>
      </c>
    </row>
    <row r="759" spans="1:13" hidden="1" x14ac:dyDescent="0.25">
      <c r="A759" s="16" t="s">
        <v>2185</v>
      </c>
      <c r="B759" s="16" t="s">
        <v>2344</v>
      </c>
      <c r="C759">
        <f t="shared" si="22"/>
        <v>6</v>
      </c>
      <c r="L759" t="s">
        <v>496</v>
      </c>
      <c r="M759">
        <f t="shared" si="23"/>
        <v>109</v>
      </c>
    </row>
    <row r="760" spans="1:13" hidden="1" x14ac:dyDescent="0.25">
      <c r="A760" s="16" t="s">
        <v>2185</v>
      </c>
      <c r="B760" s="16" t="s">
        <v>2345</v>
      </c>
      <c r="C760">
        <f t="shared" si="22"/>
        <v>7</v>
      </c>
      <c r="L760" t="s">
        <v>497</v>
      </c>
      <c r="M760">
        <f t="shared" si="23"/>
        <v>110</v>
      </c>
    </row>
    <row r="761" spans="1:13" hidden="1" x14ac:dyDescent="0.25">
      <c r="A761" s="16" t="s">
        <v>2185</v>
      </c>
      <c r="B761" s="16" t="s">
        <v>2346</v>
      </c>
      <c r="C761">
        <f t="shared" si="22"/>
        <v>8</v>
      </c>
      <c r="L761" t="s">
        <v>498</v>
      </c>
      <c r="M761">
        <f t="shared" si="23"/>
        <v>111</v>
      </c>
    </row>
    <row r="762" spans="1:13" hidden="1" x14ac:dyDescent="0.25">
      <c r="A762" s="16" t="s">
        <v>2185</v>
      </c>
      <c r="B762" s="16" t="s">
        <v>2347</v>
      </c>
      <c r="C762">
        <f t="shared" si="22"/>
        <v>9</v>
      </c>
      <c r="L762" t="s">
        <v>499</v>
      </c>
      <c r="M762">
        <f t="shared" si="23"/>
        <v>112</v>
      </c>
    </row>
    <row r="763" spans="1:13" hidden="1" x14ac:dyDescent="0.25">
      <c r="A763" s="16" t="s">
        <v>2185</v>
      </c>
      <c r="B763" s="16" t="s">
        <v>2348</v>
      </c>
      <c r="C763">
        <f t="shared" si="22"/>
        <v>10</v>
      </c>
      <c r="L763" t="s">
        <v>500</v>
      </c>
      <c r="M763">
        <f t="shared" si="23"/>
        <v>113</v>
      </c>
    </row>
    <row r="764" spans="1:13" hidden="1" x14ac:dyDescent="0.25">
      <c r="A764" s="16" t="s">
        <v>2185</v>
      </c>
      <c r="B764" s="16" t="s">
        <v>2349</v>
      </c>
      <c r="C764">
        <f t="shared" si="22"/>
        <v>11</v>
      </c>
      <c r="L764" t="s">
        <v>501</v>
      </c>
      <c r="M764">
        <f t="shared" si="23"/>
        <v>114</v>
      </c>
    </row>
    <row r="765" spans="1:13" hidden="1" x14ac:dyDescent="0.25">
      <c r="A765" s="16" t="s">
        <v>2185</v>
      </c>
      <c r="B765" s="16" t="s">
        <v>2350</v>
      </c>
      <c r="C765">
        <f t="shared" si="22"/>
        <v>12</v>
      </c>
      <c r="L765" t="s">
        <v>502</v>
      </c>
      <c r="M765">
        <f t="shared" si="23"/>
        <v>115</v>
      </c>
    </row>
    <row r="766" spans="1:13" hidden="1" x14ac:dyDescent="0.25">
      <c r="A766" s="16" t="s">
        <v>2185</v>
      </c>
      <c r="B766" s="16" t="s">
        <v>2351</v>
      </c>
      <c r="C766">
        <f t="shared" si="22"/>
        <v>13</v>
      </c>
      <c r="L766" t="s">
        <v>503</v>
      </c>
      <c r="M766">
        <f t="shared" si="23"/>
        <v>116</v>
      </c>
    </row>
    <row r="767" spans="1:13" hidden="1" x14ac:dyDescent="0.25">
      <c r="A767" s="16" t="s">
        <v>2185</v>
      </c>
      <c r="B767" s="16" t="s">
        <v>2352</v>
      </c>
      <c r="C767">
        <f t="shared" si="22"/>
        <v>14</v>
      </c>
      <c r="L767" t="s">
        <v>504</v>
      </c>
      <c r="M767">
        <f t="shared" si="23"/>
        <v>117</v>
      </c>
    </row>
    <row r="768" spans="1:13" hidden="1" x14ac:dyDescent="0.25">
      <c r="A768" s="16" t="s">
        <v>2185</v>
      </c>
      <c r="B768" s="16" t="s">
        <v>2353</v>
      </c>
      <c r="C768">
        <f t="shared" si="22"/>
        <v>15</v>
      </c>
      <c r="L768" t="s">
        <v>505</v>
      </c>
      <c r="M768">
        <f t="shared" si="23"/>
        <v>118</v>
      </c>
    </row>
    <row r="769" spans="1:13" hidden="1" x14ac:dyDescent="0.25">
      <c r="A769" s="16" t="s">
        <v>2185</v>
      </c>
      <c r="B769" s="16" t="s">
        <v>2354</v>
      </c>
      <c r="C769">
        <f t="shared" si="22"/>
        <v>16</v>
      </c>
      <c r="L769" t="s">
        <v>506</v>
      </c>
      <c r="M769">
        <f t="shared" si="23"/>
        <v>119</v>
      </c>
    </row>
    <row r="770" spans="1:13" hidden="1" x14ac:dyDescent="0.25">
      <c r="A770" s="16" t="s">
        <v>2185</v>
      </c>
      <c r="B770" s="16" t="s">
        <v>2355</v>
      </c>
      <c r="C770">
        <f t="shared" si="22"/>
        <v>17</v>
      </c>
      <c r="L770" t="s">
        <v>507</v>
      </c>
      <c r="M770">
        <f t="shared" si="23"/>
        <v>120</v>
      </c>
    </row>
    <row r="771" spans="1:13" hidden="1" x14ac:dyDescent="0.25">
      <c r="A771" s="16" t="s">
        <v>2185</v>
      </c>
      <c r="B771" s="16" t="s">
        <v>2356</v>
      </c>
      <c r="C771">
        <f t="shared" ref="C771:C834" si="24">MATCH(B771,L:L,0)</f>
        <v>18</v>
      </c>
      <c r="L771" t="s">
        <v>508</v>
      </c>
      <c r="M771">
        <f t="shared" ref="M771:M834" si="25">MATCH(L771,B:B,0)</f>
        <v>121</v>
      </c>
    </row>
    <row r="772" spans="1:13" hidden="1" x14ac:dyDescent="0.25">
      <c r="A772" s="16" t="s">
        <v>2185</v>
      </c>
      <c r="B772" s="16" t="s">
        <v>2357</v>
      </c>
      <c r="C772">
        <f t="shared" si="24"/>
        <v>19</v>
      </c>
      <c r="L772" t="s">
        <v>509</v>
      </c>
      <c r="M772">
        <f t="shared" si="25"/>
        <v>122</v>
      </c>
    </row>
    <row r="773" spans="1:13" hidden="1" x14ac:dyDescent="0.25">
      <c r="A773" s="16" t="s">
        <v>2185</v>
      </c>
      <c r="B773" s="16" t="s">
        <v>2358</v>
      </c>
      <c r="C773">
        <f t="shared" si="24"/>
        <v>20</v>
      </c>
      <c r="L773" t="s">
        <v>510</v>
      </c>
      <c r="M773">
        <f t="shared" si="25"/>
        <v>123</v>
      </c>
    </row>
    <row r="774" spans="1:13" hidden="1" x14ac:dyDescent="0.25">
      <c r="A774" s="16" t="s">
        <v>2185</v>
      </c>
      <c r="B774" s="16" t="s">
        <v>2359</v>
      </c>
      <c r="C774">
        <f t="shared" si="24"/>
        <v>21</v>
      </c>
      <c r="L774" t="s">
        <v>511</v>
      </c>
      <c r="M774">
        <f t="shared" si="25"/>
        <v>124</v>
      </c>
    </row>
    <row r="775" spans="1:13" hidden="1" x14ac:dyDescent="0.25">
      <c r="A775" s="16" t="s">
        <v>2185</v>
      </c>
      <c r="B775" s="16" t="s">
        <v>2360</v>
      </c>
      <c r="C775">
        <f t="shared" si="24"/>
        <v>22</v>
      </c>
      <c r="L775" t="s">
        <v>512</v>
      </c>
      <c r="M775">
        <f t="shared" si="25"/>
        <v>125</v>
      </c>
    </row>
    <row r="776" spans="1:13" hidden="1" x14ac:dyDescent="0.25">
      <c r="A776" s="16" t="s">
        <v>2185</v>
      </c>
      <c r="B776" s="16" t="s">
        <v>2361</v>
      </c>
      <c r="C776">
        <f t="shared" si="24"/>
        <v>23</v>
      </c>
      <c r="L776" t="s">
        <v>513</v>
      </c>
      <c r="M776">
        <f t="shared" si="25"/>
        <v>126</v>
      </c>
    </row>
    <row r="777" spans="1:13" hidden="1" x14ac:dyDescent="0.25">
      <c r="A777" s="16" t="s">
        <v>2185</v>
      </c>
      <c r="B777" s="16" t="s">
        <v>2362</v>
      </c>
      <c r="C777">
        <f t="shared" si="24"/>
        <v>24</v>
      </c>
      <c r="L777" t="s">
        <v>514</v>
      </c>
      <c r="M777">
        <f t="shared" si="25"/>
        <v>127</v>
      </c>
    </row>
    <row r="778" spans="1:13" hidden="1" x14ac:dyDescent="0.25">
      <c r="A778" s="16" t="s">
        <v>2185</v>
      </c>
      <c r="B778" s="16" t="s">
        <v>2363</v>
      </c>
      <c r="C778">
        <f t="shared" si="24"/>
        <v>25</v>
      </c>
      <c r="L778" t="s">
        <v>516</v>
      </c>
      <c r="M778">
        <f t="shared" si="25"/>
        <v>128</v>
      </c>
    </row>
    <row r="779" spans="1:13" hidden="1" x14ac:dyDescent="0.25">
      <c r="A779" s="16" t="s">
        <v>2185</v>
      </c>
      <c r="B779" s="16" t="s">
        <v>2364</v>
      </c>
      <c r="C779">
        <f t="shared" si="24"/>
        <v>26</v>
      </c>
      <c r="L779" t="s">
        <v>517</v>
      </c>
      <c r="M779">
        <f t="shared" si="25"/>
        <v>129</v>
      </c>
    </row>
    <row r="780" spans="1:13" hidden="1" x14ac:dyDescent="0.25">
      <c r="A780" s="16" t="s">
        <v>2185</v>
      </c>
      <c r="B780" s="16" t="s">
        <v>2365</v>
      </c>
      <c r="C780">
        <f t="shared" si="24"/>
        <v>27</v>
      </c>
      <c r="L780" t="s">
        <v>518</v>
      </c>
      <c r="M780">
        <f t="shared" si="25"/>
        <v>130</v>
      </c>
    </row>
    <row r="781" spans="1:13" hidden="1" x14ac:dyDescent="0.25">
      <c r="A781" s="16" t="s">
        <v>2185</v>
      </c>
      <c r="B781" s="16" t="s">
        <v>2366</v>
      </c>
      <c r="C781">
        <f t="shared" si="24"/>
        <v>28</v>
      </c>
      <c r="L781" t="s">
        <v>519</v>
      </c>
      <c r="M781">
        <f t="shared" si="25"/>
        <v>131</v>
      </c>
    </row>
    <row r="782" spans="1:13" hidden="1" x14ac:dyDescent="0.25">
      <c r="A782" s="16" t="s">
        <v>2185</v>
      </c>
      <c r="B782" s="16" t="s">
        <v>2367</v>
      </c>
      <c r="C782">
        <f t="shared" si="24"/>
        <v>29</v>
      </c>
      <c r="L782" t="s">
        <v>520</v>
      </c>
      <c r="M782">
        <f t="shared" si="25"/>
        <v>132</v>
      </c>
    </row>
    <row r="783" spans="1:13" hidden="1" x14ac:dyDescent="0.25">
      <c r="A783" s="16" t="s">
        <v>2185</v>
      </c>
      <c r="B783" s="16" t="s">
        <v>2368</v>
      </c>
      <c r="C783">
        <f t="shared" si="24"/>
        <v>30</v>
      </c>
      <c r="L783" t="s">
        <v>521</v>
      </c>
      <c r="M783">
        <f t="shared" si="25"/>
        <v>133</v>
      </c>
    </row>
    <row r="784" spans="1:13" hidden="1" x14ac:dyDescent="0.25">
      <c r="A784" s="16" t="s">
        <v>2185</v>
      </c>
      <c r="B784" s="16" t="s">
        <v>2369</v>
      </c>
      <c r="C784">
        <f t="shared" si="24"/>
        <v>31</v>
      </c>
      <c r="L784" t="s">
        <v>522</v>
      </c>
      <c r="M784">
        <f t="shared" si="25"/>
        <v>134</v>
      </c>
    </row>
    <row r="785" spans="1:13" hidden="1" x14ac:dyDescent="0.25">
      <c r="A785" s="16" t="s">
        <v>2185</v>
      </c>
      <c r="B785" s="16" t="s">
        <v>2370</v>
      </c>
      <c r="C785">
        <f t="shared" si="24"/>
        <v>32</v>
      </c>
      <c r="L785" t="s">
        <v>523</v>
      </c>
      <c r="M785">
        <f t="shared" si="25"/>
        <v>135</v>
      </c>
    </row>
    <row r="786" spans="1:13" hidden="1" x14ac:dyDescent="0.25">
      <c r="A786" s="16" t="s">
        <v>2185</v>
      </c>
      <c r="B786" s="16" t="s">
        <v>2371</v>
      </c>
      <c r="C786">
        <f t="shared" si="24"/>
        <v>33</v>
      </c>
      <c r="L786" t="s">
        <v>524</v>
      </c>
      <c r="M786">
        <f t="shared" si="25"/>
        <v>136</v>
      </c>
    </row>
    <row r="787" spans="1:13" hidden="1" x14ac:dyDescent="0.25">
      <c r="A787" s="16" t="s">
        <v>2185</v>
      </c>
      <c r="B787" s="16" t="s">
        <v>2372</v>
      </c>
      <c r="C787">
        <f t="shared" si="24"/>
        <v>34</v>
      </c>
      <c r="L787" t="s">
        <v>525</v>
      </c>
      <c r="M787">
        <f t="shared" si="25"/>
        <v>137</v>
      </c>
    </row>
    <row r="788" spans="1:13" hidden="1" x14ac:dyDescent="0.25">
      <c r="A788" s="16" t="s">
        <v>2185</v>
      </c>
      <c r="B788" s="16" t="s">
        <v>2373</v>
      </c>
      <c r="C788" t="e">
        <f t="shared" si="24"/>
        <v>#N/A</v>
      </c>
      <c r="L788" t="s">
        <v>526</v>
      </c>
      <c r="M788">
        <f t="shared" si="25"/>
        <v>138</v>
      </c>
    </row>
    <row r="789" spans="1:13" hidden="1" x14ac:dyDescent="0.25">
      <c r="A789" s="16" t="s">
        <v>2185</v>
      </c>
      <c r="B789" s="16" t="s">
        <v>2374</v>
      </c>
      <c r="C789" t="e">
        <f t="shared" si="24"/>
        <v>#N/A</v>
      </c>
      <c r="L789" t="s">
        <v>527</v>
      </c>
      <c r="M789">
        <f t="shared" si="25"/>
        <v>139</v>
      </c>
    </row>
    <row r="790" spans="1:13" hidden="1" x14ac:dyDescent="0.25">
      <c r="A790" s="16" t="s">
        <v>2185</v>
      </c>
      <c r="B790" s="16" t="s">
        <v>2375</v>
      </c>
      <c r="C790" t="e">
        <f t="shared" si="24"/>
        <v>#N/A</v>
      </c>
      <c r="L790" t="s">
        <v>528</v>
      </c>
      <c r="M790">
        <f t="shared" si="25"/>
        <v>140</v>
      </c>
    </row>
    <row r="791" spans="1:13" hidden="1" x14ac:dyDescent="0.25">
      <c r="A791" s="16" t="s">
        <v>2185</v>
      </c>
      <c r="B791" s="16" t="s">
        <v>2376</v>
      </c>
      <c r="C791" t="e">
        <f t="shared" si="24"/>
        <v>#N/A</v>
      </c>
      <c r="L791" t="s">
        <v>529</v>
      </c>
      <c r="M791">
        <f t="shared" si="25"/>
        <v>141</v>
      </c>
    </row>
    <row r="792" spans="1:13" hidden="1" x14ac:dyDescent="0.25">
      <c r="A792" s="16" t="s">
        <v>2185</v>
      </c>
      <c r="B792" s="16" t="s">
        <v>2377</v>
      </c>
      <c r="C792" t="e">
        <f t="shared" si="24"/>
        <v>#N/A</v>
      </c>
      <c r="L792" t="s">
        <v>530</v>
      </c>
      <c r="M792">
        <f t="shared" si="25"/>
        <v>142</v>
      </c>
    </row>
    <row r="793" spans="1:13" hidden="1" x14ac:dyDescent="0.25">
      <c r="A793" s="16" t="s">
        <v>2185</v>
      </c>
      <c r="B793" s="16" t="s">
        <v>2378</v>
      </c>
      <c r="C793" t="e">
        <f t="shared" si="24"/>
        <v>#N/A</v>
      </c>
      <c r="L793" t="s">
        <v>531</v>
      </c>
      <c r="M793">
        <f t="shared" si="25"/>
        <v>143</v>
      </c>
    </row>
    <row r="794" spans="1:13" hidden="1" x14ac:dyDescent="0.25">
      <c r="A794" s="16" t="s">
        <v>2185</v>
      </c>
      <c r="B794" s="16" t="s">
        <v>2379</v>
      </c>
      <c r="C794" t="e">
        <f t="shared" si="24"/>
        <v>#N/A</v>
      </c>
      <c r="L794" t="s">
        <v>532</v>
      </c>
      <c r="M794">
        <f t="shared" si="25"/>
        <v>144</v>
      </c>
    </row>
    <row r="795" spans="1:13" hidden="1" x14ac:dyDescent="0.25">
      <c r="A795" s="16" t="s">
        <v>2185</v>
      </c>
      <c r="B795" s="16" t="s">
        <v>2380</v>
      </c>
      <c r="C795" t="e">
        <f t="shared" si="24"/>
        <v>#N/A</v>
      </c>
      <c r="L795" t="s">
        <v>533</v>
      </c>
      <c r="M795">
        <f t="shared" si="25"/>
        <v>145</v>
      </c>
    </row>
    <row r="796" spans="1:13" hidden="1" x14ac:dyDescent="0.25">
      <c r="A796" s="16" t="s">
        <v>2185</v>
      </c>
      <c r="B796" s="16" t="s">
        <v>2381</v>
      </c>
      <c r="C796" t="e">
        <f t="shared" si="24"/>
        <v>#N/A</v>
      </c>
      <c r="L796" t="s">
        <v>534</v>
      </c>
      <c r="M796">
        <f t="shared" si="25"/>
        <v>146</v>
      </c>
    </row>
    <row r="797" spans="1:13" hidden="1" x14ac:dyDescent="0.25">
      <c r="A797" s="16" t="s">
        <v>2185</v>
      </c>
      <c r="B797" s="16" t="s">
        <v>2382</v>
      </c>
      <c r="C797" t="e">
        <f t="shared" si="24"/>
        <v>#N/A</v>
      </c>
      <c r="L797" t="s">
        <v>535</v>
      </c>
      <c r="M797">
        <f t="shared" si="25"/>
        <v>147</v>
      </c>
    </row>
    <row r="798" spans="1:13" hidden="1" x14ac:dyDescent="0.25">
      <c r="A798" s="16" t="s">
        <v>2185</v>
      </c>
      <c r="B798" s="16" t="s">
        <v>2383</v>
      </c>
      <c r="C798">
        <f t="shared" si="24"/>
        <v>36</v>
      </c>
      <c r="L798" t="s">
        <v>536</v>
      </c>
      <c r="M798">
        <f t="shared" si="25"/>
        <v>148</v>
      </c>
    </row>
    <row r="799" spans="1:13" hidden="1" x14ac:dyDescent="0.25">
      <c r="A799" s="16" t="s">
        <v>2185</v>
      </c>
      <c r="B799" s="16" t="s">
        <v>2384</v>
      </c>
      <c r="C799">
        <f t="shared" si="24"/>
        <v>42</v>
      </c>
      <c r="L799" t="s">
        <v>538</v>
      </c>
      <c r="M799">
        <f t="shared" si="25"/>
        <v>149</v>
      </c>
    </row>
    <row r="800" spans="1:13" hidden="1" x14ac:dyDescent="0.25">
      <c r="A800" s="16" t="s">
        <v>2185</v>
      </c>
      <c r="B800" s="16" t="s">
        <v>2385</v>
      </c>
      <c r="C800">
        <f t="shared" si="24"/>
        <v>43</v>
      </c>
      <c r="L800" t="s">
        <v>539</v>
      </c>
      <c r="M800">
        <f t="shared" si="25"/>
        <v>150</v>
      </c>
    </row>
    <row r="801" spans="1:13" hidden="1" x14ac:dyDescent="0.25">
      <c r="A801" s="16" t="s">
        <v>2185</v>
      </c>
      <c r="B801" s="16" t="s">
        <v>2386</v>
      </c>
      <c r="C801">
        <f t="shared" si="24"/>
        <v>44</v>
      </c>
      <c r="L801" t="s">
        <v>540</v>
      </c>
      <c r="M801">
        <f t="shared" si="25"/>
        <v>151</v>
      </c>
    </row>
    <row r="802" spans="1:13" hidden="1" x14ac:dyDescent="0.25">
      <c r="A802" s="16" t="s">
        <v>2185</v>
      </c>
      <c r="B802" s="16" t="s">
        <v>2387</v>
      </c>
      <c r="C802">
        <f t="shared" si="24"/>
        <v>45</v>
      </c>
      <c r="L802" t="s">
        <v>541</v>
      </c>
      <c r="M802">
        <f t="shared" si="25"/>
        <v>152</v>
      </c>
    </row>
    <row r="803" spans="1:13" hidden="1" x14ac:dyDescent="0.25">
      <c r="A803" s="16" t="s">
        <v>2185</v>
      </c>
      <c r="B803" s="16" t="s">
        <v>2388</v>
      </c>
      <c r="C803">
        <f t="shared" si="24"/>
        <v>46</v>
      </c>
      <c r="L803" t="s">
        <v>542</v>
      </c>
      <c r="M803">
        <f t="shared" si="25"/>
        <v>153</v>
      </c>
    </row>
    <row r="804" spans="1:13" hidden="1" x14ac:dyDescent="0.25">
      <c r="A804" s="16" t="s">
        <v>2185</v>
      </c>
      <c r="B804" s="16" t="s">
        <v>2389</v>
      </c>
      <c r="C804">
        <f t="shared" si="24"/>
        <v>47</v>
      </c>
      <c r="L804" t="s">
        <v>543</v>
      </c>
      <c r="M804">
        <f t="shared" si="25"/>
        <v>154</v>
      </c>
    </row>
    <row r="805" spans="1:13" hidden="1" x14ac:dyDescent="0.25">
      <c r="A805" s="16" t="s">
        <v>2185</v>
      </c>
      <c r="B805" s="16" t="s">
        <v>2390</v>
      </c>
      <c r="C805">
        <f t="shared" si="24"/>
        <v>48</v>
      </c>
      <c r="L805" t="s">
        <v>544</v>
      </c>
      <c r="M805">
        <f t="shared" si="25"/>
        <v>155</v>
      </c>
    </row>
    <row r="806" spans="1:13" hidden="1" x14ac:dyDescent="0.25">
      <c r="A806" s="16" t="s">
        <v>2185</v>
      </c>
      <c r="B806" s="16" t="s">
        <v>2391</v>
      </c>
      <c r="C806">
        <f t="shared" si="24"/>
        <v>49</v>
      </c>
      <c r="L806" t="s">
        <v>545</v>
      </c>
      <c r="M806">
        <f t="shared" si="25"/>
        <v>156</v>
      </c>
    </row>
    <row r="807" spans="1:13" hidden="1" x14ac:dyDescent="0.25">
      <c r="A807" s="16" t="s">
        <v>2185</v>
      </c>
      <c r="B807" s="16" t="s">
        <v>2392</v>
      </c>
      <c r="C807">
        <f t="shared" si="24"/>
        <v>50</v>
      </c>
      <c r="L807" t="s">
        <v>547</v>
      </c>
      <c r="M807">
        <f t="shared" si="25"/>
        <v>157</v>
      </c>
    </row>
    <row r="808" spans="1:13" hidden="1" x14ac:dyDescent="0.25">
      <c r="A808" s="16" t="s">
        <v>2185</v>
      </c>
      <c r="B808" s="16" t="s">
        <v>2393</v>
      </c>
      <c r="C808">
        <f t="shared" si="24"/>
        <v>51</v>
      </c>
      <c r="L808" t="s">
        <v>548</v>
      </c>
      <c r="M808">
        <f t="shared" si="25"/>
        <v>158</v>
      </c>
    </row>
    <row r="809" spans="1:13" hidden="1" x14ac:dyDescent="0.25">
      <c r="A809" s="16" t="s">
        <v>2185</v>
      </c>
      <c r="B809" s="16" t="s">
        <v>2394</v>
      </c>
      <c r="C809">
        <f t="shared" si="24"/>
        <v>52</v>
      </c>
      <c r="L809" t="s">
        <v>549</v>
      </c>
      <c r="M809">
        <f t="shared" si="25"/>
        <v>159</v>
      </c>
    </row>
    <row r="810" spans="1:13" hidden="1" x14ac:dyDescent="0.25">
      <c r="A810" s="16" t="s">
        <v>2185</v>
      </c>
      <c r="B810" s="16" t="s">
        <v>2395</v>
      </c>
      <c r="C810">
        <f t="shared" si="24"/>
        <v>53</v>
      </c>
      <c r="L810" t="s">
        <v>550</v>
      </c>
      <c r="M810">
        <f t="shared" si="25"/>
        <v>160</v>
      </c>
    </row>
    <row r="811" spans="1:13" hidden="1" x14ac:dyDescent="0.25">
      <c r="A811" s="16" t="s">
        <v>2185</v>
      </c>
      <c r="B811" s="16" t="s">
        <v>2396</v>
      </c>
      <c r="C811">
        <f t="shared" si="24"/>
        <v>54</v>
      </c>
      <c r="L811" t="s">
        <v>552</v>
      </c>
      <c r="M811">
        <f t="shared" si="25"/>
        <v>161</v>
      </c>
    </row>
    <row r="812" spans="1:13" hidden="1" x14ac:dyDescent="0.25">
      <c r="A812" s="16" t="s">
        <v>2185</v>
      </c>
      <c r="B812" s="16" t="s">
        <v>2397</v>
      </c>
      <c r="C812">
        <f t="shared" si="24"/>
        <v>55</v>
      </c>
      <c r="L812" t="s">
        <v>553</v>
      </c>
      <c r="M812">
        <f t="shared" si="25"/>
        <v>162</v>
      </c>
    </row>
    <row r="813" spans="1:13" hidden="1" x14ac:dyDescent="0.25">
      <c r="A813" s="16" t="s">
        <v>2185</v>
      </c>
      <c r="B813" s="16" t="s">
        <v>2398</v>
      </c>
      <c r="C813" t="e">
        <f t="shared" si="24"/>
        <v>#N/A</v>
      </c>
      <c r="L813" t="s">
        <v>554</v>
      </c>
      <c r="M813">
        <f t="shared" si="25"/>
        <v>163</v>
      </c>
    </row>
    <row r="814" spans="1:13" hidden="1" x14ac:dyDescent="0.25">
      <c r="A814" s="16" t="s">
        <v>2185</v>
      </c>
      <c r="B814" s="16" t="s">
        <v>2399</v>
      </c>
      <c r="C814" t="e">
        <f t="shared" si="24"/>
        <v>#N/A</v>
      </c>
      <c r="L814" t="s">
        <v>555</v>
      </c>
      <c r="M814">
        <f t="shared" si="25"/>
        <v>164</v>
      </c>
    </row>
    <row r="815" spans="1:13" hidden="1" x14ac:dyDescent="0.25">
      <c r="A815" s="16" t="s">
        <v>2185</v>
      </c>
      <c r="B815" s="16" t="s">
        <v>2400</v>
      </c>
      <c r="C815" t="e">
        <f t="shared" si="24"/>
        <v>#N/A</v>
      </c>
      <c r="L815" t="s">
        <v>556</v>
      </c>
      <c r="M815">
        <f t="shared" si="25"/>
        <v>165</v>
      </c>
    </row>
    <row r="816" spans="1:13" hidden="1" x14ac:dyDescent="0.25">
      <c r="A816" s="16" t="s">
        <v>2185</v>
      </c>
      <c r="B816" s="16" t="s">
        <v>2401</v>
      </c>
      <c r="C816" t="e">
        <f t="shared" si="24"/>
        <v>#N/A</v>
      </c>
      <c r="L816" t="s">
        <v>557</v>
      </c>
      <c r="M816">
        <f t="shared" si="25"/>
        <v>166</v>
      </c>
    </row>
    <row r="817" spans="1:13" hidden="1" x14ac:dyDescent="0.25">
      <c r="A817" s="16" t="s">
        <v>2185</v>
      </c>
      <c r="B817" s="16" t="s">
        <v>2402</v>
      </c>
      <c r="C817">
        <f t="shared" si="24"/>
        <v>57</v>
      </c>
      <c r="L817" t="s">
        <v>558</v>
      </c>
      <c r="M817">
        <f t="shared" si="25"/>
        <v>167</v>
      </c>
    </row>
    <row r="818" spans="1:13" hidden="1" x14ac:dyDescent="0.25">
      <c r="A818" s="16" t="s">
        <v>2185</v>
      </c>
      <c r="B818" s="16" t="s">
        <v>2403</v>
      </c>
      <c r="C818">
        <f t="shared" si="24"/>
        <v>58</v>
      </c>
      <c r="L818" t="s">
        <v>559</v>
      </c>
      <c r="M818">
        <f t="shared" si="25"/>
        <v>168</v>
      </c>
    </row>
    <row r="819" spans="1:13" hidden="1" x14ac:dyDescent="0.25">
      <c r="A819" s="16" t="s">
        <v>2185</v>
      </c>
      <c r="B819" s="16" t="s">
        <v>2404</v>
      </c>
      <c r="C819">
        <f t="shared" si="24"/>
        <v>59</v>
      </c>
      <c r="L819" t="s">
        <v>560</v>
      </c>
      <c r="M819">
        <f t="shared" si="25"/>
        <v>169</v>
      </c>
    </row>
    <row r="820" spans="1:13" hidden="1" x14ac:dyDescent="0.25">
      <c r="A820" s="16" t="s">
        <v>2185</v>
      </c>
      <c r="B820" s="16" t="s">
        <v>2405</v>
      </c>
      <c r="C820">
        <f t="shared" si="24"/>
        <v>60</v>
      </c>
      <c r="L820" t="s">
        <v>561</v>
      </c>
      <c r="M820">
        <f t="shared" si="25"/>
        <v>170</v>
      </c>
    </row>
    <row r="821" spans="1:13" hidden="1" x14ac:dyDescent="0.25">
      <c r="A821" s="16" t="s">
        <v>2185</v>
      </c>
      <c r="B821" s="16" t="s">
        <v>2406</v>
      </c>
      <c r="C821">
        <f t="shared" si="24"/>
        <v>61</v>
      </c>
      <c r="L821" t="s">
        <v>562</v>
      </c>
      <c r="M821">
        <f t="shared" si="25"/>
        <v>171</v>
      </c>
    </row>
    <row r="822" spans="1:13" hidden="1" x14ac:dyDescent="0.25">
      <c r="A822" s="16" t="s">
        <v>2185</v>
      </c>
      <c r="B822" s="16" t="s">
        <v>2407</v>
      </c>
      <c r="C822">
        <f t="shared" si="24"/>
        <v>62</v>
      </c>
      <c r="L822" t="s">
        <v>563</v>
      </c>
      <c r="M822">
        <f t="shared" si="25"/>
        <v>172</v>
      </c>
    </row>
    <row r="823" spans="1:13" hidden="1" x14ac:dyDescent="0.25">
      <c r="A823" s="16" t="s">
        <v>2185</v>
      </c>
      <c r="B823" s="16" t="s">
        <v>2408</v>
      </c>
      <c r="C823">
        <f t="shared" si="24"/>
        <v>63</v>
      </c>
      <c r="L823" t="s">
        <v>564</v>
      </c>
      <c r="M823">
        <f t="shared" si="25"/>
        <v>173</v>
      </c>
    </row>
    <row r="824" spans="1:13" hidden="1" x14ac:dyDescent="0.25">
      <c r="A824" s="16" t="s">
        <v>2185</v>
      </c>
      <c r="B824" s="16" t="s">
        <v>2409</v>
      </c>
      <c r="C824">
        <f t="shared" si="24"/>
        <v>64</v>
      </c>
      <c r="L824" t="s">
        <v>565</v>
      </c>
      <c r="M824">
        <f t="shared" si="25"/>
        <v>174</v>
      </c>
    </row>
    <row r="825" spans="1:13" hidden="1" x14ac:dyDescent="0.25">
      <c r="A825" s="16" t="s">
        <v>2185</v>
      </c>
      <c r="B825" s="16" t="s">
        <v>2410</v>
      </c>
      <c r="C825">
        <f t="shared" si="24"/>
        <v>65</v>
      </c>
      <c r="L825" t="s">
        <v>566</v>
      </c>
      <c r="M825">
        <f t="shared" si="25"/>
        <v>175</v>
      </c>
    </row>
    <row r="826" spans="1:13" hidden="1" x14ac:dyDescent="0.25">
      <c r="A826" s="16" t="s">
        <v>2185</v>
      </c>
      <c r="B826" s="16" t="s">
        <v>2411</v>
      </c>
      <c r="C826">
        <f t="shared" si="24"/>
        <v>66</v>
      </c>
      <c r="L826" t="s">
        <v>567</v>
      </c>
      <c r="M826">
        <f t="shared" si="25"/>
        <v>176</v>
      </c>
    </row>
    <row r="827" spans="1:13" hidden="1" x14ac:dyDescent="0.25">
      <c r="A827" s="16" t="s">
        <v>2185</v>
      </c>
      <c r="B827" s="16" t="s">
        <v>2412</v>
      </c>
      <c r="C827">
        <f t="shared" si="24"/>
        <v>67</v>
      </c>
      <c r="L827" t="s">
        <v>568</v>
      </c>
      <c r="M827">
        <f t="shared" si="25"/>
        <v>177</v>
      </c>
    </row>
    <row r="828" spans="1:13" hidden="1" x14ac:dyDescent="0.25">
      <c r="A828" s="16" t="s">
        <v>2185</v>
      </c>
      <c r="B828" s="16" t="s">
        <v>2413</v>
      </c>
      <c r="C828">
        <f t="shared" si="24"/>
        <v>68</v>
      </c>
      <c r="L828" t="s">
        <v>569</v>
      </c>
      <c r="M828">
        <f t="shared" si="25"/>
        <v>178</v>
      </c>
    </row>
    <row r="829" spans="1:13" hidden="1" x14ac:dyDescent="0.25">
      <c r="A829" s="16" t="s">
        <v>2185</v>
      </c>
      <c r="B829" s="16" t="s">
        <v>2414</v>
      </c>
      <c r="C829">
        <f t="shared" si="24"/>
        <v>69</v>
      </c>
      <c r="L829" t="s">
        <v>570</v>
      </c>
      <c r="M829">
        <f t="shared" si="25"/>
        <v>179</v>
      </c>
    </row>
    <row r="830" spans="1:13" hidden="1" x14ac:dyDescent="0.25">
      <c r="A830" s="16" t="s">
        <v>2185</v>
      </c>
      <c r="B830" s="16" t="s">
        <v>2415</v>
      </c>
      <c r="C830">
        <f t="shared" si="24"/>
        <v>70</v>
      </c>
      <c r="L830" t="s">
        <v>571</v>
      </c>
      <c r="M830">
        <f t="shared" si="25"/>
        <v>180</v>
      </c>
    </row>
    <row r="831" spans="1:13" hidden="1" x14ac:dyDescent="0.25">
      <c r="A831" s="16" t="s">
        <v>2185</v>
      </c>
      <c r="B831" s="16" t="s">
        <v>2416</v>
      </c>
      <c r="C831">
        <f t="shared" si="24"/>
        <v>71</v>
      </c>
      <c r="L831" t="s">
        <v>572</v>
      </c>
      <c r="M831">
        <f t="shared" si="25"/>
        <v>181</v>
      </c>
    </row>
    <row r="832" spans="1:13" hidden="1" x14ac:dyDescent="0.25">
      <c r="A832" s="16" t="s">
        <v>2185</v>
      </c>
      <c r="B832" s="16" t="s">
        <v>2417</v>
      </c>
      <c r="C832">
        <f t="shared" si="24"/>
        <v>72</v>
      </c>
      <c r="L832" t="s">
        <v>573</v>
      </c>
      <c r="M832">
        <f t="shared" si="25"/>
        <v>182</v>
      </c>
    </row>
    <row r="833" spans="1:13" hidden="1" x14ac:dyDescent="0.25">
      <c r="A833" s="16" t="s">
        <v>2185</v>
      </c>
      <c r="B833" s="16" t="s">
        <v>2418</v>
      </c>
      <c r="C833">
        <f t="shared" si="24"/>
        <v>73</v>
      </c>
      <c r="L833" t="s">
        <v>574</v>
      </c>
      <c r="M833">
        <f t="shared" si="25"/>
        <v>279</v>
      </c>
    </row>
    <row r="834" spans="1:13" hidden="1" x14ac:dyDescent="0.25">
      <c r="A834" s="16" t="s">
        <v>2185</v>
      </c>
      <c r="B834" s="16" t="s">
        <v>2419</v>
      </c>
      <c r="C834">
        <f t="shared" si="24"/>
        <v>74</v>
      </c>
      <c r="L834" t="s">
        <v>575</v>
      </c>
      <c r="M834">
        <f t="shared" si="25"/>
        <v>280</v>
      </c>
    </row>
    <row r="835" spans="1:13" hidden="1" x14ac:dyDescent="0.25">
      <c r="A835" s="16" t="s">
        <v>2185</v>
      </c>
      <c r="B835" s="16" t="s">
        <v>2420</v>
      </c>
      <c r="C835">
        <f t="shared" ref="C835:C898" si="26">MATCH(B835,L:L,0)</f>
        <v>75</v>
      </c>
      <c r="L835" t="s">
        <v>576</v>
      </c>
      <c r="M835">
        <f t="shared" ref="M835:M898" si="27">MATCH(L835,B:B,0)</f>
        <v>281</v>
      </c>
    </row>
    <row r="836" spans="1:13" hidden="1" x14ac:dyDescent="0.25">
      <c r="A836" s="16" t="s">
        <v>2185</v>
      </c>
      <c r="B836" s="16" t="s">
        <v>2421</v>
      </c>
      <c r="C836">
        <f t="shared" si="26"/>
        <v>76</v>
      </c>
      <c r="L836" t="s">
        <v>577</v>
      </c>
      <c r="M836">
        <f t="shared" si="27"/>
        <v>282</v>
      </c>
    </row>
    <row r="837" spans="1:13" hidden="1" x14ac:dyDescent="0.25">
      <c r="A837" s="16" t="s">
        <v>2185</v>
      </c>
      <c r="B837" s="16" t="s">
        <v>2422</v>
      </c>
      <c r="C837">
        <f t="shared" si="26"/>
        <v>77</v>
      </c>
      <c r="L837" t="s">
        <v>578</v>
      </c>
      <c r="M837">
        <f t="shared" si="27"/>
        <v>283</v>
      </c>
    </row>
    <row r="838" spans="1:13" hidden="1" x14ac:dyDescent="0.25">
      <c r="A838" s="16" t="s">
        <v>2185</v>
      </c>
      <c r="B838" s="16" t="s">
        <v>2423</v>
      </c>
      <c r="C838">
        <f t="shared" si="26"/>
        <v>78</v>
      </c>
      <c r="L838" t="s">
        <v>579</v>
      </c>
      <c r="M838">
        <f t="shared" si="27"/>
        <v>284</v>
      </c>
    </row>
    <row r="839" spans="1:13" hidden="1" x14ac:dyDescent="0.25">
      <c r="A839" s="16" t="s">
        <v>2185</v>
      </c>
      <c r="B839" s="16" t="s">
        <v>2424</v>
      </c>
      <c r="C839">
        <f t="shared" si="26"/>
        <v>79</v>
      </c>
      <c r="L839" t="s">
        <v>580</v>
      </c>
      <c r="M839">
        <f t="shared" si="27"/>
        <v>285</v>
      </c>
    </row>
    <row r="840" spans="1:13" hidden="1" x14ac:dyDescent="0.25">
      <c r="A840" s="16" t="s">
        <v>2185</v>
      </c>
      <c r="B840" s="16" t="s">
        <v>2425</v>
      </c>
      <c r="C840">
        <f t="shared" si="26"/>
        <v>80</v>
      </c>
      <c r="L840" t="s">
        <v>581</v>
      </c>
      <c r="M840">
        <f t="shared" si="27"/>
        <v>286</v>
      </c>
    </row>
    <row r="841" spans="1:13" hidden="1" x14ac:dyDescent="0.25">
      <c r="A841" s="16" t="s">
        <v>2185</v>
      </c>
      <c r="B841" s="16" t="s">
        <v>2426</v>
      </c>
      <c r="C841">
        <f t="shared" si="26"/>
        <v>81</v>
      </c>
      <c r="L841" t="s">
        <v>582</v>
      </c>
      <c r="M841">
        <f t="shared" si="27"/>
        <v>287</v>
      </c>
    </row>
    <row r="842" spans="1:13" hidden="1" x14ac:dyDescent="0.25">
      <c r="A842" s="16" t="s">
        <v>2185</v>
      </c>
      <c r="B842" s="16" t="s">
        <v>2427</v>
      </c>
      <c r="C842">
        <f t="shared" si="26"/>
        <v>82</v>
      </c>
      <c r="L842" t="s">
        <v>583</v>
      </c>
      <c r="M842">
        <f t="shared" si="27"/>
        <v>288</v>
      </c>
    </row>
    <row r="843" spans="1:13" hidden="1" x14ac:dyDescent="0.25">
      <c r="A843" s="16" t="s">
        <v>2185</v>
      </c>
      <c r="B843" s="16" t="s">
        <v>2428</v>
      </c>
      <c r="C843">
        <f t="shared" si="26"/>
        <v>83</v>
      </c>
      <c r="L843" t="s">
        <v>584</v>
      </c>
      <c r="M843">
        <f t="shared" si="27"/>
        <v>289</v>
      </c>
    </row>
    <row r="844" spans="1:13" hidden="1" x14ac:dyDescent="0.25">
      <c r="A844" s="16" t="s">
        <v>2185</v>
      </c>
      <c r="B844" s="16" t="s">
        <v>2429</v>
      </c>
      <c r="C844">
        <f t="shared" si="26"/>
        <v>84</v>
      </c>
      <c r="L844" t="s">
        <v>585</v>
      </c>
      <c r="M844">
        <f t="shared" si="27"/>
        <v>290</v>
      </c>
    </row>
    <row r="845" spans="1:13" hidden="1" x14ac:dyDescent="0.25">
      <c r="A845" s="16" t="s">
        <v>2185</v>
      </c>
      <c r="B845" s="16" t="s">
        <v>2430</v>
      </c>
      <c r="C845">
        <f t="shared" si="26"/>
        <v>85</v>
      </c>
      <c r="L845" t="s">
        <v>586</v>
      </c>
      <c r="M845">
        <f t="shared" si="27"/>
        <v>291</v>
      </c>
    </row>
    <row r="846" spans="1:13" hidden="1" x14ac:dyDescent="0.25">
      <c r="A846" s="16" t="s">
        <v>2185</v>
      </c>
      <c r="B846" s="16" t="s">
        <v>2431</v>
      </c>
      <c r="C846">
        <f t="shared" si="26"/>
        <v>86</v>
      </c>
      <c r="L846" t="s">
        <v>587</v>
      </c>
      <c r="M846">
        <f t="shared" si="27"/>
        <v>292</v>
      </c>
    </row>
    <row r="847" spans="1:13" hidden="1" x14ac:dyDescent="0.25">
      <c r="A847" s="16" t="s">
        <v>2185</v>
      </c>
      <c r="B847" s="16" t="s">
        <v>2432</v>
      </c>
      <c r="C847">
        <f t="shared" si="26"/>
        <v>87</v>
      </c>
      <c r="L847" t="s">
        <v>588</v>
      </c>
      <c r="M847">
        <f t="shared" si="27"/>
        <v>293</v>
      </c>
    </row>
    <row r="848" spans="1:13" hidden="1" x14ac:dyDescent="0.25">
      <c r="A848" s="16" t="s">
        <v>2185</v>
      </c>
      <c r="B848" s="16" t="s">
        <v>2433</v>
      </c>
      <c r="C848">
        <f t="shared" si="26"/>
        <v>88</v>
      </c>
      <c r="L848" t="s">
        <v>589</v>
      </c>
      <c r="M848">
        <f t="shared" si="27"/>
        <v>294</v>
      </c>
    </row>
    <row r="849" spans="1:13" hidden="1" x14ac:dyDescent="0.25">
      <c r="A849" s="16" t="s">
        <v>2185</v>
      </c>
      <c r="B849" s="16" t="s">
        <v>2434</v>
      </c>
      <c r="C849">
        <f t="shared" si="26"/>
        <v>89</v>
      </c>
      <c r="L849" t="s">
        <v>590</v>
      </c>
      <c r="M849">
        <f t="shared" si="27"/>
        <v>295</v>
      </c>
    </row>
    <row r="850" spans="1:13" hidden="1" x14ac:dyDescent="0.25">
      <c r="A850" s="16" t="s">
        <v>2185</v>
      </c>
      <c r="B850" s="16" t="s">
        <v>2435</v>
      </c>
      <c r="C850">
        <f t="shared" si="26"/>
        <v>90</v>
      </c>
      <c r="L850" t="s">
        <v>591</v>
      </c>
      <c r="M850">
        <f t="shared" si="27"/>
        <v>296</v>
      </c>
    </row>
    <row r="851" spans="1:13" hidden="1" x14ac:dyDescent="0.25">
      <c r="A851" s="16" t="s">
        <v>2185</v>
      </c>
      <c r="B851" s="16" t="s">
        <v>2436</v>
      </c>
      <c r="C851">
        <f t="shared" si="26"/>
        <v>91</v>
      </c>
      <c r="L851" t="s">
        <v>592</v>
      </c>
      <c r="M851">
        <f t="shared" si="27"/>
        <v>297</v>
      </c>
    </row>
    <row r="852" spans="1:13" hidden="1" x14ac:dyDescent="0.25">
      <c r="A852" s="16" t="s">
        <v>2185</v>
      </c>
      <c r="B852" s="16" t="s">
        <v>2437</v>
      </c>
      <c r="C852">
        <f t="shared" si="26"/>
        <v>92</v>
      </c>
      <c r="L852" t="s">
        <v>593</v>
      </c>
      <c r="M852">
        <f t="shared" si="27"/>
        <v>298</v>
      </c>
    </row>
    <row r="853" spans="1:13" hidden="1" x14ac:dyDescent="0.25">
      <c r="A853" s="16" t="s">
        <v>2185</v>
      </c>
      <c r="B853" s="16" t="s">
        <v>2438</v>
      </c>
      <c r="C853">
        <f t="shared" si="26"/>
        <v>93</v>
      </c>
      <c r="L853" t="s">
        <v>594</v>
      </c>
      <c r="M853">
        <f t="shared" si="27"/>
        <v>299</v>
      </c>
    </row>
    <row r="854" spans="1:13" hidden="1" x14ac:dyDescent="0.25">
      <c r="A854" s="16" t="s">
        <v>2185</v>
      </c>
      <c r="B854" s="16" t="s">
        <v>2439</v>
      </c>
      <c r="C854">
        <f t="shared" si="26"/>
        <v>94</v>
      </c>
      <c r="L854" t="s">
        <v>595</v>
      </c>
      <c r="M854">
        <f t="shared" si="27"/>
        <v>300</v>
      </c>
    </row>
    <row r="855" spans="1:13" hidden="1" x14ac:dyDescent="0.25">
      <c r="A855" s="16" t="s">
        <v>2185</v>
      </c>
      <c r="B855" s="16" t="s">
        <v>2440</v>
      </c>
      <c r="C855">
        <f t="shared" si="26"/>
        <v>95</v>
      </c>
      <c r="L855" t="s">
        <v>596</v>
      </c>
      <c r="M855">
        <f t="shared" si="27"/>
        <v>301</v>
      </c>
    </row>
    <row r="856" spans="1:13" hidden="1" x14ac:dyDescent="0.25">
      <c r="A856" s="16" t="s">
        <v>2185</v>
      </c>
      <c r="B856" s="16" t="s">
        <v>2441</v>
      </c>
      <c r="C856">
        <f t="shared" si="26"/>
        <v>96</v>
      </c>
      <c r="L856" t="s">
        <v>597</v>
      </c>
      <c r="M856">
        <f t="shared" si="27"/>
        <v>302</v>
      </c>
    </row>
    <row r="857" spans="1:13" hidden="1" x14ac:dyDescent="0.25">
      <c r="A857" s="16" t="s">
        <v>2185</v>
      </c>
      <c r="B857" s="16" t="s">
        <v>2442</v>
      </c>
      <c r="C857">
        <f t="shared" si="26"/>
        <v>97</v>
      </c>
      <c r="L857" t="s">
        <v>598</v>
      </c>
      <c r="M857">
        <f t="shared" si="27"/>
        <v>303</v>
      </c>
    </row>
    <row r="858" spans="1:13" hidden="1" x14ac:dyDescent="0.25">
      <c r="A858" s="16" t="s">
        <v>2185</v>
      </c>
      <c r="B858" s="16" t="s">
        <v>2443</v>
      </c>
      <c r="C858">
        <f t="shared" si="26"/>
        <v>98</v>
      </c>
      <c r="L858" t="s">
        <v>599</v>
      </c>
      <c r="M858">
        <f t="shared" si="27"/>
        <v>304</v>
      </c>
    </row>
    <row r="859" spans="1:13" hidden="1" x14ac:dyDescent="0.25">
      <c r="A859" s="16" t="s">
        <v>2185</v>
      </c>
      <c r="B859" s="16" t="s">
        <v>2444</v>
      </c>
      <c r="C859">
        <f t="shared" si="26"/>
        <v>99</v>
      </c>
      <c r="L859" t="s">
        <v>600</v>
      </c>
      <c r="M859">
        <f t="shared" si="27"/>
        <v>305</v>
      </c>
    </row>
    <row r="860" spans="1:13" hidden="1" x14ac:dyDescent="0.25">
      <c r="A860" s="16" t="s">
        <v>2185</v>
      </c>
      <c r="B860" s="16" t="s">
        <v>2445</v>
      </c>
      <c r="C860">
        <f t="shared" si="26"/>
        <v>100</v>
      </c>
      <c r="L860" t="s">
        <v>601</v>
      </c>
      <c r="M860">
        <f t="shared" si="27"/>
        <v>306</v>
      </c>
    </row>
    <row r="861" spans="1:13" hidden="1" x14ac:dyDescent="0.25">
      <c r="A861" s="16" t="s">
        <v>2185</v>
      </c>
      <c r="B861" s="16" t="s">
        <v>2446</v>
      </c>
      <c r="C861">
        <f t="shared" si="26"/>
        <v>101</v>
      </c>
      <c r="L861" t="s">
        <v>602</v>
      </c>
      <c r="M861">
        <f t="shared" si="27"/>
        <v>307</v>
      </c>
    </row>
    <row r="862" spans="1:13" hidden="1" x14ac:dyDescent="0.25">
      <c r="A862" s="16" t="s">
        <v>2185</v>
      </c>
      <c r="B862" s="16" t="s">
        <v>2447</v>
      </c>
      <c r="C862">
        <f t="shared" si="26"/>
        <v>102</v>
      </c>
      <c r="L862" t="s">
        <v>603</v>
      </c>
      <c r="M862">
        <f t="shared" si="27"/>
        <v>308</v>
      </c>
    </row>
    <row r="863" spans="1:13" hidden="1" x14ac:dyDescent="0.25">
      <c r="A863" s="16" t="s">
        <v>2185</v>
      </c>
      <c r="B863" s="16" t="s">
        <v>2448</v>
      </c>
      <c r="C863">
        <f t="shared" si="26"/>
        <v>103</v>
      </c>
      <c r="L863" t="s">
        <v>604</v>
      </c>
      <c r="M863">
        <f t="shared" si="27"/>
        <v>309</v>
      </c>
    </row>
    <row r="864" spans="1:13" hidden="1" x14ac:dyDescent="0.25">
      <c r="A864" s="16" t="s">
        <v>2185</v>
      </c>
      <c r="B864" s="16" t="s">
        <v>2449</v>
      </c>
      <c r="C864">
        <f t="shared" si="26"/>
        <v>104</v>
      </c>
      <c r="L864" t="s">
        <v>605</v>
      </c>
      <c r="M864">
        <f t="shared" si="27"/>
        <v>310</v>
      </c>
    </row>
    <row r="865" spans="1:13" hidden="1" x14ac:dyDescent="0.25">
      <c r="A865" s="16" t="s">
        <v>2185</v>
      </c>
      <c r="B865" s="16" t="s">
        <v>2450</v>
      </c>
      <c r="C865">
        <f t="shared" si="26"/>
        <v>105</v>
      </c>
      <c r="L865" t="s">
        <v>606</v>
      </c>
      <c r="M865">
        <f t="shared" si="27"/>
        <v>311</v>
      </c>
    </row>
    <row r="866" spans="1:13" hidden="1" x14ac:dyDescent="0.25">
      <c r="A866" s="16" t="s">
        <v>2185</v>
      </c>
      <c r="B866" s="16" t="s">
        <v>2451</v>
      </c>
      <c r="C866">
        <f t="shared" si="26"/>
        <v>106</v>
      </c>
      <c r="L866" t="s">
        <v>607</v>
      </c>
      <c r="M866">
        <f t="shared" si="27"/>
        <v>312</v>
      </c>
    </row>
    <row r="867" spans="1:13" hidden="1" x14ac:dyDescent="0.25">
      <c r="A867" s="16" t="s">
        <v>2185</v>
      </c>
      <c r="B867" s="16" t="s">
        <v>2452</v>
      </c>
      <c r="C867">
        <f t="shared" si="26"/>
        <v>107</v>
      </c>
      <c r="L867" t="s">
        <v>608</v>
      </c>
      <c r="M867">
        <f t="shared" si="27"/>
        <v>313</v>
      </c>
    </row>
    <row r="868" spans="1:13" hidden="1" x14ac:dyDescent="0.25">
      <c r="A868" s="16" t="s">
        <v>2185</v>
      </c>
      <c r="B868" s="16" t="s">
        <v>2453</v>
      </c>
      <c r="C868">
        <f t="shared" si="26"/>
        <v>108</v>
      </c>
      <c r="L868" t="s">
        <v>609</v>
      </c>
      <c r="M868">
        <f t="shared" si="27"/>
        <v>314</v>
      </c>
    </row>
    <row r="869" spans="1:13" hidden="1" x14ac:dyDescent="0.25">
      <c r="A869" s="16" t="s">
        <v>2185</v>
      </c>
      <c r="B869" s="16" t="s">
        <v>2454</v>
      </c>
      <c r="C869">
        <f t="shared" si="26"/>
        <v>109</v>
      </c>
      <c r="L869" t="s">
        <v>610</v>
      </c>
      <c r="M869">
        <f t="shared" si="27"/>
        <v>315</v>
      </c>
    </row>
    <row r="870" spans="1:13" hidden="1" x14ac:dyDescent="0.25">
      <c r="A870" s="16" t="s">
        <v>2185</v>
      </c>
      <c r="B870" s="16" t="s">
        <v>2455</v>
      </c>
      <c r="C870">
        <f t="shared" si="26"/>
        <v>110</v>
      </c>
      <c r="L870" t="s">
        <v>611</v>
      </c>
      <c r="M870">
        <f t="shared" si="27"/>
        <v>316</v>
      </c>
    </row>
    <row r="871" spans="1:13" hidden="1" x14ac:dyDescent="0.25">
      <c r="A871" s="16" t="s">
        <v>2185</v>
      </c>
      <c r="B871" s="16" t="s">
        <v>2456</v>
      </c>
      <c r="C871">
        <f t="shared" si="26"/>
        <v>111</v>
      </c>
      <c r="L871" t="s">
        <v>612</v>
      </c>
      <c r="M871">
        <f t="shared" si="27"/>
        <v>317</v>
      </c>
    </row>
    <row r="872" spans="1:13" hidden="1" x14ac:dyDescent="0.25">
      <c r="A872" s="16" t="s">
        <v>2185</v>
      </c>
      <c r="B872" s="16" t="s">
        <v>2457</v>
      </c>
      <c r="C872">
        <f t="shared" si="26"/>
        <v>112</v>
      </c>
      <c r="L872" t="s">
        <v>613</v>
      </c>
      <c r="M872">
        <f t="shared" si="27"/>
        <v>318</v>
      </c>
    </row>
    <row r="873" spans="1:13" hidden="1" x14ac:dyDescent="0.25">
      <c r="A873" s="16" t="s">
        <v>2185</v>
      </c>
      <c r="B873" s="16" t="s">
        <v>2458</v>
      </c>
      <c r="C873">
        <f t="shared" si="26"/>
        <v>113</v>
      </c>
      <c r="L873" t="s">
        <v>614</v>
      </c>
      <c r="M873">
        <f t="shared" si="27"/>
        <v>319</v>
      </c>
    </row>
    <row r="874" spans="1:13" hidden="1" x14ac:dyDescent="0.25">
      <c r="A874" s="16" t="s">
        <v>2185</v>
      </c>
      <c r="B874" s="16" t="s">
        <v>2459</v>
      </c>
      <c r="C874">
        <f t="shared" si="26"/>
        <v>114</v>
      </c>
      <c r="L874" t="s">
        <v>615</v>
      </c>
      <c r="M874">
        <f t="shared" si="27"/>
        <v>320</v>
      </c>
    </row>
    <row r="875" spans="1:13" hidden="1" x14ac:dyDescent="0.25">
      <c r="A875" s="16" t="s">
        <v>2185</v>
      </c>
      <c r="B875" s="16" t="s">
        <v>2460</v>
      </c>
      <c r="C875">
        <f t="shared" si="26"/>
        <v>115</v>
      </c>
      <c r="L875" t="s">
        <v>616</v>
      </c>
      <c r="M875">
        <f t="shared" si="27"/>
        <v>321</v>
      </c>
    </row>
    <row r="876" spans="1:13" hidden="1" x14ac:dyDescent="0.25">
      <c r="A876" s="16" t="s">
        <v>2185</v>
      </c>
      <c r="B876" s="16" t="s">
        <v>2461</v>
      </c>
      <c r="C876">
        <f t="shared" si="26"/>
        <v>116</v>
      </c>
      <c r="L876" t="s">
        <v>617</v>
      </c>
      <c r="M876">
        <f t="shared" si="27"/>
        <v>322</v>
      </c>
    </row>
    <row r="877" spans="1:13" hidden="1" x14ac:dyDescent="0.25">
      <c r="A877" s="16" t="s">
        <v>2185</v>
      </c>
      <c r="B877" s="16" t="s">
        <v>2462</v>
      </c>
      <c r="C877">
        <f t="shared" si="26"/>
        <v>117</v>
      </c>
      <c r="L877" t="s">
        <v>618</v>
      </c>
      <c r="M877">
        <f t="shared" si="27"/>
        <v>323</v>
      </c>
    </row>
    <row r="878" spans="1:13" hidden="1" x14ac:dyDescent="0.25">
      <c r="A878" s="16" t="s">
        <v>2185</v>
      </c>
      <c r="B878" s="16" t="s">
        <v>2463</v>
      </c>
      <c r="C878">
        <f t="shared" si="26"/>
        <v>118</v>
      </c>
      <c r="L878" t="s">
        <v>619</v>
      </c>
      <c r="M878">
        <f t="shared" si="27"/>
        <v>324</v>
      </c>
    </row>
    <row r="879" spans="1:13" hidden="1" x14ac:dyDescent="0.25">
      <c r="A879" s="16" t="s">
        <v>2185</v>
      </c>
      <c r="B879" s="16" t="s">
        <v>2464</v>
      </c>
      <c r="C879">
        <f t="shared" si="26"/>
        <v>119</v>
      </c>
      <c r="L879" t="s">
        <v>620</v>
      </c>
      <c r="M879">
        <f t="shared" si="27"/>
        <v>325</v>
      </c>
    </row>
    <row r="880" spans="1:13" hidden="1" x14ac:dyDescent="0.25">
      <c r="A880" s="16" t="s">
        <v>2185</v>
      </c>
      <c r="B880" s="16" t="s">
        <v>2465</v>
      </c>
      <c r="C880">
        <f t="shared" si="26"/>
        <v>120</v>
      </c>
      <c r="L880" t="s">
        <v>621</v>
      </c>
      <c r="M880">
        <f t="shared" si="27"/>
        <v>326</v>
      </c>
    </row>
    <row r="881" spans="1:13" hidden="1" x14ac:dyDescent="0.25">
      <c r="A881" s="16" t="s">
        <v>2185</v>
      </c>
      <c r="B881" s="16" t="s">
        <v>2466</v>
      </c>
      <c r="C881">
        <f t="shared" si="26"/>
        <v>121</v>
      </c>
      <c r="L881" t="s">
        <v>622</v>
      </c>
      <c r="M881">
        <f t="shared" si="27"/>
        <v>327</v>
      </c>
    </row>
    <row r="882" spans="1:13" hidden="1" x14ac:dyDescent="0.25">
      <c r="A882" s="16" t="s">
        <v>2185</v>
      </c>
      <c r="B882" s="16" t="s">
        <v>2467</v>
      </c>
      <c r="C882">
        <f t="shared" si="26"/>
        <v>122</v>
      </c>
      <c r="L882" t="s">
        <v>623</v>
      </c>
      <c r="M882">
        <f t="shared" si="27"/>
        <v>328</v>
      </c>
    </row>
    <row r="883" spans="1:13" hidden="1" x14ac:dyDescent="0.25">
      <c r="A883" s="16" t="s">
        <v>2185</v>
      </c>
      <c r="B883" s="16" t="s">
        <v>2468</v>
      </c>
      <c r="C883">
        <f t="shared" si="26"/>
        <v>123</v>
      </c>
      <c r="L883" t="s">
        <v>624</v>
      </c>
      <c r="M883">
        <f t="shared" si="27"/>
        <v>329</v>
      </c>
    </row>
    <row r="884" spans="1:13" hidden="1" x14ac:dyDescent="0.25">
      <c r="A884" s="16" t="s">
        <v>2185</v>
      </c>
      <c r="B884" s="16" t="s">
        <v>2469</v>
      </c>
      <c r="C884">
        <f t="shared" si="26"/>
        <v>124</v>
      </c>
      <c r="L884" t="s">
        <v>625</v>
      </c>
      <c r="M884">
        <f t="shared" si="27"/>
        <v>330</v>
      </c>
    </row>
    <row r="885" spans="1:13" hidden="1" x14ac:dyDescent="0.25">
      <c r="A885" s="16" t="s">
        <v>2185</v>
      </c>
      <c r="B885" s="16" t="s">
        <v>2470</v>
      </c>
      <c r="C885">
        <f t="shared" si="26"/>
        <v>125</v>
      </c>
      <c r="L885" t="s">
        <v>626</v>
      </c>
      <c r="M885">
        <f t="shared" si="27"/>
        <v>331</v>
      </c>
    </row>
    <row r="886" spans="1:13" hidden="1" x14ac:dyDescent="0.25">
      <c r="A886" s="16" t="s">
        <v>2185</v>
      </c>
      <c r="B886" s="16" t="s">
        <v>2471</v>
      </c>
      <c r="C886">
        <f t="shared" si="26"/>
        <v>126</v>
      </c>
      <c r="L886" t="s">
        <v>627</v>
      </c>
      <c r="M886">
        <f t="shared" si="27"/>
        <v>332</v>
      </c>
    </row>
    <row r="887" spans="1:13" hidden="1" x14ac:dyDescent="0.25">
      <c r="A887" s="16" t="s">
        <v>2185</v>
      </c>
      <c r="B887" s="16" t="s">
        <v>2472</v>
      </c>
      <c r="C887">
        <f t="shared" si="26"/>
        <v>127</v>
      </c>
      <c r="L887" t="s">
        <v>628</v>
      </c>
      <c r="M887">
        <f t="shared" si="27"/>
        <v>333</v>
      </c>
    </row>
    <row r="888" spans="1:13" hidden="1" x14ac:dyDescent="0.25">
      <c r="A888" s="16" t="s">
        <v>2185</v>
      </c>
      <c r="B888" s="16" t="s">
        <v>2473</v>
      </c>
      <c r="C888">
        <f t="shared" si="26"/>
        <v>128</v>
      </c>
      <c r="L888" t="s">
        <v>629</v>
      </c>
      <c r="M888">
        <f t="shared" si="27"/>
        <v>334</v>
      </c>
    </row>
    <row r="889" spans="1:13" hidden="1" x14ac:dyDescent="0.25">
      <c r="A889" s="16" t="s">
        <v>2185</v>
      </c>
      <c r="B889" s="16" t="s">
        <v>2474</v>
      </c>
      <c r="C889">
        <f t="shared" si="26"/>
        <v>129</v>
      </c>
      <c r="L889" t="s">
        <v>630</v>
      </c>
      <c r="M889">
        <f t="shared" si="27"/>
        <v>197</v>
      </c>
    </row>
    <row r="890" spans="1:13" hidden="1" x14ac:dyDescent="0.25">
      <c r="A890" s="16" t="s">
        <v>2185</v>
      </c>
      <c r="B890" s="16" t="s">
        <v>2475</v>
      </c>
      <c r="C890">
        <f t="shared" si="26"/>
        <v>130</v>
      </c>
      <c r="L890" t="s">
        <v>631</v>
      </c>
      <c r="M890">
        <f t="shared" si="27"/>
        <v>198</v>
      </c>
    </row>
    <row r="891" spans="1:13" hidden="1" x14ac:dyDescent="0.25">
      <c r="A891" s="16" t="s">
        <v>2185</v>
      </c>
      <c r="B891" s="16" t="s">
        <v>2476</v>
      </c>
      <c r="C891">
        <f t="shared" si="26"/>
        <v>131</v>
      </c>
      <c r="L891" t="s">
        <v>632</v>
      </c>
      <c r="M891">
        <f t="shared" si="27"/>
        <v>199</v>
      </c>
    </row>
    <row r="892" spans="1:13" hidden="1" x14ac:dyDescent="0.25">
      <c r="A892" s="16" t="s">
        <v>2185</v>
      </c>
      <c r="B892" s="16" t="s">
        <v>2477</v>
      </c>
      <c r="C892">
        <f t="shared" si="26"/>
        <v>132</v>
      </c>
      <c r="L892" t="s">
        <v>633</v>
      </c>
      <c r="M892">
        <f t="shared" si="27"/>
        <v>200</v>
      </c>
    </row>
    <row r="893" spans="1:13" hidden="1" x14ac:dyDescent="0.25">
      <c r="A893" s="16" t="s">
        <v>2185</v>
      </c>
      <c r="B893" s="16" t="s">
        <v>2478</v>
      </c>
      <c r="C893">
        <f t="shared" si="26"/>
        <v>133</v>
      </c>
      <c r="L893" t="s">
        <v>634</v>
      </c>
      <c r="M893">
        <f t="shared" si="27"/>
        <v>201</v>
      </c>
    </row>
    <row r="894" spans="1:13" hidden="1" x14ac:dyDescent="0.25">
      <c r="A894" s="16" t="s">
        <v>2185</v>
      </c>
      <c r="B894" s="16" t="s">
        <v>2479</v>
      </c>
      <c r="C894">
        <f t="shared" si="26"/>
        <v>134</v>
      </c>
      <c r="L894" t="s">
        <v>635</v>
      </c>
      <c r="M894">
        <f t="shared" si="27"/>
        <v>202</v>
      </c>
    </row>
    <row r="895" spans="1:13" hidden="1" x14ac:dyDescent="0.25">
      <c r="A895" s="16" t="s">
        <v>2185</v>
      </c>
      <c r="B895" s="16" t="s">
        <v>2480</v>
      </c>
      <c r="C895">
        <f t="shared" si="26"/>
        <v>135</v>
      </c>
      <c r="L895" t="s">
        <v>636</v>
      </c>
      <c r="M895">
        <f t="shared" si="27"/>
        <v>203</v>
      </c>
    </row>
    <row r="896" spans="1:13" hidden="1" x14ac:dyDescent="0.25">
      <c r="A896" s="16" t="s">
        <v>2185</v>
      </c>
      <c r="B896" s="16" t="s">
        <v>2481</v>
      </c>
      <c r="C896">
        <f t="shared" si="26"/>
        <v>136</v>
      </c>
      <c r="L896" t="s">
        <v>637</v>
      </c>
      <c r="M896">
        <f t="shared" si="27"/>
        <v>204</v>
      </c>
    </row>
    <row r="897" spans="1:13" hidden="1" x14ac:dyDescent="0.25">
      <c r="A897" s="16" t="s">
        <v>2185</v>
      </c>
      <c r="B897" s="16" t="s">
        <v>2482</v>
      </c>
      <c r="C897">
        <f t="shared" si="26"/>
        <v>137</v>
      </c>
      <c r="L897" t="s">
        <v>638</v>
      </c>
      <c r="M897">
        <f t="shared" si="27"/>
        <v>205</v>
      </c>
    </row>
    <row r="898" spans="1:13" hidden="1" x14ac:dyDescent="0.25">
      <c r="A898" s="16" t="s">
        <v>2185</v>
      </c>
      <c r="B898" s="16" t="s">
        <v>2483</v>
      </c>
      <c r="C898">
        <f t="shared" si="26"/>
        <v>138</v>
      </c>
      <c r="L898" t="s">
        <v>639</v>
      </c>
      <c r="M898">
        <f t="shared" si="27"/>
        <v>206</v>
      </c>
    </row>
    <row r="899" spans="1:13" hidden="1" x14ac:dyDescent="0.25">
      <c r="A899" s="16" t="s">
        <v>2185</v>
      </c>
      <c r="B899" s="16" t="s">
        <v>2484</v>
      </c>
      <c r="C899">
        <f t="shared" ref="C899:C962" si="28">MATCH(B899,L:L,0)</f>
        <v>139</v>
      </c>
      <c r="L899" t="s">
        <v>640</v>
      </c>
      <c r="M899">
        <f t="shared" ref="M899:M962" si="29">MATCH(L899,B:B,0)</f>
        <v>207</v>
      </c>
    </row>
    <row r="900" spans="1:13" hidden="1" x14ac:dyDescent="0.25">
      <c r="A900" s="16" t="s">
        <v>2185</v>
      </c>
      <c r="B900" s="16" t="s">
        <v>2485</v>
      </c>
      <c r="C900">
        <f t="shared" si="28"/>
        <v>140</v>
      </c>
      <c r="L900" t="s">
        <v>641</v>
      </c>
      <c r="M900">
        <f t="shared" si="29"/>
        <v>208</v>
      </c>
    </row>
    <row r="901" spans="1:13" hidden="1" x14ac:dyDescent="0.25">
      <c r="A901" s="16" t="s">
        <v>2185</v>
      </c>
      <c r="B901" s="16" t="s">
        <v>2486</v>
      </c>
      <c r="C901">
        <f t="shared" si="28"/>
        <v>141</v>
      </c>
      <c r="L901" t="s">
        <v>642</v>
      </c>
      <c r="M901">
        <f t="shared" si="29"/>
        <v>209</v>
      </c>
    </row>
    <row r="902" spans="1:13" hidden="1" x14ac:dyDescent="0.25">
      <c r="A902" s="16" t="s">
        <v>2185</v>
      </c>
      <c r="B902" s="16" t="s">
        <v>2487</v>
      </c>
      <c r="C902">
        <f t="shared" si="28"/>
        <v>142</v>
      </c>
      <c r="L902" t="s">
        <v>643</v>
      </c>
      <c r="M902">
        <f t="shared" si="29"/>
        <v>210</v>
      </c>
    </row>
    <row r="903" spans="1:13" hidden="1" x14ac:dyDescent="0.25">
      <c r="A903" s="16" t="s">
        <v>2185</v>
      </c>
      <c r="B903" s="16" t="s">
        <v>2488</v>
      </c>
      <c r="C903">
        <f t="shared" si="28"/>
        <v>143</v>
      </c>
      <c r="L903" t="s">
        <v>644</v>
      </c>
      <c r="M903">
        <f t="shared" si="29"/>
        <v>211</v>
      </c>
    </row>
    <row r="904" spans="1:13" hidden="1" x14ac:dyDescent="0.25">
      <c r="A904" s="16" t="s">
        <v>2185</v>
      </c>
      <c r="B904" s="16" t="s">
        <v>2489</v>
      </c>
      <c r="C904">
        <f t="shared" si="28"/>
        <v>144</v>
      </c>
      <c r="L904" t="s">
        <v>645</v>
      </c>
      <c r="M904">
        <f t="shared" si="29"/>
        <v>212</v>
      </c>
    </row>
    <row r="905" spans="1:13" hidden="1" x14ac:dyDescent="0.25">
      <c r="A905" s="16" t="s">
        <v>2185</v>
      </c>
      <c r="B905" s="16" t="s">
        <v>2490</v>
      </c>
      <c r="C905">
        <f t="shared" si="28"/>
        <v>145</v>
      </c>
      <c r="L905" t="s">
        <v>646</v>
      </c>
      <c r="M905">
        <f t="shared" si="29"/>
        <v>213</v>
      </c>
    </row>
    <row r="906" spans="1:13" hidden="1" x14ac:dyDescent="0.25">
      <c r="A906" s="16" t="s">
        <v>2185</v>
      </c>
      <c r="B906" s="16" t="s">
        <v>2491</v>
      </c>
      <c r="C906">
        <f t="shared" si="28"/>
        <v>146</v>
      </c>
      <c r="L906" t="s">
        <v>647</v>
      </c>
      <c r="M906">
        <f t="shared" si="29"/>
        <v>214</v>
      </c>
    </row>
    <row r="907" spans="1:13" hidden="1" x14ac:dyDescent="0.25">
      <c r="A907" s="16" t="s">
        <v>2185</v>
      </c>
      <c r="B907" s="16" t="s">
        <v>2492</v>
      </c>
      <c r="C907">
        <f t="shared" si="28"/>
        <v>147</v>
      </c>
      <c r="L907" t="s">
        <v>648</v>
      </c>
      <c r="M907">
        <f t="shared" si="29"/>
        <v>215</v>
      </c>
    </row>
    <row r="908" spans="1:13" hidden="1" x14ac:dyDescent="0.25">
      <c r="A908" s="16" t="s">
        <v>2185</v>
      </c>
      <c r="B908" s="16" t="s">
        <v>2493</v>
      </c>
      <c r="C908">
        <f t="shared" si="28"/>
        <v>148</v>
      </c>
      <c r="L908" t="s">
        <v>649</v>
      </c>
      <c r="M908">
        <f t="shared" si="29"/>
        <v>216</v>
      </c>
    </row>
    <row r="909" spans="1:13" hidden="1" x14ac:dyDescent="0.25">
      <c r="A909" s="16" t="s">
        <v>2185</v>
      </c>
      <c r="B909" s="16" t="s">
        <v>2494</v>
      </c>
      <c r="C909">
        <f t="shared" si="28"/>
        <v>149</v>
      </c>
      <c r="L909" t="s">
        <v>650</v>
      </c>
      <c r="M909">
        <f t="shared" si="29"/>
        <v>217</v>
      </c>
    </row>
    <row r="910" spans="1:13" hidden="1" x14ac:dyDescent="0.25">
      <c r="A910" s="16" t="s">
        <v>2185</v>
      </c>
      <c r="B910" s="16" t="s">
        <v>2495</v>
      </c>
      <c r="C910">
        <f t="shared" si="28"/>
        <v>150</v>
      </c>
      <c r="L910" t="s">
        <v>651</v>
      </c>
      <c r="M910">
        <f t="shared" si="29"/>
        <v>335</v>
      </c>
    </row>
    <row r="911" spans="1:13" hidden="1" x14ac:dyDescent="0.25">
      <c r="A911" s="16" t="s">
        <v>2185</v>
      </c>
      <c r="B911" s="16" t="s">
        <v>2496</v>
      </c>
      <c r="C911">
        <f t="shared" si="28"/>
        <v>151</v>
      </c>
      <c r="L911" t="s">
        <v>652</v>
      </c>
      <c r="M911">
        <f t="shared" si="29"/>
        <v>336</v>
      </c>
    </row>
    <row r="912" spans="1:13" hidden="1" x14ac:dyDescent="0.25">
      <c r="A912" s="16" t="s">
        <v>2185</v>
      </c>
      <c r="B912" s="16" t="s">
        <v>2497</v>
      </c>
      <c r="C912">
        <f t="shared" si="28"/>
        <v>152</v>
      </c>
      <c r="L912" t="s">
        <v>653</v>
      </c>
      <c r="M912">
        <f t="shared" si="29"/>
        <v>337</v>
      </c>
    </row>
    <row r="913" spans="1:13" hidden="1" x14ac:dyDescent="0.25">
      <c r="A913" s="16" t="s">
        <v>2185</v>
      </c>
      <c r="B913" s="16" t="s">
        <v>2498</v>
      </c>
      <c r="C913">
        <f t="shared" si="28"/>
        <v>153</v>
      </c>
      <c r="L913" t="s">
        <v>654</v>
      </c>
      <c r="M913">
        <f t="shared" si="29"/>
        <v>338</v>
      </c>
    </row>
    <row r="914" spans="1:13" hidden="1" x14ac:dyDescent="0.25">
      <c r="A914" s="16" t="s">
        <v>2185</v>
      </c>
      <c r="B914" s="16" t="s">
        <v>2499</v>
      </c>
      <c r="C914">
        <f t="shared" si="28"/>
        <v>154</v>
      </c>
      <c r="L914" t="s">
        <v>655</v>
      </c>
      <c r="M914">
        <f t="shared" si="29"/>
        <v>339</v>
      </c>
    </row>
    <row r="915" spans="1:13" hidden="1" x14ac:dyDescent="0.25">
      <c r="A915" s="16" t="s">
        <v>2185</v>
      </c>
      <c r="B915" s="16" t="s">
        <v>2500</v>
      </c>
      <c r="C915">
        <f t="shared" si="28"/>
        <v>155</v>
      </c>
      <c r="L915" t="s">
        <v>656</v>
      </c>
      <c r="M915">
        <f t="shared" si="29"/>
        <v>340</v>
      </c>
    </row>
    <row r="916" spans="1:13" hidden="1" x14ac:dyDescent="0.25">
      <c r="A916" s="16" t="s">
        <v>2185</v>
      </c>
      <c r="B916" s="16" t="s">
        <v>2501</v>
      </c>
      <c r="C916">
        <f t="shared" si="28"/>
        <v>156</v>
      </c>
      <c r="L916" t="s">
        <v>657</v>
      </c>
      <c r="M916">
        <f t="shared" si="29"/>
        <v>341</v>
      </c>
    </row>
    <row r="917" spans="1:13" hidden="1" x14ac:dyDescent="0.25">
      <c r="A917" s="16" t="s">
        <v>2185</v>
      </c>
      <c r="B917" s="16" t="s">
        <v>2502</v>
      </c>
      <c r="C917">
        <f t="shared" si="28"/>
        <v>157</v>
      </c>
      <c r="L917" t="s">
        <v>658</v>
      </c>
      <c r="M917">
        <f t="shared" si="29"/>
        <v>342</v>
      </c>
    </row>
    <row r="918" spans="1:13" hidden="1" x14ac:dyDescent="0.25">
      <c r="A918" s="16" t="s">
        <v>2185</v>
      </c>
      <c r="B918" s="16" t="s">
        <v>2503</v>
      </c>
      <c r="C918">
        <f t="shared" si="28"/>
        <v>158</v>
      </c>
      <c r="L918" t="s">
        <v>659</v>
      </c>
      <c r="M918">
        <f t="shared" si="29"/>
        <v>343</v>
      </c>
    </row>
    <row r="919" spans="1:13" hidden="1" x14ac:dyDescent="0.25">
      <c r="A919" s="16" t="s">
        <v>2185</v>
      </c>
      <c r="B919" s="16" t="s">
        <v>2504</v>
      </c>
      <c r="C919">
        <f t="shared" si="28"/>
        <v>159</v>
      </c>
      <c r="L919" t="s">
        <v>660</v>
      </c>
      <c r="M919">
        <f t="shared" si="29"/>
        <v>344</v>
      </c>
    </row>
    <row r="920" spans="1:13" hidden="1" x14ac:dyDescent="0.25">
      <c r="A920" s="16" t="s">
        <v>2185</v>
      </c>
      <c r="B920" s="16" t="s">
        <v>2505</v>
      </c>
      <c r="C920">
        <f t="shared" si="28"/>
        <v>160</v>
      </c>
      <c r="L920" t="s">
        <v>661</v>
      </c>
      <c r="M920">
        <f t="shared" si="29"/>
        <v>345</v>
      </c>
    </row>
    <row r="921" spans="1:13" hidden="1" x14ac:dyDescent="0.25">
      <c r="A921" s="16" t="s">
        <v>2185</v>
      </c>
      <c r="B921" s="16" t="s">
        <v>2506</v>
      </c>
      <c r="C921">
        <f t="shared" si="28"/>
        <v>161</v>
      </c>
      <c r="L921" t="s">
        <v>662</v>
      </c>
      <c r="M921">
        <f t="shared" si="29"/>
        <v>346</v>
      </c>
    </row>
    <row r="922" spans="1:13" hidden="1" x14ac:dyDescent="0.25">
      <c r="A922" s="16" t="s">
        <v>2185</v>
      </c>
      <c r="B922" s="16" t="s">
        <v>2507</v>
      </c>
      <c r="C922">
        <f t="shared" si="28"/>
        <v>162</v>
      </c>
      <c r="L922" t="s">
        <v>663</v>
      </c>
      <c r="M922">
        <f t="shared" si="29"/>
        <v>347</v>
      </c>
    </row>
    <row r="923" spans="1:13" hidden="1" x14ac:dyDescent="0.25">
      <c r="A923" s="16" t="s">
        <v>2185</v>
      </c>
      <c r="B923" s="16" t="s">
        <v>2508</v>
      </c>
      <c r="C923">
        <f t="shared" si="28"/>
        <v>163</v>
      </c>
      <c r="L923" t="s">
        <v>664</v>
      </c>
      <c r="M923">
        <f t="shared" si="29"/>
        <v>348</v>
      </c>
    </row>
    <row r="924" spans="1:13" hidden="1" x14ac:dyDescent="0.25">
      <c r="A924" s="16" t="s">
        <v>2185</v>
      </c>
      <c r="B924" s="16" t="s">
        <v>2509</v>
      </c>
      <c r="C924">
        <f t="shared" si="28"/>
        <v>164</v>
      </c>
      <c r="L924" t="s">
        <v>665</v>
      </c>
      <c r="M924">
        <f t="shared" si="29"/>
        <v>349</v>
      </c>
    </row>
    <row r="925" spans="1:13" hidden="1" x14ac:dyDescent="0.25">
      <c r="A925" s="16" t="s">
        <v>2185</v>
      </c>
      <c r="B925" s="16" t="s">
        <v>2510</v>
      </c>
      <c r="C925">
        <f t="shared" si="28"/>
        <v>165</v>
      </c>
      <c r="L925" t="s">
        <v>666</v>
      </c>
      <c r="M925">
        <f t="shared" si="29"/>
        <v>350</v>
      </c>
    </row>
    <row r="926" spans="1:13" hidden="1" x14ac:dyDescent="0.25">
      <c r="A926" s="16" t="s">
        <v>2185</v>
      </c>
      <c r="B926" s="16" t="s">
        <v>2511</v>
      </c>
      <c r="C926">
        <f t="shared" si="28"/>
        <v>166</v>
      </c>
      <c r="L926" t="s">
        <v>667</v>
      </c>
      <c r="M926">
        <f t="shared" si="29"/>
        <v>351</v>
      </c>
    </row>
    <row r="927" spans="1:13" hidden="1" x14ac:dyDescent="0.25">
      <c r="A927" s="16" t="s">
        <v>2185</v>
      </c>
      <c r="B927" s="16" t="s">
        <v>2512</v>
      </c>
      <c r="C927">
        <f t="shared" si="28"/>
        <v>167</v>
      </c>
      <c r="L927" t="s">
        <v>668</v>
      </c>
      <c r="M927">
        <f t="shared" si="29"/>
        <v>352</v>
      </c>
    </row>
    <row r="928" spans="1:13" hidden="1" x14ac:dyDescent="0.25">
      <c r="A928" s="16" t="s">
        <v>2185</v>
      </c>
      <c r="B928" s="16" t="s">
        <v>2513</v>
      </c>
      <c r="C928">
        <f t="shared" si="28"/>
        <v>168</v>
      </c>
      <c r="L928" t="s">
        <v>669</v>
      </c>
      <c r="M928">
        <f t="shared" si="29"/>
        <v>353</v>
      </c>
    </row>
    <row r="929" spans="1:13" hidden="1" x14ac:dyDescent="0.25">
      <c r="A929" s="16" t="s">
        <v>2185</v>
      </c>
      <c r="B929" s="16" t="s">
        <v>2514</v>
      </c>
      <c r="C929">
        <f t="shared" si="28"/>
        <v>169</v>
      </c>
      <c r="L929" t="s">
        <v>670</v>
      </c>
      <c r="M929">
        <f t="shared" si="29"/>
        <v>354</v>
      </c>
    </row>
    <row r="930" spans="1:13" hidden="1" x14ac:dyDescent="0.25">
      <c r="A930" s="16" t="s">
        <v>2185</v>
      </c>
      <c r="B930" s="16" t="s">
        <v>2515</v>
      </c>
      <c r="C930">
        <f t="shared" si="28"/>
        <v>170</v>
      </c>
      <c r="L930" t="s">
        <v>671</v>
      </c>
      <c r="M930">
        <f t="shared" si="29"/>
        <v>355</v>
      </c>
    </row>
    <row r="931" spans="1:13" hidden="1" x14ac:dyDescent="0.25">
      <c r="A931" s="16" t="s">
        <v>2185</v>
      </c>
      <c r="B931" s="16" t="s">
        <v>2516</v>
      </c>
      <c r="C931">
        <f t="shared" si="28"/>
        <v>171</v>
      </c>
      <c r="L931" t="s">
        <v>672</v>
      </c>
      <c r="M931">
        <f t="shared" si="29"/>
        <v>356</v>
      </c>
    </row>
    <row r="932" spans="1:13" hidden="1" x14ac:dyDescent="0.25">
      <c r="A932" s="16" t="s">
        <v>2185</v>
      </c>
      <c r="B932" s="16" t="s">
        <v>2517</v>
      </c>
      <c r="C932">
        <f t="shared" si="28"/>
        <v>172</v>
      </c>
      <c r="L932" t="s">
        <v>673</v>
      </c>
      <c r="M932">
        <f t="shared" si="29"/>
        <v>357</v>
      </c>
    </row>
    <row r="933" spans="1:13" hidden="1" x14ac:dyDescent="0.25">
      <c r="A933" s="16" t="s">
        <v>2185</v>
      </c>
      <c r="B933" s="16" t="s">
        <v>2518</v>
      </c>
      <c r="C933">
        <f t="shared" si="28"/>
        <v>173</v>
      </c>
      <c r="L933" t="s">
        <v>674</v>
      </c>
      <c r="M933">
        <f t="shared" si="29"/>
        <v>358</v>
      </c>
    </row>
    <row r="934" spans="1:13" hidden="1" x14ac:dyDescent="0.25">
      <c r="A934" s="16" t="s">
        <v>2185</v>
      </c>
      <c r="B934" s="16" t="s">
        <v>2519</v>
      </c>
      <c r="C934">
        <f t="shared" si="28"/>
        <v>174</v>
      </c>
      <c r="L934" t="s">
        <v>675</v>
      </c>
      <c r="M934">
        <f t="shared" si="29"/>
        <v>359</v>
      </c>
    </row>
    <row r="935" spans="1:13" hidden="1" x14ac:dyDescent="0.25">
      <c r="A935" s="16" t="s">
        <v>2185</v>
      </c>
      <c r="B935" s="16" t="s">
        <v>2520</v>
      </c>
      <c r="C935">
        <f t="shared" si="28"/>
        <v>175</v>
      </c>
      <c r="L935" t="s">
        <v>676</v>
      </c>
      <c r="M935">
        <f t="shared" si="29"/>
        <v>360</v>
      </c>
    </row>
    <row r="936" spans="1:13" hidden="1" x14ac:dyDescent="0.25">
      <c r="A936" s="16" t="s">
        <v>2185</v>
      </c>
      <c r="B936" s="16" t="s">
        <v>2521</v>
      </c>
      <c r="C936">
        <f t="shared" si="28"/>
        <v>176</v>
      </c>
      <c r="L936" t="s">
        <v>677</v>
      </c>
      <c r="M936">
        <f t="shared" si="29"/>
        <v>361</v>
      </c>
    </row>
    <row r="937" spans="1:13" hidden="1" x14ac:dyDescent="0.25">
      <c r="A937" s="16" t="s">
        <v>2185</v>
      </c>
      <c r="B937" s="16" t="s">
        <v>2522</v>
      </c>
      <c r="C937">
        <f t="shared" si="28"/>
        <v>177</v>
      </c>
      <c r="L937" t="s">
        <v>678</v>
      </c>
      <c r="M937">
        <f t="shared" si="29"/>
        <v>362</v>
      </c>
    </row>
    <row r="938" spans="1:13" hidden="1" x14ac:dyDescent="0.25">
      <c r="A938" s="16" t="s">
        <v>2185</v>
      </c>
      <c r="B938" s="16" t="s">
        <v>2523</v>
      </c>
      <c r="C938">
        <f t="shared" si="28"/>
        <v>178</v>
      </c>
      <c r="L938" t="s">
        <v>679</v>
      </c>
      <c r="M938">
        <f t="shared" si="29"/>
        <v>363</v>
      </c>
    </row>
    <row r="939" spans="1:13" hidden="1" x14ac:dyDescent="0.25">
      <c r="A939" s="16" t="s">
        <v>2185</v>
      </c>
      <c r="B939" s="16" t="s">
        <v>2524</v>
      </c>
      <c r="C939">
        <f t="shared" si="28"/>
        <v>179</v>
      </c>
      <c r="L939" t="s">
        <v>680</v>
      </c>
      <c r="M939">
        <f t="shared" si="29"/>
        <v>364</v>
      </c>
    </row>
    <row r="940" spans="1:13" hidden="1" x14ac:dyDescent="0.25">
      <c r="A940" s="16" t="s">
        <v>2185</v>
      </c>
      <c r="B940" s="16" t="s">
        <v>2525</v>
      </c>
      <c r="C940">
        <f t="shared" si="28"/>
        <v>180</v>
      </c>
      <c r="L940" t="s">
        <v>681</v>
      </c>
      <c r="M940">
        <f t="shared" si="29"/>
        <v>365</v>
      </c>
    </row>
    <row r="941" spans="1:13" hidden="1" x14ac:dyDescent="0.25">
      <c r="A941" s="16" t="s">
        <v>2185</v>
      </c>
      <c r="B941" s="16" t="s">
        <v>2526</v>
      </c>
      <c r="C941">
        <f t="shared" si="28"/>
        <v>181</v>
      </c>
      <c r="L941" t="s">
        <v>682</v>
      </c>
      <c r="M941">
        <f t="shared" si="29"/>
        <v>366</v>
      </c>
    </row>
    <row r="942" spans="1:13" hidden="1" x14ac:dyDescent="0.25">
      <c r="A942" s="16" t="s">
        <v>2185</v>
      </c>
      <c r="B942" s="16" t="s">
        <v>1029</v>
      </c>
      <c r="C942">
        <f t="shared" si="28"/>
        <v>182</v>
      </c>
      <c r="L942" t="s">
        <v>683</v>
      </c>
      <c r="M942">
        <f t="shared" si="29"/>
        <v>367</v>
      </c>
    </row>
    <row r="943" spans="1:13" hidden="1" x14ac:dyDescent="0.25">
      <c r="A943" s="16" t="s">
        <v>2185</v>
      </c>
      <c r="B943" s="16" t="s">
        <v>2527</v>
      </c>
      <c r="C943">
        <f t="shared" si="28"/>
        <v>567</v>
      </c>
      <c r="L943" t="s">
        <v>684</v>
      </c>
      <c r="M943">
        <f t="shared" si="29"/>
        <v>368</v>
      </c>
    </row>
    <row r="944" spans="1:13" hidden="1" x14ac:dyDescent="0.25">
      <c r="A944" s="16" t="s">
        <v>2185</v>
      </c>
      <c r="B944" s="16" t="s">
        <v>2528</v>
      </c>
      <c r="C944">
        <f t="shared" si="28"/>
        <v>568</v>
      </c>
      <c r="L944" t="s">
        <v>685</v>
      </c>
      <c r="M944">
        <f t="shared" si="29"/>
        <v>369</v>
      </c>
    </row>
    <row r="945" spans="1:13" hidden="1" x14ac:dyDescent="0.25">
      <c r="A945" s="16" t="s">
        <v>2185</v>
      </c>
      <c r="B945" s="16" t="s">
        <v>2529</v>
      </c>
      <c r="C945">
        <f t="shared" si="28"/>
        <v>569</v>
      </c>
      <c r="L945" t="s">
        <v>686</v>
      </c>
      <c r="M945">
        <f t="shared" si="29"/>
        <v>370</v>
      </c>
    </row>
    <row r="946" spans="1:13" hidden="1" x14ac:dyDescent="0.25">
      <c r="A946" s="16" t="s">
        <v>2185</v>
      </c>
      <c r="B946" s="16" t="s">
        <v>2530</v>
      </c>
      <c r="C946">
        <f t="shared" si="28"/>
        <v>570</v>
      </c>
      <c r="L946" t="s">
        <v>687</v>
      </c>
      <c r="M946">
        <f t="shared" si="29"/>
        <v>371</v>
      </c>
    </row>
    <row r="947" spans="1:13" hidden="1" x14ac:dyDescent="0.25">
      <c r="A947" s="16" t="s">
        <v>2185</v>
      </c>
      <c r="B947" s="16" t="s">
        <v>2531</v>
      </c>
      <c r="C947">
        <f t="shared" si="28"/>
        <v>571</v>
      </c>
      <c r="L947" t="s">
        <v>688</v>
      </c>
      <c r="M947">
        <f t="shared" si="29"/>
        <v>372</v>
      </c>
    </row>
    <row r="948" spans="1:13" hidden="1" x14ac:dyDescent="0.25">
      <c r="A948" s="16" t="s">
        <v>2185</v>
      </c>
      <c r="B948" s="16" t="s">
        <v>2532</v>
      </c>
      <c r="C948">
        <f t="shared" si="28"/>
        <v>572</v>
      </c>
      <c r="L948" t="s">
        <v>689</v>
      </c>
      <c r="M948">
        <f t="shared" si="29"/>
        <v>373</v>
      </c>
    </row>
    <row r="949" spans="1:13" hidden="1" x14ac:dyDescent="0.25">
      <c r="A949" s="16" t="s">
        <v>2185</v>
      </c>
      <c r="B949" s="16" t="s">
        <v>2533</v>
      </c>
      <c r="C949">
        <f t="shared" si="28"/>
        <v>573</v>
      </c>
      <c r="L949" t="s">
        <v>690</v>
      </c>
      <c r="M949">
        <f t="shared" si="29"/>
        <v>374</v>
      </c>
    </row>
    <row r="950" spans="1:13" hidden="1" x14ac:dyDescent="0.25">
      <c r="A950" s="16" t="s">
        <v>2185</v>
      </c>
      <c r="B950" s="16" t="s">
        <v>2534</v>
      </c>
      <c r="C950">
        <f t="shared" si="28"/>
        <v>574</v>
      </c>
      <c r="L950" t="s">
        <v>691</v>
      </c>
      <c r="M950">
        <f t="shared" si="29"/>
        <v>375</v>
      </c>
    </row>
    <row r="951" spans="1:13" hidden="1" x14ac:dyDescent="0.25">
      <c r="A951" s="16" t="s">
        <v>2185</v>
      </c>
      <c r="B951" s="16" t="s">
        <v>2535</v>
      </c>
      <c r="C951">
        <f t="shared" si="28"/>
        <v>575</v>
      </c>
      <c r="L951" t="s">
        <v>692</v>
      </c>
      <c r="M951">
        <f t="shared" si="29"/>
        <v>376</v>
      </c>
    </row>
    <row r="952" spans="1:13" hidden="1" x14ac:dyDescent="0.25">
      <c r="A952" s="16" t="s">
        <v>2185</v>
      </c>
      <c r="B952" s="16" t="s">
        <v>2536</v>
      </c>
      <c r="C952">
        <f t="shared" si="28"/>
        <v>576</v>
      </c>
      <c r="L952" t="s">
        <v>693</v>
      </c>
      <c r="M952">
        <f t="shared" si="29"/>
        <v>377</v>
      </c>
    </row>
    <row r="953" spans="1:13" hidden="1" x14ac:dyDescent="0.25">
      <c r="A953" s="16" t="s">
        <v>2185</v>
      </c>
      <c r="B953" s="16" t="s">
        <v>2537</v>
      </c>
      <c r="C953">
        <f t="shared" si="28"/>
        <v>577</v>
      </c>
      <c r="L953" t="s">
        <v>694</v>
      </c>
      <c r="M953">
        <f t="shared" si="29"/>
        <v>378</v>
      </c>
    </row>
    <row r="954" spans="1:13" hidden="1" x14ac:dyDescent="0.25">
      <c r="A954" s="16" t="s">
        <v>2185</v>
      </c>
      <c r="B954" s="16" t="s">
        <v>2538</v>
      </c>
      <c r="C954">
        <f t="shared" si="28"/>
        <v>578</v>
      </c>
      <c r="L954" t="s">
        <v>695</v>
      </c>
      <c r="M954">
        <f t="shared" si="29"/>
        <v>379</v>
      </c>
    </row>
    <row r="955" spans="1:13" hidden="1" x14ac:dyDescent="0.25">
      <c r="A955" s="16" t="s">
        <v>2185</v>
      </c>
      <c r="B955" s="16" t="s">
        <v>2539</v>
      </c>
      <c r="C955">
        <f t="shared" si="28"/>
        <v>579</v>
      </c>
      <c r="L955" t="s">
        <v>696</v>
      </c>
      <c r="M955">
        <f t="shared" si="29"/>
        <v>380</v>
      </c>
    </row>
    <row r="956" spans="1:13" hidden="1" x14ac:dyDescent="0.25">
      <c r="A956" s="16" t="s">
        <v>2185</v>
      </c>
      <c r="B956" s="16" t="s">
        <v>2540</v>
      </c>
      <c r="C956">
        <f t="shared" si="28"/>
        <v>580</v>
      </c>
      <c r="L956" t="s">
        <v>697</v>
      </c>
      <c r="M956">
        <f t="shared" si="29"/>
        <v>381</v>
      </c>
    </row>
    <row r="957" spans="1:13" hidden="1" x14ac:dyDescent="0.25">
      <c r="A957" s="16" t="s">
        <v>2185</v>
      </c>
      <c r="B957" s="16" t="s">
        <v>2541</v>
      </c>
      <c r="C957">
        <f t="shared" si="28"/>
        <v>581</v>
      </c>
      <c r="L957" t="s">
        <v>698</v>
      </c>
      <c r="M957">
        <f t="shared" si="29"/>
        <v>382</v>
      </c>
    </row>
    <row r="958" spans="1:13" hidden="1" x14ac:dyDescent="0.25">
      <c r="A958" s="16" t="s">
        <v>2185</v>
      </c>
      <c r="B958" s="16" t="s">
        <v>2542</v>
      </c>
      <c r="C958">
        <f t="shared" si="28"/>
        <v>582</v>
      </c>
      <c r="L958" t="s">
        <v>699</v>
      </c>
      <c r="M958">
        <f t="shared" si="29"/>
        <v>383</v>
      </c>
    </row>
    <row r="959" spans="1:13" hidden="1" x14ac:dyDescent="0.25">
      <c r="A959" s="16" t="s">
        <v>2185</v>
      </c>
      <c r="B959" s="16" t="s">
        <v>2543</v>
      </c>
      <c r="C959">
        <f t="shared" si="28"/>
        <v>583</v>
      </c>
      <c r="L959" t="s">
        <v>700</v>
      </c>
      <c r="M959">
        <f t="shared" si="29"/>
        <v>384</v>
      </c>
    </row>
    <row r="960" spans="1:13" hidden="1" x14ac:dyDescent="0.25">
      <c r="A960" s="16" t="s">
        <v>2185</v>
      </c>
      <c r="B960" s="16" t="s">
        <v>2544</v>
      </c>
      <c r="C960">
        <f t="shared" si="28"/>
        <v>584</v>
      </c>
      <c r="L960" t="s">
        <v>701</v>
      </c>
      <c r="M960">
        <f t="shared" si="29"/>
        <v>385</v>
      </c>
    </row>
    <row r="961" spans="1:13" hidden="1" x14ac:dyDescent="0.25">
      <c r="A961" s="16" t="s">
        <v>2185</v>
      </c>
      <c r="B961" s="16" t="s">
        <v>2545</v>
      </c>
      <c r="C961">
        <f t="shared" si="28"/>
        <v>585</v>
      </c>
      <c r="L961" t="s">
        <v>702</v>
      </c>
      <c r="M961">
        <f t="shared" si="29"/>
        <v>386</v>
      </c>
    </row>
    <row r="962" spans="1:13" hidden="1" x14ac:dyDescent="0.25">
      <c r="A962" s="16" t="s">
        <v>2185</v>
      </c>
      <c r="B962" s="16" t="s">
        <v>2546</v>
      </c>
      <c r="C962">
        <f t="shared" si="28"/>
        <v>586</v>
      </c>
      <c r="L962" t="s">
        <v>703</v>
      </c>
      <c r="M962">
        <f t="shared" si="29"/>
        <v>387</v>
      </c>
    </row>
    <row r="963" spans="1:13" hidden="1" x14ac:dyDescent="0.25">
      <c r="A963" s="16" t="s">
        <v>2185</v>
      </c>
      <c r="B963" s="16" t="s">
        <v>2547</v>
      </c>
      <c r="C963">
        <f t="shared" ref="C963:C1026" si="30">MATCH(B963,L:L,0)</f>
        <v>587</v>
      </c>
      <c r="L963" t="s">
        <v>704</v>
      </c>
      <c r="M963">
        <f t="shared" ref="M963:M1026" si="31">MATCH(L963,B:B,0)</f>
        <v>388</v>
      </c>
    </row>
    <row r="964" spans="1:13" hidden="1" x14ac:dyDescent="0.25">
      <c r="A964" s="16" t="s">
        <v>2185</v>
      </c>
      <c r="B964" s="16" t="s">
        <v>2548</v>
      </c>
      <c r="C964" t="e">
        <f t="shared" si="30"/>
        <v>#N/A</v>
      </c>
      <c r="L964" t="s">
        <v>705</v>
      </c>
      <c r="M964">
        <f t="shared" si="31"/>
        <v>389</v>
      </c>
    </row>
    <row r="965" spans="1:13" hidden="1" x14ac:dyDescent="0.25">
      <c r="A965" s="16" t="s">
        <v>2185</v>
      </c>
      <c r="B965" s="16" t="s">
        <v>2549</v>
      </c>
      <c r="C965" t="e">
        <f t="shared" si="30"/>
        <v>#N/A</v>
      </c>
      <c r="L965" t="s">
        <v>706</v>
      </c>
      <c r="M965">
        <f t="shared" si="31"/>
        <v>390</v>
      </c>
    </row>
    <row r="966" spans="1:13" hidden="1" x14ac:dyDescent="0.25">
      <c r="A966" s="16" t="s">
        <v>2185</v>
      </c>
      <c r="B966" s="16" t="s">
        <v>2550</v>
      </c>
      <c r="C966" t="e">
        <f t="shared" si="30"/>
        <v>#N/A</v>
      </c>
      <c r="L966" t="s">
        <v>707</v>
      </c>
      <c r="M966">
        <f t="shared" si="31"/>
        <v>232</v>
      </c>
    </row>
    <row r="967" spans="1:13" hidden="1" x14ac:dyDescent="0.25">
      <c r="A967" s="16" t="s">
        <v>2185</v>
      </c>
      <c r="B967" s="16" t="s">
        <v>2551</v>
      </c>
      <c r="C967" t="e">
        <f t="shared" si="30"/>
        <v>#N/A</v>
      </c>
      <c r="L967" t="s">
        <v>708</v>
      </c>
      <c r="M967">
        <f t="shared" si="31"/>
        <v>233</v>
      </c>
    </row>
    <row r="968" spans="1:13" hidden="1" x14ac:dyDescent="0.25">
      <c r="A968" s="16" t="s">
        <v>2185</v>
      </c>
      <c r="B968" s="16" t="s">
        <v>2552</v>
      </c>
      <c r="C968" t="e">
        <f t="shared" si="30"/>
        <v>#N/A</v>
      </c>
      <c r="L968" t="s">
        <v>709</v>
      </c>
      <c r="M968">
        <f t="shared" si="31"/>
        <v>234</v>
      </c>
    </row>
    <row r="969" spans="1:13" hidden="1" x14ac:dyDescent="0.25">
      <c r="A969" s="16" t="s">
        <v>2185</v>
      </c>
      <c r="B969" s="16" t="s">
        <v>2553</v>
      </c>
      <c r="C969" t="e">
        <f t="shared" si="30"/>
        <v>#N/A</v>
      </c>
      <c r="L969" t="s">
        <v>710</v>
      </c>
      <c r="M969">
        <f t="shared" si="31"/>
        <v>235</v>
      </c>
    </row>
    <row r="970" spans="1:13" hidden="1" x14ac:dyDescent="0.25">
      <c r="A970" s="16" t="s">
        <v>2185</v>
      </c>
      <c r="B970" s="16" t="s">
        <v>2554</v>
      </c>
      <c r="C970" t="e">
        <f t="shared" si="30"/>
        <v>#N/A</v>
      </c>
      <c r="L970" t="s">
        <v>711</v>
      </c>
      <c r="M970">
        <f t="shared" si="31"/>
        <v>236</v>
      </c>
    </row>
    <row r="971" spans="1:13" hidden="1" x14ac:dyDescent="0.25">
      <c r="A971" s="16" t="s">
        <v>2185</v>
      </c>
      <c r="B971" s="16" t="s">
        <v>2555</v>
      </c>
      <c r="C971" t="e">
        <f t="shared" si="30"/>
        <v>#N/A</v>
      </c>
      <c r="L971" t="s">
        <v>712</v>
      </c>
      <c r="M971">
        <f t="shared" si="31"/>
        <v>237</v>
      </c>
    </row>
    <row r="972" spans="1:13" hidden="1" x14ac:dyDescent="0.25">
      <c r="A972" s="16" t="s">
        <v>2185</v>
      </c>
      <c r="B972" s="16" t="s">
        <v>2556</v>
      </c>
      <c r="C972" t="e">
        <f t="shared" si="30"/>
        <v>#N/A</v>
      </c>
      <c r="L972" t="s">
        <v>713</v>
      </c>
      <c r="M972">
        <f t="shared" si="31"/>
        <v>238</v>
      </c>
    </row>
    <row r="973" spans="1:13" hidden="1" x14ac:dyDescent="0.25">
      <c r="A973" s="16" t="s">
        <v>2185</v>
      </c>
      <c r="B973" s="16" t="s">
        <v>2557</v>
      </c>
      <c r="C973" t="e">
        <f t="shared" si="30"/>
        <v>#N/A</v>
      </c>
      <c r="L973" t="s">
        <v>714</v>
      </c>
      <c r="M973">
        <f t="shared" si="31"/>
        <v>239</v>
      </c>
    </row>
    <row r="974" spans="1:13" hidden="1" x14ac:dyDescent="0.25">
      <c r="A974" s="16" t="s">
        <v>2185</v>
      </c>
      <c r="B974" s="16" t="s">
        <v>1030</v>
      </c>
      <c r="C974">
        <f t="shared" si="30"/>
        <v>603</v>
      </c>
      <c r="L974" t="s">
        <v>715</v>
      </c>
      <c r="M974">
        <f t="shared" si="31"/>
        <v>240</v>
      </c>
    </row>
    <row r="975" spans="1:13" hidden="1" x14ac:dyDescent="0.25">
      <c r="A975" s="16" t="s">
        <v>2185</v>
      </c>
      <c r="B975" s="16" t="s">
        <v>2558</v>
      </c>
      <c r="C975">
        <f t="shared" si="30"/>
        <v>981</v>
      </c>
      <c r="L975" t="s">
        <v>716</v>
      </c>
      <c r="M975">
        <f t="shared" si="31"/>
        <v>241</v>
      </c>
    </row>
    <row r="976" spans="1:13" hidden="1" x14ac:dyDescent="0.25">
      <c r="A976" s="16" t="s">
        <v>2185</v>
      </c>
      <c r="B976" s="16" t="s">
        <v>2559</v>
      </c>
      <c r="C976">
        <f t="shared" si="30"/>
        <v>982</v>
      </c>
      <c r="L976" t="s">
        <v>717</v>
      </c>
      <c r="M976">
        <f t="shared" si="31"/>
        <v>242</v>
      </c>
    </row>
    <row r="977" spans="1:13" hidden="1" x14ac:dyDescent="0.25">
      <c r="A977" s="16" t="s">
        <v>2185</v>
      </c>
      <c r="B977" s="16" t="s">
        <v>2560</v>
      </c>
      <c r="C977">
        <f t="shared" si="30"/>
        <v>983</v>
      </c>
      <c r="L977" t="s">
        <v>718</v>
      </c>
      <c r="M977">
        <f t="shared" si="31"/>
        <v>243</v>
      </c>
    </row>
    <row r="978" spans="1:13" hidden="1" x14ac:dyDescent="0.25">
      <c r="A978" s="16" t="s">
        <v>2185</v>
      </c>
      <c r="B978" s="16" t="s">
        <v>2561</v>
      </c>
      <c r="C978">
        <f t="shared" si="30"/>
        <v>984</v>
      </c>
      <c r="L978" t="s">
        <v>719</v>
      </c>
      <c r="M978">
        <f t="shared" si="31"/>
        <v>244</v>
      </c>
    </row>
    <row r="979" spans="1:13" hidden="1" x14ac:dyDescent="0.25">
      <c r="A979" s="16" t="s">
        <v>2185</v>
      </c>
      <c r="B979" s="16" t="s">
        <v>2562</v>
      </c>
      <c r="C979">
        <f t="shared" si="30"/>
        <v>985</v>
      </c>
      <c r="L979" t="s">
        <v>720</v>
      </c>
      <c r="M979">
        <f t="shared" si="31"/>
        <v>245</v>
      </c>
    </row>
    <row r="980" spans="1:13" hidden="1" x14ac:dyDescent="0.25">
      <c r="A980" s="16" t="s">
        <v>2185</v>
      </c>
      <c r="B980" s="16" t="s">
        <v>2563</v>
      </c>
      <c r="C980">
        <f t="shared" si="30"/>
        <v>986</v>
      </c>
      <c r="L980" t="s">
        <v>721</v>
      </c>
      <c r="M980">
        <f t="shared" si="31"/>
        <v>246</v>
      </c>
    </row>
    <row r="981" spans="1:13" hidden="1" x14ac:dyDescent="0.25">
      <c r="A981" s="16" t="s">
        <v>2185</v>
      </c>
      <c r="B981" s="16" t="s">
        <v>2564</v>
      </c>
      <c r="C981">
        <f t="shared" si="30"/>
        <v>987</v>
      </c>
      <c r="L981" t="s">
        <v>2558</v>
      </c>
      <c r="M981">
        <f t="shared" si="31"/>
        <v>975</v>
      </c>
    </row>
    <row r="982" spans="1:13" hidden="1" x14ac:dyDescent="0.25">
      <c r="A982" s="16" t="s">
        <v>2185</v>
      </c>
      <c r="B982" s="16" t="s">
        <v>2565</v>
      </c>
      <c r="C982">
        <f t="shared" si="30"/>
        <v>988</v>
      </c>
      <c r="L982" t="s">
        <v>2559</v>
      </c>
      <c r="M982">
        <f t="shared" si="31"/>
        <v>976</v>
      </c>
    </row>
    <row r="983" spans="1:13" hidden="1" x14ac:dyDescent="0.25">
      <c r="A983" s="16" t="s">
        <v>2185</v>
      </c>
      <c r="B983" s="16" t="s">
        <v>2566</v>
      </c>
      <c r="C983">
        <f t="shared" si="30"/>
        <v>989</v>
      </c>
      <c r="L983" t="s">
        <v>2560</v>
      </c>
      <c r="M983">
        <f t="shared" si="31"/>
        <v>977</v>
      </c>
    </row>
    <row r="984" spans="1:13" hidden="1" x14ac:dyDescent="0.25">
      <c r="A984" s="16" t="s">
        <v>2185</v>
      </c>
      <c r="B984" s="16" t="s">
        <v>2567</v>
      </c>
      <c r="C984">
        <f t="shared" si="30"/>
        <v>990</v>
      </c>
      <c r="L984" t="s">
        <v>2561</v>
      </c>
      <c r="M984">
        <f t="shared" si="31"/>
        <v>978</v>
      </c>
    </row>
    <row r="985" spans="1:13" hidden="1" x14ac:dyDescent="0.25">
      <c r="A985" s="16" t="s">
        <v>2185</v>
      </c>
      <c r="B985" s="16" t="s">
        <v>2568</v>
      </c>
      <c r="C985">
        <f t="shared" si="30"/>
        <v>991</v>
      </c>
      <c r="L985" t="s">
        <v>2562</v>
      </c>
      <c r="M985">
        <f t="shared" si="31"/>
        <v>979</v>
      </c>
    </row>
    <row r="986" spans="1:13" hidden="1" x14ac:dyDescent="0.25">
      <c r="A986" s="16" t="s">
        <v>2185</v>
      </c>
      <c r="B986" s="16" t="s">
        <v>2569</v>
      </c>
      <c r="C986">
        <f t="shared" si="30"/>
        <v>992</v>
      </c>
      <c r="L986" t="s">
        <v>2563</v>
      </c>
      <c r="M986">
        <f t="shared" si="31"/>
        <v>980</v>
      </c>
    </row>
    <row r="987" spans="1:13" hidden="1" x14ac:dyDescent="0.25">
      <c r="A987" s="16" t="s">
        <v>2185</v>
      </c>
      <c r="B987" s="16" t="s">
        <v>2570</v>
      </c>
      <c r="C987">
        <f t="shared" si="30"/>
        <v>993</v>
      </c>
      <c r="L987" t="s">
        <v>2564</v>
      </c>
      <c r="M987">
        <f t="shared" si="31"/>
        <v>981</v>
      </c>
    </row>
    <row r="988" spans="1:13" hidden="1" x14ac:dyDescent="0.25">
      <c r="A988" s="16" t="s">
        <v>2185</v>
      </c>
      <c r="B988" s="16" t="s">
        <v>2571</v>
      </c>
      <c r="C988">
        <f t="shared" si="30"/>
        <v>994</v>
      </c>
      <c r="L988" t="s">
        <v>2565</v>
      </c>
      <c r="M988">
        <f t="shared" si="31"/>
        <v>982</v>
      </c>
    </row>
    <row r="989" spans="1:13" hidden="1" x14ac:dyDescent="0.25">
      <c r="A989" s="16" t="s">
        <v>2185</v>
      </c>
      <c r="B989" s="16" t="s">
        <v>2572</v>
      </c>
      <c r="C989">
        <f t="shared" si="30"/>
        <v>995</v>
      </c>
      <c r="L989" t="s">
        <v>2566</v>
      </c>
      <c r="M989">
        <f t="shared" si="31"/>
        <v>983</v>
      </c>
    </row>
    <row r="990" spans="1:13" hidden="1" x14ac:dyDescent="0.25">
      <c r="A990" s="16" t="s">
        <v>2185</v>
      </c>
      <c r="B990" s="16" t="s">
        <v>2573</v>
      </c>
      <c r="C990">
        <f t="shared" si="30"/>
        <v>996</v>
      </c>
      <c r="L990" t="s">
        <v>2567</v>
      </c>
      <c r="M990">
        <f t="shared" si="31"/>
        <v>984</v>
      </c>
    </row>
    <row r="991" spans="1:13" hidden="1" x14ac:dyDescent="0.25">
      <c r="A991" s="16" t="s">
        <v>2185</v>
      </c>
      <c r="B991" s="16" t="s">
        <v>2574</v>
      </c>
      <c r="C991">
        <f t="shared" si="30"/>
        <v>997</v>
      </c>
      <c r="L991" t="s">
        <v>2568</v>
      </c>
      <c r="M991">
        <f t="shared" si="31"/>
        <v>985</v>
      </c>
    </row>
    <row r="992" spans="1:13" hidden="1" x14ac:dyDescent="0.25">
      <c r="A992" s="16" t="s">
        <v>2185</v>
      </c>
      <c r="B992" s="16" t="s">
        <v>2575</v>
      </c>
      <c r="C992">
        <f t="shared" si="30"/>
        <v>998</v>
      </c>
      <c r="L992" t="s">
        <v>2569</v>
      </c>
      <c r="M992">
        <f t="shared" si="31"/>
        <v>986</v>
      </c>
    </row>
    <row r="993" spans="1:13" hidden="1" x14ac:dyDescent="0.25">
      <c r="A993" s="16" t="s">
        <v>2185</v>
      </c>
      <c r="B993" s="16" t="s">
        <v>2576</v>
      </c>
      <c r="C993">
        <f t="shared" si="30"/>
        <v>999</v>
      </c>
      <c r="L993" t="s">
        <v>2570</v>
      </c>
      <c r="M993">
        <f t="shared" si="31"/>
        <v>987</v>
      </c>
    </row>
    <row r="994" spans="1:13" hidden="1" x14ac:dyDescent="0.25">
      <c r="A994" s="16" t="s">
        <v>2185</v>
      </c>
      <c r="B994" s="16" t="s">
        <v>2577</v>
      </c>
      <c r="C994" t="e">
        <f t="shared" si="30"/>
        <v>#N/A</v>
      </c>
      <c r="L994" t="s">
        <v>2571</v>
      </c>
      <c r="M994">
        <f t="shared" si="31"/>
        <v>988</v>
      </c>
    </row>
    <row r="995" spans="1:13" hidden="1" x14ac:dyDescent="0.25">
      <c r="A995" s="16" t="s">
        <v>2185</v>
      </c>
      <c r="B995" s="16" t="s">
        <v>2578</v>
      </c>
      <c r="C995" t="e">
        <f t="shared" si="30"/>
        <v>#N/A</v>
      </c>
      <c r="L995" t="s">
        <v>2572</v>
      </c>
      <c r="M995">
        <f t="shared" si="31"/>
        <v>989</v>
      </c>
    </row>
    <row r="996" spans="1:13" hidden="1" x14ac:dyDescent="0.25">
      <c r="A996" s="16" t="s">
        <v>2185</v>
      </c>
      <c r="B996" s="16" t="s">
        <v>2579</v>
      </c>
      <c r="C996" t="e">
        <f t="shared" si="30"/>
        <v>#N/A</v>
      </c>
      <c r="L996" t="s">
        <v>2573</v>
      </c>
      <c r="M996">
        <f t="shared" si="31"/>
        <v>990</v>
      </c>
    </row>
    <row r="997" spans="1:13" hidden="1" x14ac:dyDescent="0.25">
      <c r="A997" s="16" t="s">
        <v>2185</v>
      </c>
      <c r="B997" s="16" t="s">
        <v>2580</v>
      </c>
      <c r="C997" t="e">
        <f t="shared" si="30"/>
        <v>#N/A</v>
      </c>
      <c r="L997" t="s">
        <v>2574</v>
      </c>
      <c r="M997">
        <f t="shared" si="31"/>
        <v>991</v>
      </c>
    </row>
    <row r="998" spans="1:13" hidden="1" x14ac:dyDescent="0.25">
      <c r="A998" s="16" t="s">
        <v>2185</v>
      </c>
      <c r="B998" s="16" t="s">
        <v>2581</v>
      </c>
      <c r="C998" t="e">
        <f t="shared" si="30"/>
        <v>#N/A</v>
      </c>
      <c r="L998" t="s">
        <v>2575</v>
      </c>
      <c r="M998">
        <f t="shared" si="31"/>
        <v>992</v>
      </c>
    </row>
    <row r="999" spans="1:13" hidden="1" x14ac:dyDescent="0.25">
      <c r="A999" s="16" t="s">
        <v>2185</v>
      </c>
      <c r="B999" s="16" t="s">
        <v>2582</v>
      </c>
      <c r="C999" t="e">
        <f t="shared" si="30"/>
        <v>#N/A</v>
      </c>
      <c r="L999" t="s">
        <v>2576</v>
      </c>
      <c r="M999">
        <f t="shared" si="31"/>
        <v>993</v>
      </c>
    </row>
    <row r="1000" spans="1:13" x14ac:dyDescent="0.25">
      <c r="A1000" s="16" t="s">
        <v>2185</v>
      </c>
      <c r="B1000" s="16" t="s">
        <v>2583</v>
      </c>
      <c r="C1000" t="e">
        <f t="shared" si="30"/>
        <v>#N/A</v>
      </c>
      <c r="L1000" s="17" t="s">
        <v>2801</v>
      </c>
      <c r="M1000" t="e">
        <f t="shared" si="31"/>
        <v>#N/A</v>
      </c>
    </row>
    <row r="1001" spans="1:13" hidden="1" x14ac:dyDescent="0.25">
      <c r="A1001" s="16" t="s">
        <v>2185</v>
      </c>
      <c r="B1001" s="16" t="s">
        <v>2584</v>
      </c>
      <c r="C1001" t="e">
        <f t="shared" si="30"/>
        <v>#N/A</v>
      </c>
      <c r="L1001" t="s">
        <v>2620</v>
      </c>
      <c r="M1001">
        <f t="shared" si="31"/>
        <v>1037</v>
      </c>
    </row>
    <row r="1002" spans="1:13" hidden="1" x14ac:dyDescent="0.25">
      <c r="A1002" s="16" t="s">
        <v>2185</v>
      </c>
      <c r="B1002" s="16" t="s">
        <v>2585</v>
      </c>
      <c r="C1002" t="e">
        <f t="shared" si="30"/>
        <v>#N/A</v>
      </c>
      <c r="L1002" t="s">
        <v>2621</v>
      </c>
      <c r="M1002">
        <f t="shared" si="31"/>
        <v>1038</v>
      </c>
    </row>
    <row r="1003" spans="1:13" hidden="1" x14ac:dyDescent="0.25">
      <c r="A1003" s="16" t="s">
        <v>2185</v>
      </c>
      <c r="B1003" s="16" t="s">
        <v>2586</v>
      </c>
      <c r="C1003" t="e">
        <f t="shared" si="30"/>
        <v>#N/A</v>
      </c>
      <c r="L1003" t="s">
        <v>2622</v>
      </c>
      <c r="M1003">
        <f t="shared" si="31"/>
        <v>1039</v>
      </c>
    </row>
    <row r="1004" spans="1:13" hidden="1" x14ac:dyDescent="0.25">
      <c r="A1004" s="16" t="s">
        <v>2185</v>
      </c>
      <c r="B1004" s="16" t="s">
        <v>2587</v>
      </c>
      <c r="C1004" t="e">
        <f t="shared" si="30"/>
        <v>#N/A</v>
      </c>
      <c r="L1004" t="s">
        <v>2099</v>
      </c>
      <c r="M1004">
        <f t="shared" si="31"/>
        <v>476</v>
      </c>
    </row>
    <row r="1005" spans="1:13" hidden="1" x14ac:dyDescent="0.25">
      <c r="A1005" s="16" t="s">
        <v>2185</v>
      </c>
      <c r="B1005" s="16" t="s">
        <v>2588</v>
      </c>
      <c r="C1005" t="e">
        <f t="shared" si="30"/>
        <v>#N/A</v>
      </c>
      <c r="L1005" t="s">
        <v>2100</v>
      </c>
      <c r="M1005">
        <f t="shared" si="31"/>
        <v>477</v>
      </c>
    </row>
    <row r="1006" spans="1:13" hidden="1" x14ac:dyDescent="0.25">
      <c r="A1006" s="16" t="s">
        <v>2185</v>
      </c>
      <c r="B1006" s="16" t="s">
        <v>2589</v>
      </c>
      <c r="C1006" t="e">
        <f t="shared" si="30"/>
        <v>#N/A</v>
      </c>
      <c r="L1006" t="s">
        <v>2101</v>
      </c>
      <c r="M1006">
        <f t="shared" si="31"/>
        <v>478</v>
      </c>
    </row>
    <row r="1007" spans="1:13" hidden="1" x14ac:dyDescent="0.25">
      <c r="A1007" s="16" t="s">
        <v>2185</v>
      </c>
      <c r="B1007" s="16" t="s">
        <v>2590</v>
      </c>
      <c r="C1007" t="e">
        <f t="shared" si="30"/>
        <v>#N/A</v>
      </c>
      <c r="L1007" t="s">
        <v>2102</v>
      </c>
      <c r="M1007">
        <f t="shared" si="31"/>
        <v>479</v>
      </c>
    </row>
    <row r="1008" spans="1:13" hidden="1" x14ac:dyDescent="0.25">
      <c r="A1008" s="16" t="s">
        <v>2185</v>
      </c>
      <c r="B1008" s="16" t="s">
        <v>2591</v>
      </c>
      <c r="C1008" t="e">
        <f t="shared" si="30"/>
        <v>#N/A</v>
      </c>
      <c r="L1008" t="s">
        <v>2103</v>
      </c>
      <c r="M1008">
        <f t="shared" si="31"/>
        <v>480</v>
      </c>
    </row>
    <row r="1009" spans="1:13" hidden="1" x14ac:dyDescent="0.25">
      <c r="A1009" s="16" t="s">
        <v>2185</v>
      </c>
      <c r="B1009" s="16" t="s">
        <v>2592</v>
      </c>
      <c r="C1009" t="e">
        <f t="shared" si="30"/>
        <v>#N/A</v>
      </c>
      <c r="L1009" t="s">
        <v>2104</v>
      </c>
      <c r="M1009">
        <f t="shared" si="31"/>
        <v>481</v>
      </c>
    </row>
    <row r="1010" spans="1:13" hidden="1" x14ac:dyDescent="0.25">
      <c r="A1010" s="16" t="s">
        <v>2185</v>
      </c>
      <c r="B1010" s="16" t="s">
        <v>2593</v>
      </c>
      <c r="C1010" t="e">
        <f t="shared" si="30"/>
        <v>#N/A</v>
      </c>
      <c r="L1010" t="s">
        <v>2105</v>
      </c>
      <c r="M1010">
        <f t="shared" si="31"/>
        <v>482</v>
      </c>
    </row>
    <row r="1011" spans="1:13" hidden="1" x14ac:dyDescent="0.25">
      <c r="A1011" s="16" t="s">
        <v>2185</v>
      </c>
      <c r="B1011" s="16" t="s">
        <v>2594</v>
      </c>
      <c r="C1011" t="e">
        <f t="shared" si="30"/>
        <v>#N/A</v>
      </c>
      <c r="L1011" t="s">
        <v>2106</v>
      </c>
      <c r="M1011">
        <f t="shared" si="31"/>
        <v>483</v>
      </c>
    </row>
    <row r="1012" spans="1:13" hidden="1" x14ac:dyDescent="0.25">
      <c r="A1012" s="16" t="s">
        <v>2185</v>
      </c>
      <c r="B1012" s="16" t="s">
        <v>2595</v>
      </c>
      <c r="C1012" t="e">
        <f t="shared" si="30"/>
        <v>#N/A</v>
      </c>
      <c r="L1012" t="s">
        <v>2107</v>
      </c>
      <c r="M1012">
        <f t="shared" si="31"/>
        <v>484</v>
      </c>
    </row>
    <row r="1013" spans="1:13" hidden="1" x14ac:dyDescent="0.25">
      <c r="A1013" s="16" t="s">
        <v>2185</v>
      </c>
      <c r="B1013" s="16" t="s">
        <v>2596</v>
      </c>
      <c r="C1013" t="e">
        <f t="shared" si="30"/>
        <v>#N/A</v>
      </c>
      <c r="L1013" t="s">
        <v>2108</v>
      </c>
      <c r="M1013">
        <f t="shared" si="31"/>
        <v>485</v>
      </c>
    </row>
    <row r="1014" spans="1:13" hidden="1" x14ac:dyDescent="0.25">
      <c r="A1014" s="16" t="s">
        <v>2185</v>
      </c>
      <c r="B1014" s="16" t="s">
        <v>2597</v>
      </c>
      <c r="C1014" t="e">
        <f t="shared" si="30"/>
        <v>#N/A</v>
      </c>
      <c r="L1014" t="s">
        <v>2109</v>
      </c>
      <c r="M1014">
        <f t="shared" si="31"/>
        <v>486</v>
      </c>
    </row>
    <row r="1015" spans="1:13" hidden="1" x14ac:dyDescent="0.25">
      <c r="A1015" s="16" t="s">
        <v>2185</v>
      </c>
      <c r="B1015" s="16" t="s">
        <v>2598</v>
      </c>
      <c r="C1015" t="e">
        <f t="shared" si="30"/>
        <v>#N/A</v>
      </c>
      <c r="L1015" t="s">
        <v>2110</v>
      </c>
      <c r="M1015">
        <f t="shared" si="31"/>
        <v>487</v>
      </c>
    </row>
    <row r="1016" spans="1:13" hidden="1" x14ac:dyDescent="0.25">
      <c r="A1016" s="16" t="s">
        <v>2185</v>
      </c>
      <c r="B1016" s="16" t="s">
        <v>2599</v>
      </c>
      <c r="C1016" t="e">
        <f t="shared" si="30"/>
        <v>#N/A</v>
      </c>
      <c r="L1016" t="s">
        <v>2111</v>
      </c>
      <c r="M1016">
        <f t="shared" si="31"/>
        <v>488</v>
      </c>
    </row>
    <row r="1017" spans="1:13" hidden="1" x14ac:dyDescent="0.25">
      <c r="A1017" s="16" t="s">
        <v>2185</v>
      </c>
      <c r="B1017" s="16" t="s">
        <v>2600</v>
      </c>
      <c r="C1017" t="e">
        <f t="shared" si="30"/>
        <v>#N/A</v>
      </c>
      <c r="L1017" t="s">
        <v>2112</v>
      </c>
      <c r="M1017">
        <f t="shared" si="31"/>
        <v>489</v>
      </c>
    </row>
    <row r="1018" spans="1:13" hidden="1" x14ac:dyDescent="0.25">
      <c r="A1018" s="16" t="s">
        <v>2185</v>
      </c>
      <c r="B1018" s="16" t="s">
        <v>2601</v>
      </c>
      <c r="C1018" t="e">
        <f t="shared" si="30"/>
        <v>#N/A</v>
      </c>
      <c r="L1018" t="s">
        <v>2113</v>
      </c>
      <c r="M1018">
        <f t="shared" si="31"/>
        <v>490</v>
      </c>
    </row>
    <row r="1019" spans="1:13" hidden="1" x14ac:dyDescent="0.25">
      <c r="A1019" s="16" t="s">
        <v>2185</v>
      </c>
      <c r="B1019" s="16" t="s">
        <v>2602</v>
      </c>
      <c r="C1019" t="e">
        <f t="shared" si="30"/>
        <v>#N/A</v>
      </c>
      <c r="L1019" t="s">
        <v>2114</v>
      </c>
      <c r="M1019">
        <f t="shared" si="31"/>
        <v>491</v>
      </c>
    </row>
    <row r="1020" spans="1:13" hidden="1" x14ac:dyDescent="0.25">
      <c r="A1020" s="16" t="s">
        <v>2185</v>
      </c>
      <c r="B1020" s="16" t="s">
        <v>2603</v>
      </c>
      <c r="C1020" t="e">
        <f t="shared" si="30"/>
        <v>#N/A</v>
      </c>
      <c r="L1020" t="s">
        <v>2115</v>
      </c>
      <c r="M1020">
        <f t="shared" si="31"/>
        <v>492</v>
      </c>
    </row>
    <row r="1021" spans="1:13" hidden="1" x14ac:dyDescent="0.25">
      <c r="A1021" s="16" t="s">
        <v>2185</v>
      </c>
      <c r="B1021" s="16" t="s">
        <v>2604</v>
      </c>
      <c r="C1021" t="e">
        <f t="shared" si="30"/>
        <v>#N/A</v>
      </c>
      <c r="L1021" t="s">
        <v>2116</v>
      </c>
      <c r="M1021">
        <f t="shared" si="31"/>
        <v>493</v>
      </c>
    </row>
    <row r="1022" spans="1:13" hidden="1" x14ac:dyDescent="0.25">
      <c r="A1022" s="16" t="s">
        <v>2185</v>
      </c>
      <c r="B1022" s="16" t="s">
        <v>2605</v>
      </c>
      <c r="C1022" t="e">
        <f t="shared" si="30"/>
        <v>#N/A</v>
      </c>
      <c r="L1022" t="s">
        <v>2117</v>
      </c>
      <c r="M1022">
        <f t="shared" si="31"/>
        <v>494</v>
      </c>
    </row>
    <row r="1023" spans="1:13" hidden="1" x14ac:dyDescent="0.25">
      <c r="A1023" s="16" t="s">
        <v>2185</v>
      </c>
      <c r="B1023" s="16" t="s">
        <v>2606</v>
      </c>
      <c r="C1023" t="e">
        <f t="shared" si="30"/>
        <v>#N/A</v>
      </c>
      <c r="L1023" t="s">
        <v>2118</v>
      </c>
      <c r="M1023">
        <f t="shared" si="31"/>
        <v>495</v>
      </c>
    </row>
    <row r="1024" spans="1:13" hidden="1" x14ac:dyDescent="0.25">
      <c r="A1024" s="16" t="s">
        <v>2185</v>
      </c>
      <c r="B1024" s="16" t="s">
        <v>2607</v>
      </c>
      <c r="C1024" t="e">
        <f t="shared" si="30"/>
        <v>#N/A</v>
      </c>
      <c r="L1024" t="s">
        <v>2119</v>
      </c>
      <c r="M1024">
        <f t="shared" si="31"/>
        <v>496</v>
      </c>
    </row>
    <row r="1025" spans="1:13" hidden="1" x14ac:dyDescent="0.25">
      <c r="A1025" s="16" t="s">
        <v>2185</v>
      </c>
      <c r="B1025" s="16" t="s">
        <v>2608</v>
      </c>
      <c r="C1025" t="e">
        <f t="shared" si="30"/>
        <v>#N/A</v>
      </c>
      <c r="L1025" t="s">
        <v>2120</v>
      </c>
      <c r="M1025">
        <f t="shared" si="31"/>
        <v>497</v>
      </c>
    </row>
    <row r="1026" spans="1:13" hidden="1" x14ac:dyDescent="0.25">
      <c r="A1026" s="16" t="s">
        <v>2185</v>
      </c>
      <c r="B1026" s="16" t="s">
        <v>2609</v>
      </c>
      <c r="C1026" t="e">
        <f t="shared" si="30"/>
        <v>#N/A</v>
      </c>
      <c r="L1026" t="s">
        <v>2121</v>
      </c>
      <c r="M1026">
        <f t="shared" si="31"/>
        <v>498</v>
      </c>
    </row>
    <row r="1027" spans="1:13" hidden="1" x14ac:dyDescent="0.25">
      <c r="A1027" s="16" t="s">
        <v>2185</v>
      </c>
      <c r="B1027" s="16" t="s">
        <v>2610</v>
      </c>
      <c r="C1027" t="e">
        <f t="shared" ref="C1027:C1090" si="32">MATCH(B1027,L:L,0)</f>
        <v>#N/A</v>
      </c>
      <c r="L1027" t="s">
        <v>2122</v>
      </c>
      <c r="M1027">
        <f t="shared" ref="M1027:M1090" si="33">MATCH(L1027,B:B,0)</f>
        <v>499</v>
      </c>
    </row>
    <row r="1028" spans="1:13" hidden="1" x14ac:dyDescent="0.25">
      <c r="A1028" s="16" t="s">
        <v>2185</v>
      </c>
      <c r="B1028" s="16" t="s">
        <v>2611</v>
      </c>
      <c r="C1028" t="e">
        <f t="shared" si="32"/>
        <v>#N/A</v>
      </c>
      <c r="L1028" t="s">
        <v>2123</v>
      </c>
      <c r="M1028">
        <f t="shared" si="33"/>
        <v>500</v>
      </c>
    </row>
    <row r="1029" spans="1:13" hidden="1" x14ac:dyDescent="0.25">
      <c r="A1029" s="16" t="s">
        <v>2185</v>
      </c>
      <c r="B1029" s="16" t="s">
        <v>2612</v>
      </c>
      <c r="C1029" t="e">
        <f t="shared" si="32"/>
        <v>#N/A</v>
      </c>
      <c r="L1029" t="s">
        <v>2124</v>
      </c>
      <c r="M1029">
        <f t="shared" si="33"/>
        <v>501</v>
      </c>
    </row>
    <row r="1030" spans="1:13" hidden="1" x14ac:dyDescent="0.25">
      <c r="A1030" s="16" t="s">
        <v>2185</v>
      </c>
      <c r="B1030" s="16" t="s">
        <v>2613</v>
      </c>
      <c r="C1030" t="e">
        <f t="shared" si="32"/>
        <v>#N/A</v>
      </c>
      <c r="L1030" t="s">
        <v>2125</v>
      </c>
      <c r="M1030">
        <f t="shared" si="33"/>
        <v>502</v>
      </c>
    </row>
    <row r="1031" spans="1:13" hidden="1" x14ac:dyDescent="0.25">
      <c r="A1031" s="16" t="s">
        <v>2185</v>
      </c>
      <c r="B1031" s="16" t="s">
        <v>2614</v>
      </c>
      <c r="C1031" t="e">
        <f t="shared" si="32"/>
        <v>#N/A</v>
      </c>
      <c r="L1031" t="s">
        <v>2126</v>
      </c>
      <c r="M1031">
        <f t="shared" si="33"/>
        <v>503</v>
      </c>
    </row>
    <row r="1032" spans="1:13" hidden="1" x14ac:dyDescent="0.25">
      <c r="A1032" s="16" t="s">
        <v>2185</v>
      </c>
      <c r="B1032" s="16" t="s">
        <v>2615</v>
      </c>
      <c r="C1032" t="e">
        <f t="shared" si="32"/>
        <v>#N/A</v>
      </c>
      <c r="L1032" t="s">
        <v>2127</v>
      </c>
      <c r="M1032">
        <f t="shared" si="33"/>
        <v>504</v>
      </c>
    </row>
    <row r="1033" spans="1:13" hidden="1" x14ac:dyDescent="0.25">
      <c r="A1033" s="16" t="s">
        <v>2185</v>
      </c>
      <c r="B1033" s="16" t="s">
        <v>2616</v>
      </c>
      <c r="C1033" t="e">
        <f t="shared" si="32"/>
        <v>#N/A</v>
      </c>
      <c r="L1033" t="s">
        <v>2128</v>
      </c>
      <c r="M1033">
        <f t="shared" si="33"/>
        <v>505</v>
      </c>
    </row>
    <row r="1034" spans="1:13" hidden="1" x14ac:dyDescent="0.25">
      <c r="A1034" s="16" t="s">
        <v>2185</v>
      </c>
      <c r="B1034" s="16" t="s">
        <v>2617</v>
      </c>
      <c r="C1034" t="e">
        <f t="shared" si="32"/>
        <v>#N/A</v>
      </c>
      <c r="L1034" t="s">
        <v>2129</v>
      </c>
      <c r="M1034">
        <f t="shared" si="33"/>
        <v>506</v>
      </c>
    </row>
    <row r="1035" spans="1:13" hidden="1" x14ac:dyDescent="0.25">
      <c r="A1035" s="16" t="s">
        <v>2185</v>
      </c>
      <c r="B1035" s="16" t="s">
        <v>2618</v>
      </c>
      <c r="C1035" t="e">
        <f t="shared" si="32"/>
        <v>#N/A</v>
      </c>
      <c r="L1035" t="s">
        <v>2130</v>
      </c>
      <c r="M1035">
        <f t="shared" si="33"/>
        <v>507</v>
      </c>
    </row>
    <row r="1036" spans="1:13" hidden="1" x14ac:dyDescent="0.25">
      <c r="A1036" s="16" t="s">
        <v>2185</v>
      </c>
      <c r="B1036" s="16" t="s">
        <v>2619</v>
      </c>
      <c r="C1036" t="e">
        <f t="shared" si="32"/>
        <v>#N/A</v>
      </c>
      <c r="L1036" t="s">
        <v>2131</v>
      </c>
      <c r="M1036">
        <f t="shared" si="33"/>
        <v>508</v>
      </c>
    </row>
    <row r="1037" spans="1:13" hidden="1" x14ac:dyDescent="0.25">
      <c r="A1037" s="16" t="s">
        <v>2185</v>
      </c>
      <c r="B1037" s="16" t="s">
        <v>2620</v>
      </c>
      <c r="C1037">
        <f t="shared" si="32"/>
        <v>1001</v>
      </c>
      <c r="L1037" t="s">
        <v>2132</v>
      </c>
      <c r="M1037">
        <f t="shared" si="33"/>
        <v>509</v>
      </c>
    </row>
    <row r="1038" spans="1:13" hidden="1" x14ac:dyDescent="0.25">
      <c r="A1038" s="16" t="s">
        <v>2185</v>
      </c>
      <c r="B1038" s="16" t="s">
        <v>2621</v>
      </c>
      <c r="C1038">
        <f t="shared" si="32"/>
        <v>1002</v>
      </c>
      <c r="L1038" t="s">
        <v>2133</v>
      </c>
      <c r="M1038">
        <f t="shared" si="33"/>
        <v>510</v>
      </c>
    </row>
    <row r="1039" spans="1:13" hidden="1" x14ac:dyDescent="0.25">
      <c r="A1039" s="16" t="s">
        <v>2185</v>
      </c>
      <c r="B1039" s="16" t="s">
        <v>2622</v>
      </c>
      <c r="C1039">
        <f t="shared" si="32"/>
        <v>1003</v>
      </c>
      <c r="L1039" t="s">
        <v>2134</v>
      </c>
      <c r="M1039">
        <f t="shared" si="33"/>
        <v>511</v>
      </c>
    </row>
    <row r="1040" spans="1:13" hidden="1" x14ac:dyDescent="0.25">
      <c r="A1040" s="16" t="s">
        <v>2185</v>
      </c>
      <c r="B1040" s="16" t="s">
        <v>2623</v>
      </c>
      <c r="C1040">
        <f t="shared" si="32"/>
        <v>1090</v>
      </c>
      <c r="L1040" t="s">
        <v>2135</v>
      </c>
      <c r="M1040">
        <f t="shared" si="33"/>
        <v>512</v>
      </c>
    </row>
    <row r="1041" spans="1:13" hidden="1" x14ac:dyDescent="0.25">
      <c r="A1041" s="16" t="s">
        <v>2185</v>
      </c>
      <c r="B1041" s="16" t="s">
        <v>2624</v>
      </c>
      <c r="C1041">
        <f t="shared" si="32"/>
        <v>1130</v>
      </c>
      <c r="L1041" t="s">
        <v>2136</v>
      </c>
      <c r="M1041">
        <f t="shared" si="33"/>
        <v>513</v>
      </c>
    </row>
    <row r="1042" spans="1:13" hidden="1" x14ac:dyDescent="0.25">
      <c r="A1042" s="16" t="s">
        <v>2185</v>
      </c>
      <c r="B1042" s="16" t="s">
        <v>2625</v>
      </c>
      <c r="C1042">
        <f t="shared" si="32"/>
        <v>1149</v>
      </c>
      <c r="L1042" t="s">
        <v>2137</v>
      </c>
      <c r="M1042">
        <f t="shared" si="33"/>
        <v>514</v>
      </c>
    </row>
    <row r="1043" spans="1:13" hidden="1" x14ac:dyDescent="0.25">
      <c r="A1043" s="16" t="s">
        <v>2185</v>
      </c>
      <c r="B1043" s="16" t="s">
        <v>2626</v>
      </c>
      <c r="C1043">
        <f t="shared" si="32"/>
        <v>1150</v>
      </c>
      <c r="L1043" t="s">
        <v>2138</v>
      </c>
      <c r="M1043">
        <f t="shared" si="33"/>
        <v>515</v>
      </c>
    </row>
    <row r="1044" spans="1:13" hidden="1" x14ac:dyDescent="0.25">
      <c r="A1044" s="16" t="s">
        <v>2185</v>
      </c>
      <c r="B1044" s="16" t="s">
        <v>2627</v>
      </c>
      <c r="C1044">
        <f t="shared" si="32"/>
        <v>1151</v>
      </c>
      <c r="L1044" t="s">
        <v>2139</v>
      </c>
      <c r="M1044">
        <f t="shared" si="33"/>
        <v>516</v>
      </c>
    </row>
    <row r="1045" spans="1:13" hidden="1" x14ac:dyDescent="0.25">
      <c r="A1045" s="16" t="s">
        <v>2185</v>
      </c>
      <c r="B1045" s="16" t="s">
        <v>2628</v>
      </c>
      <c r="C1045">
        <f t="shared" si="32"/>
        <v>1152</v>
      </c>
      <c r="L1045" t="s">
        <v>2140</v>
      </c>
      <c r="M1045">
        <f t="shared" si="33"/>
        <v>517</v>
      </c>
    </row>
    <row r="1046" spans="1:13" hidden="1" x14ac:dyDescent="0.25">
      <c r="A1046" s="16" t="s">
        <v>2185</v>
      </c>
      <c r="B1046" s="16" t="s">
        <v>2629</v>
      </c>
      <c r="C1046">
        <f t="shared" si="32"/>
        <v>1153</v>
      </c>
      <c r="L1046" t="s">
        <v>2141</v>
      </c>
      <c r="M1046">
        <f t="shared" si="33"/>
        <v>518</v>
      </c>
    </row>
    <row r="1047" spans="1:13" hidden="1" x14ac:dyDescent="0.25">
      <c r="A1047" s="16" t="s">
        <v>2185</v>
      </c>
      <c r="B1047" s="16" t="s">
        <v>2630</v>
      </c>
      <c r="C1047">
        <f t="shared" si="32"/>
        <v>1154</v>
      </c>
      <c r="L1047" t="s">
        <v>2142</v>
      </c>
      <c r="M1047">
        <f t="shared" si="33"/>
        <v>519</v>
      </c>
    </row>
    <row r="1048" spans="1:13" hidden="1" x14ac:dyDescent="0.25">
      <c r="A1048" s="16" t="s">
        <v>2185</v>
      </c>
      <c r="B1048" s="16" t="s">
        <v>2631</v>
      </c>
      <c r="C1048">
        <f t="shared" si="32"/>
        <v>1155</v>
      </c>
      <c r="L1048" t="s">
        <v>2143</v>
      </c>
      <c r="M1048">
        <f t="shared" si="33"/>
        <v>520</v>
      </c>
    </row>
    <row r="1049" spans="1:13" hidden="1" x14ac:dyDescent="0.25">
      <c r="A1049" s="16" t="s">
        <v>2185</v>
      </c>
      <c r="B1049" s="16" t="s">
        <v>2632</v>
      </c>
      <c r="C1049">
        <f t="shared" si="32"/>
        <v>1156</v>
      </c>
      <c r="L1049" t="s">
        <v>2144</v>
      </c>
      <c r="M1049">
        <f t="shared" si="33"/>
        <v>521</v>
      </c>
    </row>
    <row r="1050" spans="1:13" hidden="1" x14ac:dyDescent="0.25">
      <c r="A1050" s="16" t="s">
        <v>2185</v>
      </c>
      <c r="B1050" s="16" t="s">
        <v>2633</v>
      </c>
      <c r="C1050">
        <f t="shared" si="32"/>
        <v>1157</v>
      </c>
      <c r="L1050" t="s">
        <v>2145</v>
      </c>
      <c r="M1050">
        <f t="shared" si="33"/>
        <v>522</v>
      </c>
    </row>
    <row r="1051" spans="1:13" hidden="1" x14ac:dyDescent="0.25">
      <c r="A1051" s="16" t="s">
        <v>2185</v>
      </c>
      <c r="B1051" s="16" t="s">
        <v>2634</v>
      </c>
      <c r="C1051">
        <f t="shared" si="32"/>
        <v>1158</v>
      </c>
      <c r="L1051" t="s">
        <v>2146</v>
      </c>
      <c r="M1051">
        <f t="shared" si="33"/>
        <v>523</v>
      </c>
    </row>
    <row r="1052" spans="1:13" hidden="1" x14ac:dyDescent="0.25">
      <c r="A1052" s="16" t="s">
        <v>2185</v>
      </c>
      <c r="B1052" s="16" t="s">
        <v>2635</v>
      </c>
      <c r="C1052">
        <f t="shared" si="32"/>
        <v>1159</v>
      </c>
      <c r="L1052" t="s">
        <v>2147</v>
      </c>
      <c r="M1052">
        <f t="shared" si="33"/>
        <v>524</v>
      </c>
    </row>
    <row r="1053" spans="1:13" hidden="1" x14ac:dyDescent="0.25">
      <c r="A1053" s="16" t="s">
        <v>2185</v>
      </c>
      <c r="B1053" s="16" t="s">
        <v>2636</v>
      </c>
      <c r="C1053">
        <f t="shared" si="32"/>
        <v>1160</v>
      </c>
      <c r="L1053" t="s">
        <v>2148</v>
      </c>
      <c r="M1053">
        <f t="shared" si="33"/>
        <v>525</v>
      </c>
    </row>
    <row r="1054" spans="1:13" hidden="1" x14ac:dyDescent="0.25">
      <c r="A1054" s="16" t="s">
        <v>2185</v>
      </c>
      <c r="B1054" s="16" t="s">
        <v>2637</v>
      </c>
      <c r="C1054">
        <f t="shared" si="32"/>
        <v>1161</v>
      </c>
      <c r="L1054" t="s">
        <v>2149</v>
      </c>
      <c r="M1054">
        <f t="shared" si="33"/>
        <v>526</v>
      </c>
    </row>
    <row r="1055" spans="1:13" hidden="1" x14ac:dyDescent="0.25">
      <c r="A1055" s="16" t="s">
        <v>2185</v>
      </c>
      <c r="B1055" s="16" t="s">
        <v>2638</v>
      </c>
      <c r="C1055">
        <f t="shared" si="32"/>
        <v>1197</v>
      </c>
      <c r="L1055" t="s">
        <v>2150</v>
      </c>
      <c r="M1055">
        <f t="shared" si="33"/>
        <v>527</v>
      </c>
    </row>
    <row r="1056" spans="1:13" hidden="1" x14ac:dyDescent="0.25">
      <c r="A1056" s="16" t="s">
        <v>2185</v>
      </c>
      <c r="B1056" s="16" t="s">
        <v>2639</v>
      </c>
      <c r="C1056">
        <f t="shared" si="32"/>
        <v>1225</v>
      </c>
      <c r="L1056" t="s">
        <v>2151</v>
      </c>
      <c r="M1056">
        <f t="shared" si="33"/>
        <v>528</v>
      </c>
    </row>
    <row r="1057" spans="1:13" hidden="1" x14ac:dyDescent="0.25">
      <c r="A1057" s="16" t="s">
        <v>2185</v>
      </c>
      <c r="B1057" s="16" t="s">
        <v>2640</v>
      </c>
      <c r="C1057">
        <f t="shared" si="32"/>
        <v>1251</v>
      </c>
      <c r="L1057" t="s">
        <v>2152</v>
      </c>
      <c r="M1057">
        <f t="shared" si="33"/>
        <v>529</v>
      </c>
    </row>
    <row r="1058" spans="1:13" hidden="1" x14ac:dyDescent="0.25">
      <c r="A1058" s="16" t="s">
        <v>2185</v>
      </c>
      <c r="B1058" s="16" t="s">
        <v>2641</v>
      </c>
      <c r="C1058">
        <f t="shared" si="32"/>
        <v>1252</v>
      </c>
      <c r="L1058" t="s">
        <v>2153</v>
      </c>
      <c r="M1058">
        <f t="shared" si="33"/>
        <v>530</v>
      </c>
    </row>
    <row r="1059" spans="1:13" hidden="1" x14ac:dyDescent="0.25">
      <c r="A1059" s="16" t="s">
        <v>2185</v>
      </c>
      <c r="B1059" s="16" t="s">
        <v>2642</v>
      </c>
      <c r="C1059">
        <f t="shared" si="32"/>
        <v>1253</v>
      </c>
      <c r="L1059" t="s">
        <v>2154</v>
      </c>
      <c r="M1059">
        <f t="shared" si="33"/>
        <v>531</v>
      </c>
    </row>
    <row r="1060" spans="1:13" hidden="1" x14ac:dyDescent="0.25">
      <c r="A1060" s="16" t="s">
        <v>2185</v>
      </c>
      <c r="B1060" s="16" t="s">
        <v>2643</v>
      </c>
      <c r="C1060">
        <f t="shared" si="32"/>
        <v>1254</v>
      </c>
      <c r="L1060" t="s">
        <v>2155</v>
      </c>
      <c r="M1060">
        <f t="shared" si="33"/>
        <v>532</v>
      </c>
    </row>
    <row r="1061" spans="1:13" hidden="1" x14ac:dyDescent="0.25">
      <c r="A1061" s="16" t="s">
        <v>2185</v>
      </c>
      <c r="B1061" s="16" t="s">
        <v>2644</v>
      </c>
      <c r="C1061">
        <f t="shared" si="32"/>
        <v>1255</v>
      </c>
      <c r="L1061" t="s">
        <v>2156</v>
      </c>
      <c r="M1061">
        <f t="shared" si="33"/>
        <v>533</v>
      </c>
    </row>
    <row r="1062" spans="1:13" hidden="1" x14ac:dyDescent="0.25">
      <c r="A1062" s="16" t="s">
        <v>2185</v>
      </c>
      <c r="B1062" s="16" t="s">
        <v>2645</v>
      </c>
      <c r="C1062">
        <f t="shared" si="32"/>
        <v>1256</v>
      </c>
      <c r="L1062" t="s">
        <v>2157</v>
      </c>
      <c r="M1062">
        <f t="shared" si="33"/>
        <v>534</v>
      </c>
    </row>
    <row r="1063" spans="1:13" hidden="1" x14ac:dyDescent="0.25">
      <c r="A1063" s="16" t="s">
        <v>2185</v>
      </c>
      <c r="B1063" s="16" t="s">
        <v>2646</v>
      </c>
      <c r="C1063">
        <f t="shared" si="32"/>
        <v>1257</v>
      </c>
      <c r="L1063" t="s">
        <v>2158</v>
      </c>
      <c r="M1063">
        <f t="shared" si="33"/>
        <v>535</v>
      </c>
    </row>
    <row r="1064" spans="1:13" hidden="1" x14ac:dyDescent="0.25">
      <c r="A1064" s="16" t="s">
        <v>2185</v>
      </c>
      <c r="B1064" s="16" t="s">
        <v>2647</v>
      </c>
      <c r="C1064">
        <f t="shared" si="32"/>
        <v>1258</v>
      </c>
      <c r="L1064" t="s">
        <v>2159</v>
      </c>
      <c r="M1064">
        <f t="shared" si="33"/>
        <v>536</v>
      </c>
    </row>
    <row r="1065" spans="1:13" hidden="1" x14ac:dyDescent="0.25">
      <c r="A1065" s="16" t="s">
        <v>2185</v>
      </c>
      <c r="B1065" s="16" t="s">
        <v>2648</v>
      </c>
      <c r="C1065">
        <f t="shared" si="32"/>
        <v>1259</v>
      </c>
      <c r="L1065" t="s">
        <v>2160</v>
      </c>
      <c r="M1065">
        <f t="shared" si="33"/>
        <v>537</v>
      </c>
    </row>
    <row r="1066" spans="1:13" hidden="1" x14ac:dyDescent="0.25">
      <c r="A1066" s="16" t="s">
        <v>2185</v>
      </c>
      <c r="B1066" s="16" t="s">
        <v>2649</v>
      </c>
      <c r="C1066">
        <f t="shared" si="32"/>
        <v>1260</v>
      </c>
      <c r="L1066" t="s">
        <v>2161</v>
      </c>
      <c r="M1066">
        <f t="shared" si="33"/>
        <v>538</v>
      </c>
    </row>
    <row r="1067" spans="1:13" hidden="1" x14ac:dyDescent="0.25">
      <c r="A1067" s="16" t="s">
        <v>2185</v>
      </c>
      <c r="B1067" s="16" t="s">
        <v>2650</v>
      </c>
      <c r="C1067">
        <f t="shared" si="32"/>
        <v>1261</v>
      </c>
      <c r="L1067" t="s">
        <v>2162</v>
      </c>
      <c r="M1067">
        <f t="shared" si="33"/>
        <v>539</v>
      </c>
    </row>
    <row r="1068" spans="1:13" hidden="1" x14ac:dyDescent="0.25">
      <c r="A1068" s="16" t="s">
        <v>2185</v>
      </c>
      <c r="B1068" s="16" t="s">
        <v>2651</v>
      </c>
      <c r="C1068">
        <f t="shared" si="32"/>
        <v>1262</v>
      </c>
      <c r="L1068" t="s">
        <v>2163</v>
      </c>
      <c r="M1068">
        <f t="shared" si="33"/>
        <v>540</v>
      </c>
    </row>
    <row r="1069" spans="1:13" hidden="1" x14ac:dyDescent="0.25">
      <c r="A1069" s="16" t="s">
        <v>2185</v>
      </c>
      <c r="B1069" s="16" t="s">
        <v>2652</v>
      </c>
      <c r="C1069">
        <f t="shared" si="32"/>
        <v>1263</v>
      </c>
      <c r="L1069" t="s">
        <v>2164</v>
      </c>
      <c r="M1069">
        <f t="shared" si="33"/>
        <v>541</v>
      </c>
    </row>
    <row r="1070" spans="1:13" hidden="1" x14ac:dyDescent="0.25">
      <c r="A1070" s="16" t="s">
        <v>2185</v>
      </c>
      <c r="B1070" s="16" t="s">
        <v>2653</v>
      </c>
      <c r="C1070">
        <f t="shared" si="32"/>
        <v>1264</v>
      </c>
      <c r="L1070" t="s">
        <v>2165</v>
      </c>
      <c r="M1070">
        <f t="shared" si="33"/>
        <v>542</v>
      </c>
    </row>
    <row r="1071" spans="1:13" hidden="1" x14ac:dyDescent="0.25">
      <c r="A1071" s="16" t="s">
        <v>2185</v>
      </c>
      <c r="B1071" s="16" t="s">
        <v>2654</v>
      </c>
      <c r="C1071">
        <f t="shared" si="32"/>
        <v>1265</v>
      </c>
      <c r="L1071" t="s">
        <v>2166</v>
      </c>
      <c r="M1071">
        <f t="shared" si="33"/>
        <v>543</v>
      </c>
    </row>
    <row r="1072" spans="1:13" hidden="1" x14ac:dyDescent="0.25">
      <c r="A1072" s="16" t="s">
        <v>2185</v>
      </c>
      <c r="B1072" s="16" t="s">
        <v>2655</v>
      </c>
      <c r="C1072">
        <f t="shared" si="32"/>
        <v>1266</v>
      </c>
      <c r="L1072" t="s">
        <v>2167</v>
      </c>
      <c r="M1072">
        <f t="shared" si="33"/>
        <v>544</v>
      </c>
    </row>
    <row r="1073" spans="1:13" hidden="1" x14ac:dyDescent="0.25">
      <c r="A1073" s="16" t="s">
        <v>2185</v>
      </c>
      <c r="B1073" s="16" t="s">
        <v>2656</v>
      </c>
      <c r="C1073">
        <f t="shared" si="32"/>
        <v>1267</v>
      </c>
      <c r="L1073" t="s">
        <v>2168</v>
      </c>
      <c r="M1073">
        <f t="shared" si="33"/>
        <v>545</v>
      </c>
    </row>
    <row r="1074" spans="1:13" hidden="1" x14ac:dyDescent="0.25">
      <c r="A1074" s="16" t="s">
        <v>2185</v>
      </c>
      <c r="B1074" s="16" t="s">
        <v>2657</v>
      </c>
      <c r="C1074">
        <f t="shared" si="32"/>
        <v>1268</v>
      </c>
      <c r="L1074" t="s">
        <v>2169</v>
      </c>
      <c r="M1074">
        <f t="shared" si="33"/>
        <v>546</v>
      </c>
    </row>
    <row r="1075" spans="1:13" hidden="1" x14ac:dyDescent="0.25">
      <c r="A1075" s="16" t="s">
        <v>2185</v>
      </c>
      <c r="B1075" s="16" t="s">
        <v>2658</v>
      </c>
      <c r="C1075">
        <f t="shared" si="32"/>
        <v>1269</v>
      </c>
      <c r="L1075" t="s">
        <v>2170</v>
      </c>
      <c r="M1075">
        <f t="shared" si="33"/>
        <v>547</v>
      </c>
    </row>
    <row r="1076" spans="1:13" hidden="1" x14ac:dyDescent="0.25">
      <c r="A1076" s="16" t="s">
        <v>2185</v>
      </c>
      <c r="B1076" s="16" t="s">
        <v>2659</v>
      </c>
      <c r="C1076">
        <f t="shared" si="32"/>
        <v>1270</v>
      </c>
      <c r="L1076" t="s">
        <v>2171</v>
      </c>
      <c r="M1076">
        <f t="shared" si="33"/>
        <v>548</v>
      </c>
    </row>
    <row r="1077" spans="1:13" hidden="1" x14ac:dyDescent="0.25">
      <c r="A1077" s="16" t="s">
        <v>2185</v>
      </c>
      <c r="B1077" s="16" t="s">
        <v>2660</v>
      </c>
      <c r="C1077">
        <f t="shared" si="32"/>
        <v>1271</v>
      </c>
      <c r="L1077" t="s">
        <v>2172</v>
      </c>
      <c r="M1077">
        <f t="shared" si="33"/>
        <v>549</v>
      </c>
    </row>
    <row r="1078" spans="1:13" hidden="1" x14ac:dyDescent="0.25">
      <c r="A1078" s="16" t="s">
        <v>2185</v>
      </c>
      <c r="B1078" s="16" t="s">
        <v>2661</v>
      </c>
      <c r="C1078">
        <f t="shared" si="32"/>
        <v>1272</v>
      </c>
      <c r="L1078" t="s">
        <v>2173</v>
      </c>
      <c r="M1078">
        <f t="shared" si="33"/>
        <v>550</v>
      </c>
    </row>
    <row r="1079" spans="1:13" hidden="1" x14ac:dyDescent="0.25">
      <c r="A1079" s="16" t="s">
        <v>2185</v>
      </c>
      <c r="B1079" s="16" t="s">
        <v>2662</v>
      </c>
      <c r="C1079">
        <f t="shared" si="32"/>
        <v>1273</v>
      </c>
      <c r="L1079" t="s">
        <v>2174</v>
      </c>
      <c r="M1079">
        <f t="shared" si="33"/>
        <v>551</v>
      </c>
    </row>
    <row r="1080" spans="1:13" hidden="1" x14ac:dyDescent="0.25">
      <c r="A1080" s="16" t="s">
        <v>2185</v>
      </c>
      <c r="B1080" s="16" t="s">
        <v>2663</v>
      </c>
      <c r="C1080">
        <f t="shared" si="32"/>
        <v>1274</v>
      </c>
      <c r="L1080" t="s">
        <v>2175</v>
      </c>
      <c r="M1080">
        <f t="shared" si="33"/>
        <v>552</v>
      </c>
    </row>
    <row r="1081" spans="1:13" hidden="1" x14ac:dyDescent="0.25">
      <c r="A1081" s="16" t="s">
        <v>2185</v>
      </c>
      <c r="B1081" s="16" t="s">
        <v>2664</v>
      </c>
      <c r="C1081">
        <f t="shared" si="32"/>
        <v>1275</v>
      </c>
      <c r="L1081" t="s">
        <v>2176</v>
      </c>
      <c r="M1081">
        <f t="shared" si="33"/>
        <v>553</v>
      </c>
    </row>
    <row r="1082" spans="1:13" hidden="1" x14ac:dyDescent="0.25">
      <c r="A1082" s="16" t="s">
        <v>2185</v>
      </c>
      <c r="B1082" s="16" t="s">
        <v>2665</v>
      </c>
      <c r="C1082">
        <f t="shared" si="32"/>
        <v>1276</v>
      </c>
      <c r="L1082" t="s">
        <v>2177</v>
      </c>
      <c r="M1082">
        <f t="shared" si="33"/>
        <v>554</v>
      </c>
    </row>
    <row r="1083" spans="1:13" hidden="1" x14ac:dyDescent="0.25">
      <c r="A1083" s="16" t="s">
        <v>2185</v>
      </c>
      <c r="B1083" s="16" t="s">
        <v>2666</v>
      </c>
      <c r="C1083">
        <f t="shared" si="32"/>
        <v>1277</v>
      </c>
      <c r="L1083" t="s">
        <v>2178</v>
      </c>
      <c r="M1083">
        <f t="shared" si="33"/>
        <v>555</v>
      </c>
    </row>
    <row r="1084" spans="1:13" hidden="1" x14ac:dyDescent="0.25">
      <c r="A1084" s="16" t="s">
        <v>2185</v>
      </c>
      <c r="B1084" s="16" t="s">
        <v>2667</v>
      </c>
      <c r="C1084">
        <f t="shared" si="32"/>
        <v>1278</v>
      </c>
      <c r="L1084" t="s">
        <v>2179</v>
      </c>
      <c r="M1084">
        <f t="shared" si="33"/>
        <v>556</v>
      </c>
    </row>
    <row r="1085" spans="1:13" hidden="1" x14ac:dyDescent="0.25">
      <c r="A1085" s="16" t="s">
        <v>2185</v>
      </c>
      <c r="B1085" s="16" t="s">
        <v>2668</v>
      </c>
      <c r="C1085">
        <f t="shared" si="32"/>
        <v>1279</v>
      </c>
      <c r="L1085" t="s">
        <v>2180</v>
      </c>
      <c r="M1085">
        <f t="shared" si="33"/>
        <v>557</v>
      </c>
    </row>
    <row r="1086" spans="1:13" hidden="1" x14ac:dyDescent="0.25">
      <c r="A1086" s="16" t="s">
        <v>2185</v>
      </c>
      <c r="B1086" s="16" t="s">
        <v>2669</v>
      </c>
      <c r="C1086">
        <f t="shared" si="32"/>
        <v>1280</v>
      </c>
      <c r="L1086" t="s">
        <v>2181</v>
      </c>
      <c r="M1086">
        <f t="shared" si="33"/>
        <v>558</v>
      </c>
    </row>
    <row r="1087" spans="1:13" hidden="1" x14ac:dyDescent="0.25">
      <c r="A1087" s="16" t="s">
        <v>2185</v>
      </c>
      <c r="B1087" s="16" t="s">
        <v>2670</v>
      </c>
      <c r="C1087">
        <f t="shared" si="32"/>
        <v>1281</v>
      </c>
      <c r="L1087" t="s">
        <v>2182</v>
      </c>
      <c r="M1087">
        <f t="shared" si="33"/>
        <v>559</v>
      </c>
    </row>
    <row r="1088" spans="1:13" hidden="1" x14ac:dyDescent="0.25">
      <c r="A1088" s="16" t="s">
        <v>2185</v>
      </c>
      <c r="B1088" s="16" t="s">
        <v>2671</v>
      </c>
      <c r="C1088">
        <f t="shared" si="32"/>
        <v>1282</v>
      </c>
      <c r="L1088" t="s">
        <v>2183</v>
      </c>
      <c r="M1088">
        <f t="shared" si="33"/>
        <v>560</v>
      </c>
    </row>
    <row r="1089" spans="1:13" hidden="1" x14ac:dyDescent="0.25">
      <c r="A1089" s="16" t="s">
        <v>2185</v>
      </c>
      <c r="B1089" s="16" t="s">
        <v>2672</v>
      </c>
      <c r="C1089">
        <f t="shared" si="32"/>
        <v>1283</v>
      </c>
      <c r="L1089" t="s">
        <v>2184</v>
      </c>
      <c r="M1089">
        <f t="shared" si="33"/>
        <v>561</v>
      </c>
    </row>
    <row r="1090" spans="1:13" hidden="1" x14ac:dyDescent="0.25">
      <c r="A1090" s="16" t="s">
        <v>2185</v>
      </c>
      <c r="B1090" s="16" t="s">
        <v>2673</v>
      </c>
      <c r="C1090">
        <f t="shared" si="32"/>
        <v>1284</v>
      </c>
      <c r="L1090" t="s">
        <v>2623</v>
      </c>
      <c r="M1090">
        <f t="shared" si="33"/>
        <v>1040</v>
      </c>
    </row>
    <row r="1091" spans="1:13" hidden="1" x14ac:dyDescent="0.25">
      <c r="A1091" s="16" t="s">
        <v>2185</v>
      </c>
      <c r="B1091" s="16" t="s">
        <v>2674</v>
      </c>
      <c r="C1091">
        <f t="shared" ref="C1091:C1154" si="34">MATCH(B1091,L:L,0)</f>
        <v>1285</v>
      </c>
      <c r="L1091" t="s">
        <v>2802</v>
      </c>
      <c r="M1091">
        <f t="shared" ref="M1091:M1154" si="35">MATCH(L1091,B:B,0)</f>
        <v>562</v>
      </c>
    </row>
    <row r="1092" spans="1:13" hidden="1" x14ac:dyDescent="0.25">
      <c r="A1092" s="16" t="s">
        <v>2185</v>
      </c>
      <c r="B1092" s="16" t="s">
        <v>2675</v>
      </c>
      <c r="C1092">
        <f t="shared" si="34"/>
        <v>1286</v>
      </c>
      <c r="L1092" t="s">
        <v>2803</v>
      </c>
      <c r="M1092">
        <f t="shared" si="35"/>
        <v>563</v>
      </c>
    </row>
    <row r="1093" spans="1:13" hidden="1" x14ac:dyDescent="0.25">
      <c r="A1093" s="16" t="s">
        <v>2185</v>
      </c>
      <c r="B1093" s="16" t="s">
        <v>2676</v>
      </c>
      <c r="C1093">
        <f t="shared" si="34"/>
        <v>1287</v>
      </c>
      <c r="L1093" t="s">
        <v>2804</v>
      </c>
      <c r="M1093">
        <f t="shared" si="35"/>
        <v>564</v>
      </c>
    </row>
    <row r="1094" spans="1:13" hidden="1" x14ac:dyDescent="0.25">
      <c r="A1094" s="16" t="s">
        <v>2185</v>
      </c>
      <c r="B1094" s="16" t="s">
        <v>2677</v>
      </c>
      <c r="C1094">
        <f t="shared" si="34"/>
        <v>1288</v>
      </c>
      <c r="L1094" t="s">
        <v>2805</v>
      </c>
      <c r="M1094">
        <f t="shared" si="35"/>
        <v>565</v>
      </c>
    </row>
    <row r="1095" spans="1:13" hidden="1" x14ac:dyDescent="0.25">
      <c r="A1095" s="16" t="s">
        <v>2185</v>
      </c>
      <c r="B1095" s="16" t="s">
        <v>2678</v>
      </c>
      <c r="C1095">
        <f t="shared" si="34"/>
        <v>1289</v>
      </c>
      <c r="L1095" t="s">
        <v>2806</v>
      </c>
      <c r="M1095">
        <f t="shared" si="35"/>
        <v>566</v>
      </c>
    </row>
    <row r="1096" spans="1:13" hidden="1" x14ac:dyDescent="0.25">
      <c r="A1096" s="16" t="s">
        <v>2185</v>
      </c>
      <c r="B1096" s="16" t="s">
        <v>2679</v>
      </c>
      <c r="C1096">
        <f t="shared" si="34"/>
        <v>1290</v>
      </c>
      <c r="L1096" t="s">
        <v>2807</v>
      </c>
      <c r="M1096">
        <f t="shared" si="35"/>
        <v>567</v>
      </c>
    </row>
    <row r="1097" spans="1:13" hidden="1" x14ac:dyDescent="0.25">
      <c r="A1097" s="16" t="s">
        <v>2185</v>
      </c>
      <c r="B1097" s="16" t="s">
        <v>2680</v>
      </c>
      <c r="C1097">
        <f t="shared" si="34"/>
        <v>1291</v>
      </c>
      <c r="L1097" t="s">
        <v>2808</v>
      </c>
      <c r="M1097">
        <f t="shared" si="35"/>
        <v>568</v>
      </c>
    </row>
    <row r="1098" spans="1:13" hidden="1" x14ac:dyDescent="0.25">
      <c r="A1098" s="16" t="s">
        <v>2185</v>
      </c>
      <c r="B1098" s="16" t="s">
        <v>2681</v>
      </c>
      <c r="C1098">
        <f t="shared" si="34"/>
        <v>1292</v>
      </c>
      <c r="L1098" t="s">
        <v>2809</v>
      </c>
      <c r="M1098">
        <f t="shared" si="35"/>
        <v>569</v>
      </c>
    </row>
    <row r="1099" spans="1:13" hidden="1" x14ac:dyDescent="0.25">
      <c r="A1099" s="16" t="s">
        <v>2185</v>
      </c>
      <c r="B1099" s="16" t="s">
        <v>2682</v>
      </c>
      <c r="C1099">
        <f t="shared" si="34"/>
        <v>1293</v>
      </c>
      <c r="L1099" t="s">
        <v>2810</v>
      </c>
      <c r="M1099">
        <f t="shared" si="35"/>
        <v>570</v>
      </c>
    </row>
    <row r="1100" spans="1:13" hidden="1" x14ac:dyDescent="0.25">
      <c r="A1100" s="16" t="s">
        <v>2185</v>
      </c>
      <c r="B1100" s="16" t="s">
        <v>2683</v>
      </c>
      <c r="C1100">
        <f t="shared" si="34"/>
        <v>1294</v>
      </c>
      <c r="L1100" t="s">
        <v>2811</v>
      </c>
      <c r="M1100">
        <f t="shared" si="35"/>
        <v>571</v>
      </c>
    </row>
    <row r="1101" spans="1:13" hidden="1" x14ac:dyDescent="0.25">
      <c r="A1101" s="16" t="s">
        <v>2185</v>
      </c>
      <c r="B1101" s="16" t="s">
        <v>2684</v>
      </c>
      <c r="C1101">
        <f t="shared" si="34"/>
        <v>1295</v>
      </c>
      <c r="L1101" t="s">
        <v>2812</v>
      </c>
      <c r="M1101">
        <f t="shared" si="35"/>
        <v>572</v>
      </c>
    </row>
    <row r="1102" spans="1:13" hidden="1" x14ac:dyDescent="0.25">
      <c r="A1102" s="16" t="s">
        <v>2185</v>
      </c>
      <c r="B1102" s="16" t="s">
        <v>2685</v>
      </c>
      <c r="C1102">
        <f t="shared" si="34"/>
        <v>1296</v>
      </c>
      <c r="L1102" t="s">
        <v>2813</v>
      </c>
      <c r="M1102">
        <f t="shared" si="35"/>
        <v>573</v>
      </c>
    </row>
    <row r="1103" spans="1:13" hidden="1" x14ac:dyDescent="0.25">
      <c r="A1103" s="16" t="s">
        <v>2185</v>
      </c>
      <c r="B1103" s="16" t="s">
        <v>2686</v>
      </c>
      <c r="C1103">
        <f t="shared" si="34"/>
        <v>1297</v>
      </c>
      <c r="L1103" t="s">
        <v>2814</v>
      </c>
      <c r="M1103">
        <f t="shared" si="35"/>
        <v>574</v>
      </c>
    </row>
    <row r="1104" spans="1:13" hidden="1" x14ac:dyDescent="0.25">
      <c r="A1104" s="16" t="s">
        <v>2185</v>
      </c>
      <c r="B1104" s="16" t="s">
        <v>2687</v>
      </c>
      <c r="C1104">
        <f t="shared" si="34"/>
        <v>1298</v>
      </c>
      <c r="L1104" t="s">
        <v>2815</v>
      </c>
      <c r="M1104">
        <f t="shared" si="35"/>
        <v>575</v>
      </c>
    </row>
    <row r="1105" spans="1:13" hidden="1" x14ac:dyDescent="0.25">
      <c r="A1105" s="16" t="s">
        <v>2185</v>
      </c>
      <c r="B1105" s="16" t="s">
        <v>2688</v>
      </c>
      <c r="C1105">
        <f t="shared" si="34"/>
        <v>1300</v>
      </c>
      <c r="L1105" t="s">
        <v>2816</v>
      </c>
      <c r="M1105">
        <f t="shared" si="35"/>
        <v>576</v>
      </c>
    </row>
    <row r="1106" spans="1:13" hidden="1" x14ac:dyDescent="0.25">
      <c r="A1106" s="16" t="s">
        <v>2185</v>
      </c>
      <c r="B1106" s="16" t="s">
        <v>2689</v>
      </c>
      <c r="C1106">
        <f t="shared" si="34"/>
        <v>1301</v>
      </c>
      <c r="L1106" t="s">
        <v>2817</v>
      </c>
      <c r="M1106">
        <f t="shared" si="35"/>
        <v>577</v>
      </c>
    </row>
    <row r="1107" spans="1:13" hidden="1" x14ac:dyDescent="0.25">
      <c r="A1107" s="16" t="s">
        <v>2185</v>
      </c>
      <c r="B1107" s="16" t="s">
        <v>2690</v>
      </c>
      <c r="C1107">
        <f t="shared" si="34"/>
        <v>1302</v>
      </c>
      <c r="L1107" t="s">
        <v>2818</v>
      </c>
      <c r="M1107">
        <f t="shared" si="35"/>
        <v>578</v>
      </c>
    </row>
    <row r="1108" spans="1:13" hidden="1" x14ac:dyDescent="0.25">
      <c r="A1108" s="16" t="s">
        <v>2185</v>
      </c>
      <c r="B1108" s="16" t="s">
        <v>2691</v>
      </c>
      <c r="C1108">
        <f t="shared" si="34"/>
        <v>1303</v>
      </c>
      <c r="L1108" t="s">
        <v>2819</v>
      </c>
      <c r="M1108">
        <f t="shared" si="35"/>
        <v>579</v>
      </c>
    </row>
    <row r="1109" spans="1:13" hidden="1" x14ac:dyDescent="0.25">
      <c r="A1109" s="16" t="s">
        <v>2185</v>
      </c>
      <c r="B1109" s="16" t="s">
        <v>2692</v>
      </c>
      <c r="C1109">
        <f t="shared" si="34"/>
        <v>1304</v>
      </c>
      <c r="L1109" t="s">
        <v>2820</v>
      </c>
      <c r="M1109">
        <f t="shared" si="35"/>
        <v>580</v>
      </c>
    </row>
    <row r="1110" spans="1:13" hidden="1" x14ac:dyDescent="0.25">
      <c r="A1110" s="16" t="s">
        <v>2185</v>
      </c>
      <c r="B1110" s="16" t="s">
        <v>2693</v>
      </c>
      <c r="C1110">
        <f t="shared" si="34"/>
        <v>1305</v>
      </c>
      <c r="L1110" t="s">
        <v>2821</v>
      </c>
      <c r="M1110">
        <f t="shared" si="35"/>
        <v>581</v>
      </c>
    </row>
    <row r="1111" spans="1:13" hidden="1" x14ac:dyDescent="0.25">
      <c r="A1111" s="16" t="s">
        <v>2185</v>
      </c>
      <c r="B1111" s="16" t="s">
        <v>2694</v>
      </c>
      <c r="C1111">
        <f t="shared" si="34"/>
        <v>1306</v>
      </c>
      <c r="L1111" t="s">
        <v>2822</v>
      </c>
      <c r="M1111">
        <f t="shared" si="35"/>
        <v>582</v>
      </c>
    </row>
    <row r="1112" spans="1:13" hidden="1" x14ac:dyDescent="0.25">
      <c r="A1112" s="16" t="s">
        <v>2185</v>
      </c>
      <c r="B1112" s="16" t="s">
        <v>2695</v>
      </c>
      <c r="C1112">
        <f t="shared" si="34"/>
        <v>1307</v>
      </c>
      <c r="L1112" t="s">
        <v>2823</v>
      </c>
      <c r="M1112">
        <f t="shared" si="35"/>
        <v>583</v>
      </c>
    </row>
    <row r="1113" spans="1:13" hidden="1" x14ac:dyDescent="0.25">
      <c r="A1113" s="16" t="s">
        <v>2185</v>
      </c>
      <c r="B1113" s="16" t="s">
        <v>2696</v>
      </c>
      <c r="C1113">
        <f t="shared" si="34"/>
        <v>1308</v>
      </c>
      <c r="L1113" t="s">
        <v>2824</v>
      </c>
      <c r="M1113">
        <f t="shared" si="35"/>
        <v>584</v>
      </c>
    </row>
    <row r="1114" spans="1:13" hidden="1" x14ac:dyDescent="0.25">
      <c r="A1114" s="16" t="s">
        <v>2185</v>
      </c>
      <c r="B1114" s="16" t="s">
        <v>2697</v>
      </c>
      <c r="C1114">
        <f t="shared" si="34"/>
        <v>1309</v>
      </c>
      <c r="L1114" t="s">
        <v>2825</v>
      </c>
      <c r="M1114">
        <f t="shared" si="35"/>
        <v>585</v>
      </c>
    </row>
    <row r="1115" spans="1:13" hidden="1" x14ac:dyDescent="0.25">
      <c r="A1115" s="16" t="s">
        <v>2185</v>
      </c>
      <c r="B1115" s="16" t="s">
        <v>2698</v>
      </c>
      <c r="C1115">
        <f t="shared" si="34"/>
        <v>1310</v>
      </c>
      <c r="L1115" t="s">
        <v>2826</v>
      </c>
      <c r="M1115">
        <f t="shared" si="35"/>
        <v>586</v>
      </c>
    </row>
    <row r="1116" spans="1:13" hidden="1" x14ac:dyDescent="0.25">
      <c r="A1116" s="16" t="s">
        <v>2185</v>
      </c>
      <c r="B1116" s="16" t="s">
        <v>2699</v>
      </c>
      <c r="C1116">
        <f t="shared" si="34"/>
        <v>1311</v>
      </c>
      <c r="L1116" t="s">
        <v>2827</v>
      </c>
      <c r="M1116">
        <f t="shared" si="35"/>
        <v>587</v>
      </c>
    </row>
    <row r="1117" spans="1:13" hidden="1" x14ac:dyDescent="0.25">
      <c r="A1117" s="16" t="s">
        <v>2185</v>
      </c>
      <c r="B1117" s="16" t="s">
        <v>2700</v>
      </c>
      <c r="C1117">
        <f t="shared" si="34"/>
        <v>1312</v>
      </c>
      <c r="L1117" t="s">
        <v>2828</v>
      </c>
      <c r="M1117">
        <f t="shared" si="35"/>
        <v>588</v>
      </c>
    </row>
    <row r="1118" spans="1:13" hidden="1" x14ac:dyDescent="0.25">
      <c r="A1118" s="16" t="s">
        <v>2185</v>
      </c>
      <c r="B1118" s="16" t="s">
        <v>2701</v>
      </c>
      <c r="C1118">
        <f t="shared" si="34"/>
        <v>1313</v>
      </c>
      <c r="L1118" t="s">
        <v>2829</v>
      </c>
      <c r="M1118">
        <f t="shared" si="35"/>
        <v>589</v>
      </c>
    </row>
    <row r="1119" spans="1:13" hidden="1" x14ac:dyDescent="0.25">
      <c r="A1119" s="16" t="s">
        <v>2185</v>
      </c>
      <c r="B1119" s="16" t="s">
        <v>2702</v>
      </c>
      <c r="C1119">
        <f t="shared" si="34"/>
        <v>1314</v>
      </c>
      <c r="L1119" t="s">
        <v>2830</v>
      </c>
      <c r="M1119">
        <f t="shared" si="35"/>
        <v>590</v>
      </c>
    </row>
    <row r="1120" spans="1:13" hidden="1" x14ac:dyDescent="0.25">
      <c r="A1120" s="16" t="s">
        <v>2185</v>
      </c>
      <c r="B1120" s="16" t="s">
        <v>2703</v>
      </c>
      <c r="C1120">
        <f t="shared" si="34"/>
        <v>1315</v>
      </c>
      <c r="L1120" t="s">
        <v>2831</v>
      </c>
      <c r="M1120">
        <f t="shared" si="35"/>
        <v>591</v>
      </c>
    </row>
    <row r="1121" spans="1:13" hidden="1" x14ac:dyDescent="0.25">
      <c r="A1121" s="16" t="s">
        <v>2185</v>
      </c>
      <c r="B1121" s="16" t="s">
        <v>2704</v>
      </c>
      <c r="C1121">
        <f t="shared" si="34"/>
        <v>1316</v>
      </c>
      <c r="L1121" t="s">
        <v>2832</v>
      </c>
      <c r="M1121">
        <f t="shared" si="35"/>
        <v>592</v>
      </c>
    </row>
    <row r="1122" spans="1:13" hidden="1" x14ac:dyDescent="0.25">
      <c r="A1122" s="16" t="s">
        <v>2185</v>
      </c>
      <c r="B1122" s="16" t="s">
        <v>2705</v>
      </c>
      <c r="C1122">
        <f t="shared" si="34"/>
        <v>1317</v>
      </c>
      <c r="L1122" t="s">
        <v>2833</v>
      </c>
      <c r="M1122">
        <f t="shared" si="35"/>
        <v>593</v>
      </c>
    </row>
    <row r="1123" spans="1:13" hidden="1" x14ac:dyDescent="0.25">
      <c r="A1123" s="16" t="s">
        <v>2185</v>
      </c>
      <c r="B1123" s="16" t="s">
        <v>2706</v>
      </c>
      <c r="C1123">
        <f t="shared" si="34"/>
        <v>1318</v>
      </c>
      <c r="L1123" t="s">
        <v>2834</v>
      </c>
      <c r="M1123">
        <f t="shared" si="35"/>
        <v>594</v>
      </c>
    </row>
    <row r="1124" spans="1:13" hidden="1" x14ac:dyDescent="0.25">
      <c r="A1124" s="16" t="s">
        <v>2185</v>
      </c>
      <c r="B1124" s="16" t="s">
        <v>2707</v>
      </c>
      <c r="C1124">
        <f t="shared" si="34"/>
        <v>1319</v>
      </c>
      <c r="L1124" t="s">
        <v>2835</v>
      </c>
      <c r="M1124">
        <f t="shared" si="35"/>
        <v>595</v>
      </c>
    </row>
    <row r="1125" spans="1:13" hidden="1" x14ac:dyDescent="0.25">
      <c r="A1125" s="16" t="s">
        <v>2185</v>
      </c>
      <c r="B1125" s="16" t="s">
        <v>2708</v>
      </c>
      <c r="C1125">
        <f t="shared" si="34"/>
        <v>1320</v>
      </c>
      <c r="L1125" t="s">
        <v>2836</v>
      </c>
      <c r="M1125">
        <f t="shared" si="35"/>
        <v>596</v>
      </c>
    </row>
    <row r="1126" spans="1:13" hidden="1" x14ac:dyDescent="0.25">
      <c r="A1126" s="16" t="s">
        <v>2185</v>
      </c>
      <c r="B1126" s="16" t="s">
        <v>2709</v>
      </c>
      <c r="C1126">
        <f t="shared" si="34"/>
        <v>1321</v>
      </c>
      <c r="L1126" t="s">
        <v>2837</v>
      </c>
      <c r="M1126">
        <f t="shared" si="35"/>
        <v>597</v>
      </c>
    </row>
    <row r="1127" spans="1:13" hidden="1" x14ac:dyDescent="0.25">
      <c r="A1127" s="16" t="s">
        <v>2185</v>
      </c>
      <c r="B1127" s="16" t="s">
        <v>2710</v>
      </c>
      <c r="C1127">
        <f t="shared" si="34"/>
        <v>1322</v>
      </c>
      <c r="L1127" t="s">
        <v>2838</v>
      </c>
      <c r="M1127">
        <f t="shared" si="35"/>
        <v>598</v>
      </c>
    </row>
    <row r="1128" spans="1:13" hidden="1" x14ac:dyDescent="0.25">
      <c r="A1128" s="16" t="s">
        <v>2185</v>
      </c>
      <c r="B1128" s="16" t="s">
        <v>2711</v>
      </c>
      <c r="C1128">
        <f t="shared" si="34"/>
        <v>1323</v>
      </c>
      <c r="L1128" t="s">
        <v>2839</v>
      </c>
      <c r="M1128">
        <f t="shared" si="35"/>
        <v>599</v>
      </c>
    </row>
    <row r="1129" spans="1:13" hidden="1" x14ac:dyDescent="0.25">
      <c r="A1129" s="16" t="s">
        <v>2185</v>
      </c>
      <c r="B1129" s="16" t="s">
        <v>2712</v>
      </c>
      <c r="C1129">
        <f t="shared" si="34"/>
        <v>1324</v>
      </c>
      <c r="L1129" t="s">
        <v>2840</v>
      </c>
      <c r="M1129">
        <f t="shared" si="35"/>
        <v>600</v>
      </c>
    </row>
    <row r="1130" spans="1:13" hidden="1" x14ac:dyDescent="0.25">
      <c r="A1130" s="16" t="s">
        <v>2185</v>
      </c>
      <c r="B1130" s="16" t="s">
        <v>2713</v>
      </c>
      <c r="C1130">
        <f t="shared" si="34"/>
        <v>1325</v>
      </c>
      <c r="L1130" t="s">
        <v>2624</v>
      </c>
      <c r="M1130">
        <f t="shared" si="35"/>
        <v>1041</v>
      </c>
    </row>
    <row r="1131" spans="1:13" x14ac:dyDescent="0.25">
      <c r="A1131" s="16" t="s">
        <v>2185</v>
      </c>
      <c r="B1131" s="16" t="s">
        <v>2714</v>
      </c>
      <c r="C1131">
        <f t="shared" si="34"/>
        <v>1326</v>
      </c>
      <c r="L1131" s="17" t="s">
        <v>2841</v>
      </c>
      <c r="M1131" t="e">
        <f t="shared" si="35"/>
        <v>#N/A</v>
      </c>
    </row>
    <row r="1132" spans="1:13" x14ac:dyDescent="0.25">
      <c r="A1132" s="16" t="s">
        <v>2185</v>
      </c>
      <c r="B1132" s="16" t="s">
        <v>2715</v>
      </c>
      <c r="C1132">
        <f t="shared" si="34"/>
        <v>1327</v>
      </c>
      <c r="L1132" s="17" t="s">
        <v>2842</v>
      </c>
      <c r="M1132" t="e">
        <f t="shared" si="35"/>
        <v>#N/A</v>
      </c>
    </row>
    <row r="1133" spans="1:13" x14ac:dyDescent="0.25">
      <c r="A1133" s="16" t="s">
        <v>2185</v>
      </c>
      <c r="B1133" s="16" t="s">
        <v>2716</v>
      </c>
      <c r="C1133">
        <f t="shared" si="34"/>
        <v>1328</v>
      </c>
      <c r="L1133" s="17" t="s">
        <v>2843</v>
      </c>
      <c r="M1133" t="e">
        <f t="shared" si="35"/>
        <v>#N/A</v>
      </c>
    </row>
    <row r="1134" spans="1:13" x14ac:dyDescent="0.25">
      <c r="A1134" s="16" t="s">
        <v>2185</v>
      </c>
      <c r="B1134" s="16" t="s">
        <v>2717</v>
      </c>
      <c r="C1134">
        <f t="shared" si="34"/>
        <v>1385</v>
      </c>
      <c r="L1134" s="17" t="s">
        <v>2844</v>
      </c>
      <c r="M1134" t="e">
        <f t="shared" si="35"/>
        <v>#N/A</v>
      </c>
    </row>
    <row r="1135" spans="1:13" x14ac:dyDescent="0.25">
      <c r="A1135" s="16" t="s">
        <v>2185</v>
      </c>
      <c r="B1135" s="16" t="s">
        <v>2718</v>
      </c>
      <c r="C1135">
        <f t="shared" si="34"/>
        <v>1386</v>
      </c>
      <c r="L1135" s="17" t="s">
        <v>2845</v>
      </c>
      <c r="M1135" t="e">
        <f t="shared" si="35"/>
        <v>#N/A</v>
      </c>
    </row>
    <row r="1136" spans="1:13" x14ac:dyDescent="0.25">
      <c r="A1136" s="16" t="s">
        <v>2185</v>
      </c>
      <c r="B1136" s="16" t="s">
        <v>2719</v>
      </c>
      <c r="C1136">
        <f t="shared" si="34"/>
        <v>1387</v>
      </c>
      <c r="L1136" s="17" t="s">
        <v>2846</v>
      </c>
      <c r="M1136" t="e">
        <f t="shared" si="35"/>
        <v>#N/A</v>
      </c>
    </row>
    <row r="1137" spans="1:13" x14ac:dyDescent="0.25">
      <c r="A1137" s="16" t="s">
        <v>2185</v>
      </c>
      <c r="B1137" s="16" t="s">
        <v>2720</v>
      </c>
      <c r="C1137">
        <f t="shared" si="34"/>
        <v>1388</v>
      </c>
      <c r="L1137" s="17" t="s">
        <v>2847</v>
      </c>
      <c r="M1137" t="e">
        <f t="shared" si="35"/>
        <v>#N/A</v>
      </c>
    </row>
    <row r="1138" spans="1:13" x14ac:dyDescent="0.25">
      <c r="A1138" s="16" t="s">
        <v>2185</v>
      </c>
      <c r="B1138" s="16" t="s">
        <v>2721</v>
      </c>
      <c r="C1138">
        <f t="shared" si="34"/>
        <v>1389</v>
      </c>
      <c r="L1138" s="17" t="s">
        <v>2848</v>
      </c>
      <c r="M1138" t="e">
        <f t="shared" si="35"/>
        <v>#N/A</v>
      </c>
    </row>
    <row r="1139" spans="1:13" x14ac:dyDescent="0.25">
      <c r="A1139" s="16" t="s">
        <v>2185</v>
      </c>
      <c r="B1139" s="16" t="s">
        <v>2722</v>
      </c>
      <c r="C1139">
        <f t="shared" si="34"/>
        <v>1390</v>
      </c>
      <c r="L1139" s="17" t="s">
        <v>2849</v>
      </c>
      <c r="M1139" t="e">
        <f t="shared" si="35"/>
        <v>#N/A</v>
      </c>
    </row>
    <row r="1140" spans="1:13" x14ac:dyDescent="0.25">
      <c r="A1140" s="16" t="s">
        <v>2185</v>
      </c>
      <c r="B1140" s="16" t="s">
        <v>2723</v>
      </c>
      <c r="C1140">
        <f t="shared" si="34"/>
        <v>1391</v>
      </c>
      <c r="L1140" s="17" t="s">
        <v>2850</v>
      </c>
      <c r="M1140" t="e">
        <f t="shared" si="35"/>
        <v>#N/A</v>
      </c>
    </row>
    <row r="1141" spans="1:13" x14ac:dyDescent="0.25">
      <c r="A1141" s="16" t="s">
        <v>2185</v>
      </c>
      <c r="B1141" s="16" t="s">
        <v>2724</v>
      </c>
      <c r="C1141">
        <f t="shared" si="34"/>
        <v>1392</v>
      </c>
      <c r="L1141" s="17" t="s">
        <v>2851</v>
      </c>
      <c r="M1141" t="e">
        <f t="shared" si="35"/>
        <v>#N/A</v>
      </c>
    </row>
    <row r="1142" spans="1:13" x14ac:dyDescent="0.25">
      <c r="A1142" s="16" t="s">
        <v>2185</v>
      </c>
      <c r="B1142" s="16" t="s">
        <v>2725</v>
      </c>
      <c r="C1142">
        <f t="shared" si="34"/>
        <v>1393</v>
      </c>
      <c r="L1142" s="17" t="s">
        <v>2852</v>
      </c>
      <c r="M1142" t="e">
        <f t="shared" si="35"/>
        <v>#N/A</v>
      </c>
    </row>
    <row r="1143" spans="1:13" x14ac:dyDescent="0.25">
      <c r="A1143" s="16" t="s">
        <v>2185</v>
      </c>
      <c r="B1143" s="16" t="s">
        <v>2726</v>
      </c>
      <c r="C1143">
        <f t="shared" si="34"/>
        <v>1394</v>
      </c>
      <c r="L1143" s="17" t="s">
        <v>2853</v>
      </c>
      <c r="M1143" t="e">
        <f t="shared" si="35"/>
        <v>#N/A</v>
      </c>
    </row>
    <row r="1144" spans="1:13" x14ac:dyDescent="0.25">
      <c r="A1144" s="16" t="s">
        <v>2185</v>
      </c>
      <c r="B1144" s="16" t="s">
        <v>2727</v>
      </c>
      <c r="C1144">
        <f t="shared" si="34"/>
        <v>1395</v>
      </c>
      <c r="L1144" s="17" t="s">
        <v>2854</v>
      </c>
      <c r="M1144" t="e">
        <f t="shared" si="35"/>
        <v>#N/A</v>
      </c>
    </row>
    <row r="1145" spans="1:13" x14ac:dyDescent="0.25">
      <c r="A1145" s="16" t="s">
        <v>2185</v>
      </c>
      <c r="B1145" s="16" t="s">
        <v>2728</v>
      </c>
      <c r="C1145">
        <f t="shared" si="34"/>
        <v>1396</v>
      </c>
      <c r="L1145" s="17" t="s">
        <v>2855</v>
      </c>
      <c r="M1145" t="e">
        <f t="shared" si="35"/>
        <v>#N/A</v>
      </c>
    </row>
    <row r="1146" spans="1:13" x14ac:dyDescent="0.25">
      <c r="A1146" s="16" t="s">
        <v>2185</v>
      </c>
      <c r="B1146" s="16" t="s">
        <v>2729</v>
      </c>
      <c r="C1146">
        <f t="shared" si="34"/>
        <v>1397</v>
      </c>
      <c r="L1146" s="17" t="s">
        <v>2856</v>
      </c>
      <c r="M1146" t="e">
        <f t="shared" si="35"/>
        <v>#N/A</v>
      </c>
    </row>
    <row r="1147" spans="1:13" x14ac:dyDescent="0.25">
      <c r="A1147" s="16" t="s">
        <v>2185</v>
      </c>
      <c r="B1147" s="16" t="s">
        <v>2730</v>
      </c>
      <c r="C1147">
        <f t="shared" si="34"/>
        <v>1398</v>
      </c>
      <c r="L1147" s="17" t="s">
        <v>2857</v>
      </c>
      <c r="M1147" t="e">
        <f t="shared" si="35"/>
        <v>#N/A</v>
      </c>
    </row>
    <row r="1148" spans="1:13" x14ac:dyDescent="0.25">
      <c r="A1148" s="16" t="s">
        <v>2185</v>
      </c>
      <c r="B1148" s="16" t="s">
        <v>2731</v>
      </c>
      <c r="C1148">
        <f t="shared" si="34"/>
        <v>1399</v>
      </c>
      <c r="L1148" s="17" t="s">
        <v>2858</v>
      </c>
      <c r="M1148" t="e">
        <f t="shared" si="35"/>
        <v>#N/A</v>
      </c>
    </row>
    <row r="1149" spans="1:13" hidden="1" x14ac:dyDescent="0.25">
      <c r="A1149" s="16" t="s">
        <v>2185</v>
      </c>
      <c r="B1149" s="16" t="s">
        <v>2732</v>
      </c>
      <c r="C1149">
        <f t="shared" si="34"/>
        <v>1400</v>
      </c>
      <c r="L1149" t="s">
        <v>2625</v>
      </c>
      <c r="M1149">
        <f t="shared" si="35"/>
        <v>1042</v>
      </c>
    </row>
    <row r="1150" spans="1:13" hidden="1" x14ac:dyDescent="0.25">
      <c r="A1150" s="16" t="s">
        <v>2185</v>
      </c>
      <c r="B1150" s="16" t="s">
        <v>2733</v>
      </c>
      <c r="C1150">
        <f t="shared" si="34"/>
        <v>1401</v>
      </c>
      <c r="L1150" t="s">
        <v>2626</v>
      </c>
      <c r="M1150">
        <f t="shared" si="35"/>
        <v>1043</v>
      </c>
    </row>
    <row r="1151" spans="1:13" hidden="1" x14ac:dyDescent="0.25">
      <c r="A1151" s="16" t="s">
        <v>2185</v>
      </c>
      <c r="B1151" s="16" t="s">
        <v>2734</v>
      </c>
      <c r="C1151">
        <f t="shared" si="34"/>
        <v>1402</v>
      </c>
      <c r="L1151" t="s">
        <v>2627</v>
      </c>
      <c r="M1151">
        <f t="shared" si="35"/>
        <v>1044</v>
      </c>
    </row>
    <row r="1152" spans="1:13" hidden="1" x14ac:dyDescent="0.25">
      <c r="A1152" s="16" t="s">
        <v>2185</v>
      </c>
      <c r="B1152" s="16" t="s">
        <v>2735</v>
      </c>
      <c r="C1152">
        <f t="shared" si="34"/>
        <v>1403</v>
      </c>
      <c r="L1152" t="s">
        <v>2628</v>
      </c>
      <c r="M1152">
        <f t="shared" si="35"/>
        <v>1045</v>
      </c>
    </row>
    <row r="1153" spans="1:13" hidden="1" x14ac:dyDescent="0.25">
      <c r="A1153" s="16" t="s">
        <v>2185</v>
      </c>
      <c r="B1153" s="16" t="s">
        <v>2736</v>
      </c>
      <c r="C1153">
        <f t="shared" si="34"/>
        <v>1404</v>
      </c>
      <c r="L1153" t="s">
        <v>2629</v>
      </c>
      <c r="M1153">
        <f t="shared" si="35"/>
        <v>1046</v>
      </c>
    </row>
    <row r="1154" spans="1:13" hidden="1" x14ac:dyDescent="0.25">
      <c r="A1154" s="16" t="s">
        <v>2185</v>
      </c>
      <c r="B1154" s="16" t="s">
        <v>2737</v>
      </c>
      <c r="C1154">
        <f t="shared" si="34"/>
        <v>1405</v>
      </c>
      <c r="L1154" t="s">
        <v>2630</v>
      </c>
      <c r="M1154">
        <f t="shared" si="35"/>
        <v>1047</v>
      </c>
    </row>
    <row r="1155" spans="1:13" hidden="1" x14ac:dyDescent="0.25">
      <c r="A1155" s="16" t="s">
        <v>2185</v>
      </c>
      <c r="B1155" s="16" t="s">
        <v>2738</v>
      </c>
      <c r="C1155">
        <f t="shared" ref="C1155:C1218" si="36">MATCH(B1155,L:L,0)</f>
        <v>1406</v>
      </c>
      <c r="L1155" t="s">
        <v>2631</v>
      </c>
      <c r="M1155">
        <f t="shared" ref="M1155:M1218" si="37">MATCH(L1155,B:B,0)</f>
        <v>1048</v>
      </c>
    </row>
    <row r="1156" spans="1:13" hidden="1" x14ac:dyDescent="0.25">
      <c r="A1156" s="16" t="s">
        <v>2185</v>
      </c>
      <c r="B1156" s="16" t="s">
        <v>2739</v>
      </c>
      <c r="C1156">
        <f t="shared" si="36"/>
        <v>1407</v>
      </c>
      <c r="L1156" t="s">
        <v>2632</v>
      </c>
      <c r="M1156">
        <f t="shared" si="37"/>
        <v>1049</v>
      </c>
    </row>
    <row r="1157" spans="1:13" hidden="1" x14ac:dyDescent="0.25">
      <c r="A1157" s="16" t="s">
        <v>2185</v>
      </c>
      <c r="B1157" s="16" t="s">
        <v>2740</v>
      </c>
      <c r="C1157">
        <f t="shared" si="36"/>
        <v>1408</v>
      </c>
      <c r="L1157" t="s">
        <v>2633</v>
      </c>
      <c r="M1157">
        <f t="shared" si="37"/>
        <v>1050</v>
      </c>
    </row>
    <row r="1158" spans="1:13" hidden="1" x14ac:dyDescent="0.25">
      <c r="A1158" s="16" t="s">
        <v>2185</v>
      </c>
      <c r="B1158" s="16" t="s">
        <v>2741</v>
      </c>
      <c r="C1158">
        <f t="shared" si="36"/>
        <v>1409</v>
      </c>
      <c r="L1158" t="s">
        <v>2634</v>
      </c>
      <c r="M1158">
        <f t="shared" si="37"/>
        <v>1051</v>
      </c>
    </row>
    <row r="1159" spans="1:13" hidden="1" x14ac:dyDescent="0.25">
      <c r="A1159" s="16" t="s">
        <v>2185</v>
      </c>
      <c r="B1159" s="16" t="s">
        <v>2742</v>
      </c>
      <c r="C1159">
        <f t="shared" si="36"/>
        <v>1410</v>
      </c>
      <c r="L1159" t="s">
        <v>2635</v>
      </c>
      <c r="M1159">
        <f t="shared" si="37"/>
        <v>1052</v>
      </c>
    </row>
    <row r="1160" spans="1:13" hidden="1" x14ac:dyDescent="0.25">
      <c r="A1160" s="16" t="s">
        <v>2185</v>
      </c>
      <c r="B1160" s="16" t="s">
        <v>2743</v>
      </c>
      <c r="C1160">
        <f t="shared" si="36"/>
        <v>1411</v>
      </c>
      <c r="L1160" t="s">
        <v>2636</v>
      </c>
      <c r="M1160">
        <f t="shared" si="37"/>
        <v>1053</v>
      </c>
    </row>
    <row r="1161" spans="1:13" hidden="1" x14ac:dyDescent="0.25">
      <c r="A1161" s="16" t="s">
        <v>2185</v>
      </c>
      <c r="B1161" s="16" t="s">
        <v>2744</v>
      </c>
      <c r="C1161">
        <f t="shared" si="36"/>
        <v>1412</v>
      </c>
      <c r="L1161" t="s">
        <v>2637</v>
      </c>
      <c r="M1161">
        <f t="shared" si="37"/>
        <v>1054</v>
      </c>
    </row>
    <row r="1162" spans="1:13" hidden="1" x14ac:dyDescent="0.25">
      <c r="A1162" s="16" t="s">
        <v>2185</v>
      </c>
      <c r="B1162" s="16" t="s">
        <v>2745</v>
      </c>
      <c r="C1162">
        <f t="shared" si="36"/>
        <v>1413</v>
      </c>
      <c r="L1162" t="s">
        <v>2859</v>
      </c>
      <c r="M1162">
        <f t="shared" si="37"/>
        <v>414</v>
      </c>
    </row>
    <row r="1163" spans="1:13" hidden="1" x14ac:dyDescent="0.25">
      <c r="A1163" s="16" t="s">
        <v>2185</v>
      </c>
      <c r="B1163" s="16" t="s">
        <v>2746</v>
      </c>
      <c r="C1163">
        <f t="shared" si="36"/>
        <v>1414</v>
      </c>
      <c r="L1163" t="s">
        <v>2860</v>
      </c>
      <c r="M1163">
        <f t="shared" si="37"/>
        <v>415</v>
      </c>
    </row>
    <row r="1164" spans="1:13" hidden="1" x14ac:dyDescent="0.25">
      <c r="A1164" s="16" t="s">
        <v>2185</v>
      </c>
      <c r="B1164" s="16" t="s">
        <v>2747</v>
      </c>
      <c r="C1164">
        <f t="shared" si="36"/>
        <v>1415</v>
      </c>
      <c r="L1164" t="s">
        <v>2861</v>
      </c>
      <c r="M1164">
        <f t="shared" si="37"/>
        <v>416</v>
      </c>
    </row>
    <row r="1165" spans="1:13" hidden="1" x14ac:dyDescent="0.25">
      <c r="A1165" s="16" t="s">
        <v>2185</v>
      </c>
      <c r="B1165" s="16" t="s">
        <v>2748</v>
      </c>
      <c r="C1165">
        <f t="shared" si="36"/>
        <v>1416</v>
      </c>
      <c r="L1165" t="s">
        <v>2862</v>
      </c>
      <c r="M1165">
        <f t="shared" si="37"/>
        <v>417</v>
      </c>
    </row>
    <row r="1166" spans="1:13" hidden="1" x14ac:dyDescent="0.25">
      <c r="A1166" s="16" t="s">
        <v>2185</v>
      </c>
      <c r="B1166" s="16" t="s">
        <v>2749</v>
      </c>
      <c r="C1166">
        <f t="shared" si="36"/>
        <v>1417</v>
      </c>
      <c r="L1166" t="s">
        <v>2863</v>
      </c>
      <c r="M1166">
        <f t="shared" si="37"/>
        <v>418</v>
      </c>
    </row>
    <row r="1167" spans="1:13" hidden="1" x14ac:dyDescent="0.25">
      <c r="A1167" s="16" t="s">
        <v>2185</v>
      </c>
      <c r="B1167" s="16" t="s">
        <v>2750</v>
      </c>
      <c r="C1167">
        <f t="shared" si="36"/>
        <v>1418</v>
      </c>
      <c r="L1167" t="s">
        <v>2864</v>
      </c>
      <c r="M1167">
        <f t="shared" si="37"/>
        <v>419</v>
      </c>
    </row>
    <row r="1168" spans="1:13" hidden="1" x14ac:dyDescent="0.25">
      <c r="A1168" s="16" t="s">
        <v>2185</v>
      </c>
      <c r="B1168" s="16" t="s">
        <v>2751</v>
      </c>
      <c r="C1168">
        <f t="shared" si="36"/>
        <v>1419</v>
      </c>
      <c r="L1168" t="s">
        <v>2865</v>
      </c>
      <c r="M1168">
        <f t="shared" si="37"/>
        <v>420</v>
      </c>
    </row>
    <row r="1169" spans="1:13" hidden="1" x14ac:dyDescent="0.25">
      <c r="A1169" s="16" t="s">
        <v>2185</v>
      </c>
      <c r="B1169" s="16" t="s">
        <v>2752</v>
      </c>
      <c r="C1169">
        <f t="shared" si="36"/>
        <v>1420</v>
      </c>
      <c r="L1169" t="s">
        <v>2866</v>
      </c>
      <c r="M1169">
        <f t="shared" si="37"/>
        <v>421</v>
      </c>
    </row>
    <row r="1170" spans="1:13" hidden="1" x14ac:dyDescent="0.25">
      <c r="A1170" s="16" t="s">
        <v>2185</v>
      </c>
      <c r="B1170" s="16" t="s">
        <v>2753</v>
      </c>
      <c r="C1170">
        <f t="shared" si="36"/>
        <v>1421</v>
      </c>
      <c r="L1170" t="s">
        <v>2867</v>
      </c>
      <c r="M1170">
        <f t="shared" si="37"/>
        <v>422</v>
      </c>
    </row>
    <row r="1171" spans="1:13" hidden="1" x14ac:dyDescent="0.25">
      <c r="A1171" s="16" t="s">
        <v>2185</v>
      </c>
      <c r="B1171" s="16" t="s">
        <v>2754</v>
      </c>
      <c r="C1171">
        <f t="shared" si="36"/>
        <v>1422</v>
      </c>
      <c r="L1171" t="s">
        <v>2868</v>
      </c>
      <c r="M1171">
        <f t="shared" si="37"/>
        <v>423</v>
      </c>
    </row>
    <row r="1172" spans="1:13" hidden="1" x14ac:dyDescent="0.25">
      <c r="A1172" s="16" t="s">
        <v>2185</v>
      </c>
      <c r="B1172" s="16" t="s">
        <v>2755</v>
      </c>
      <c r="C1172">
        <f t="shared" si="36"/>
        <v>1423</v>
      </c>
      <c r="L1172" t="s">
        <v>2869</v>
      </c>
      <c r="M1172">
        <f t="shared" si="37"/>
        <v>424</v>
      </c>
    </row>
    <row r="1173" spans="1:13" hidden="1" x14ac:dyDescent="0.25">
      <c r="A1173" s="16" t="s">
        <v>2185</v>
      </c>
      <c r="B1173" s="16" t="s">
        <v>2756</v>
      </c>
      <c r="C1173">
        <f t="shared" si="36"/>
        <v>1424</v>
      </c>
      <c r="L1173" t="s">
        <v>2870</v>
      </c>
      <c r="M1173">
        <f t="shared" si="37"/>
        <v>425</v>
      </c>
    </row>
    <row r="1174" spans="1:13" hidden="1" x14ac:dyDescent="0.25">
      <c r="A1174" s="16" t="s">
        <v>2185</v>
      </c>
      <c r="B1174" s="16" t="s">
        <v>2757</v>
      </c>
      <c r="C1174">
        <f t="shared" si="36"/>
        <v>1425</v>
      </c>
      <c r="L1174" t="s">
        <v>2871</v>
      </c>
      <c r="M1174">
        <f t="shared" si="37"/>
        <v>426</v>
      </c>
    </row>
    <row r="1175" spans="1:13" hidden="1" x14ac:dyDescent="0.25">
      <c r="A1175" s="16" t="s">
        <v>2185</v>
      </c>
      <c r="B1175" s="16" t="s">
        <v>2758</v>
      </c>
      <c r="C1175">
        <f t="shared" si="36"/>
        <v>1426</v>
      </c>
      <c r="L1175" t="s">
        <v>2872</v>
      </c>
      <c r="M1175">
        <f t="shared" si="37"/>
        <v>427</v>
      </c>
    </row>
    <row r="1176" spans="1:13" hidden="1" x14ac:dyDescent="0.25">
      <c r="A1176" s="16" t="s">
        <v>2185</v>
      </c>
      <c r="B1176" s="16" t="s">
        <v>2759</v>
      </c>
      <c r="C1176">
        <f t="shared" si="36"/>
        <v>1427</v>
      </c>
      <c r="L1176" t="s">
        <v>2873</v>
      </c>
      <c r="M1176">
        <f t="shared" si="37"/>
        <v>428</v>
      </c>
    </row>
    <row r="1177" spans="1:13" hidden="1" x14ac:dyDescent="0.25">
      <c r="A1177" s="16" t="s">
        <v>2185</v>
      </c>
      <c r="B1177" s="16" t="s">
        <v>2760</v>
      </c>
      <c r="C1177">
        <f t="shared" si="36"/>
        <v>1428</v>
      </c>
      <c r="L1177" t="s">
        <v>2874</v>
      </c>
      <c r="M1177">
        <f t="shared" si="37"/>
        <v>429</v>
      </c>
    </row>
    <row r="1178" spans="1:13" hidden="1" x14ac:dyDescent="0.25">
      <c r="A1178" s="16" t="s">
        <v>2185</v>
      </c>
      <c r="B1178" s="16" t="s">
        <v>2761</v>
      </c>
      <c r="C1178">
        <f t="shared" si="36"/>
        <v>1429</v>
      </c>
      <c r="L1178" t="s">
        <v>2875</v>
      </c>
      <c r="M1178">
        <f t="shared" si="37"/>
        <v>430</v>
      </c>
    </row>
    <row r="1179" spans="1:13" hidden="1" x14ac:dyDescent="0.25">
      <c r="A1179" s="16" t="s">
        <v>2185</v>
      </c>
      <c r="B1179" s="16" t="s">
        <v>2762</v>
      </c>
      <c r="C1179">
        <f t="shared" si="36"/>
        <v>1430</v>
      </c>
      <c r="L1179" t="s">
        <v>2876</v>
      </c>
      <c r="M1179">
        <f t="shared" si="37"/>
        <v>431</v>
      </c>
    </row>
    <row r="1180" spans="1:13" hidden="1" x14ac:dyDescent="0.25">
      <c r="A1180" s="16" t="s">
        <v>2185</v>
      </c>
      <c r="B1180" s="16" t="s">
        <v>2763</v>
      </c>
      <c r="C1180">
        <f t="shared" si="36"/>
        <v>1431</v>
      </c>
      <c r="L1180" t="s">
        <v>2877</v>
      </c>
      <c r="M1180">
        <f t="shared" si="37"/>
        <v>432</v>
      </c>
    </row>
    <row r="1181" spans="1:13" hidden="1" x14ac:dyDescent="0.25">
      <c r="A1181" s="16" t="s">
        <v>2185</v>
      </c>
      <c r="B1181" s="16" t="s">
        <v>2764</v>
      </c>
      <c r="C1181">
        <f t="shared" si="36"/>
        <v>1432</v>
      </c>
      <c r="L1181" t="s">
        <v>2878</v>
      </c>
      <c r="M1181">
        <f t="shared" si="37"/>
        <v>433</v>
      </c>
    </row>
    <row r="1182" spans="1:13" hidden="1" x14ac:dyDescent="0.25">
      <c r="A1182" s="16" t="s">
        <v>2185</v>
      </c>
      <c r="B1182" s="16" t="s">
        <v>2765</v>
      </c>
      <c r="C1182">
        <f t="shared" si="36"/>
        <v>1433</v>
      </c>
      <c r="L1182" t="s">
        <v>2879</v>
      </c>
      <c r="M1182">
        <f t="shared" si="37"/>
        <v>434</v>
      </c>
    </row>
    <row r="1183" spans="1:13" hidden="1" x14ac:dyDescent="0.25">
      <c r="A1183" s="16" t="s">
        <v>2185</v>
      </c>
      <c r="B1183" s="16" t="s">
        <v>2766</v>
      </c>
      <c r="C1183">
        <f t="shared" si="36"/>
        <v>1434</v>
      </c>
      <c r="L1183" t="s">
        <v>2880</v>
      </c>
      <c r="M1183">
        <f t="shared" si="37"/>
        <v>435</v>
      </c>
    </row>
    <row r="1184" spans="1:13" hidden="1" x14ac:dyDescent="0.25">
      <c r="A1184" s="16" t="s">
        <v>2185</v>
      </c>
      <c r="B1184" s="16" t="s">
        <v>2767</v>
      </c>
      <c r="C1184">
        <f t="shared" si="36"/>
        <v>1450</v>
      </c>
      <c r="L1184" t="s">
        <v>2881</v>
      </c>
      <c r="M1184">
        <f t="shared" si="37"/>
        <v>436</v>
      </c>
    </row>
    <row r="1185" spans="1:13" hidden="1" x14ac:dyDescent="0.25">
      <c r="A1185" s="16" t="s">
        <v>2185</v>
      </c>
      <c r="B1185" s="16" t="s">
        <v>2768</v>
      </c>
      <c r="C1185" t="e">
        <f t="shared" si="36"/>
        <v>#N/A</v>
      </c>
      <c r="L1185" t="s">
        <v>2882</v>
      </c>
      <c r="M1185">
        <f t="shared" si="37"/>
        <v>437</v>
      </c>
    </row>
    <row r="1186" spans="1:13" hidden="1" x14ac:dyDescent="0.25">
      <c r="A1186" s="16" t="s">
        <v>2185</v>
      </c>
      <c r="B1186" s="16" t="s">
        <v>2769</v>
      </c>
      <c r="C1186" t="e">
        <f t="shared" si="36"/>
        <v>#N/A</v>
      </c>
      <c r="L1186" t="s">
        <v>2883</v>
      </c>
      <c r="M1186">
        <f t="shared" si="37"/>
        <v>438</v>
      </c>
    </row>
    <row r="1187" spans="1:13" hidden="1" x14ac:dyDescent="0.25">
      <c r="A1187" s="16" t="s">
        <v>2770</v>
      </c>
      <c r="B1187" s="16" t="s">
        <v>771</v>
      </c>
      <c r="C1187">
        <f t="shared" si="36"/>
        <v>183</v>
      </c>
      <c r="L1187" t="s">
        <v>2884</v>
      </c>
      <c r="M1187">
        <f t="shared" si="37"/>
        <v>439</v>
      </c>
    </row>
    <row r="1188" spans="1:13" hidden="1" x14ac:dyDescent="0.25">
      <c r="A1188" s="16" t="s">
        <v>2770</v>
      </c>
      <c r="B1188" s="16" t="s">
        <v>772</v>
      </c>
      <c r="C1188">
        <f t="shared" si="36"/>
        <v>184</v>
      </c>
      <c r="L1188" t="s">
        <v>2885</v>
      </c>
      <c r="M1188">
        <f t="shared" si="37"/>
        <v>440</v>
      </c>
    </row>
    <row r="1189" spans="1:13" hidden="1" x14ac:dyDescent="0.25">
      <c r="A1189" s="16" t="s">
        <v>2770</v>
      </c>
      <c r="B1189" s="16" t="s">
        <v>773</v>
      </c>
      <c r="C1189">
        <f t="shared" si="36"/>
        <v>185</v>
      </c>
      <c r="L1189" t="s">
        <v>2886</v>
      </c>
      <c r="M1189">
        <f t="shared" si="37"/>
        <v>441</v>
      </c>
    </row>
    <row r="1190" spans="1:13" hidden="1" x14ac:dyDescent="0.25">
      <c r="A1190" s="16" t="s">
        <v>2770</v>
      </c>
      <c r="B1190" s="16" t="s">
        <v>774</v>
      </c>
      <c r="C1190">
        <f t="shared" si="36"/>
        <v>186</v>
      </c>
      <c r="L1190" t="s">
        <v>2887</v>
      </c>
      <c r="M1190">
        <f t="shared" si="37"/>
        <v>442</v>
      </c>
    </row>
    <row r="1191" spans="1:13" hidden="1" x14ac:dyDescent="0.25">
      <c r="A1191" s="16" t="s">
        <v>2770</v>
      </c>
      <c r="B1191" s="16" t="s">
        <v>775</v>
      </c>
      <c r="C1191">
        <f t="shared" si="36"/>
        <v>187</v>
      </c>
      <c r="L1191" t="s">
        <v>2888</v>
      </c>
      <c r="M1191">
        <f t="shared" si="37"/>
        <v>443</v>
      </c>
    </row>
    <row r="1192" spans="1:13" hidden="1" x14ac:dyDescent="0.25">
      <c r="A1192" s="16" t="s">
        <v>2770</v>
      </c>
      <c r="B1192" s="16" t="s">
        <v>776</v>
      </c>
      <c r="C1192">
        <f t="shared" si="36"/>
        <v>188</v>
      </c>
      <c r="L1192" t="s">
        <v>2889</v>
      </c>
      <c r="M1192">
        <f t="shared" si="37"/>
        <v>444</v>
      </c>
    </row>
    <row r="1193" spans="1:13" hidden="1" x14ac:dyDescent="0.25">
      <c r="A1193" s="16" t="s">
        <v>2770</v>
      </c>
      <c r="B1193" s="16" t="s">
        <v>777</v>
      </c>
      <c r="C1193">
        <f t="shared" si="36"/>
        <v>189</v>
      </c>
      <c r="L1193" t="s">
        <v>2890</v>
      </c>
      <c r="M1193">
        <f t="shared" si="37"/>
        <v>445</v>
      </c>
    </row>
    <row r="1194" spans="1:13" hidden="1" x14ac:dyDescent="0.25">
      <c r="A1194" s="16" t="s">
        <v>2770</v>
      </c>
      <c r="B1194" s="16" t="s">
        <v>778</v>
      </c>
      <c r="C1194">
        <f t="shared" si="36"/>
        <v>190</v>
      </c>
      <c r="L1194" t="s">
        <v>2891</v>
      </c>
      <c r="M1194">
        <f t="shared" si="37"/>
        <v>446</v>
      </c>
    </row>
    <row r="1195" spans="1:13" hidden="1" x14ac:dyDescent="0.25">
      <c r="A1195" s="16" t="s">
        <v>2770</v>
      </c>
      <c r="B1195" s="16" t="s">
        <v>779</v>
      </c>
      <c r="C1195">
        <f t="shared" si="36"/>
        <v>191</v>
      </c>
      <c r="L1195" t="s">
        <v>2892</v>
      </c>
      <c r="M1195">
        <f t="shared" si="37"/>
        <v>447</v>
      </c>
    </row>
    <row r="1196" spans="1:13" hidden="1" x14ac:dyDescent="0.25">
      <c r="A1196" s="16" t="s">
        <v>2770</v>
      </c>
      <c r="B1196" s="16" t="s">
        <v>780</v>
      </c>
      <c r="C1196">
        <f t="shared" si="36"/>
        <v>192</v>
      </c>
      <c r="L1196" t="s">
        <v>2893</v>
      </c>
      <c r="M1196">
        <f t="shared" si="37"/>
        <v>448</v>
      </c>
    </row>
    <row r="1197" spans="1:13" hidden="1" x14ac:dyDescent="0.25">
      <c r="A1197" s="16" t="s">
        <v>2770</v>
      </c>
      <c r="B1197" s="16" t="s">
        <v>781</v>
      </c>
      <c r="C1197">
        <f t="shared" si="36"/>
        <v>193</v>
      </c>
      <c r="L1197" t="s">
        <v>2638</v>
      </c>
      <c r="M1197">
        <f t="shared" si="37"/>
        <v>1055</v>
      </c>
    </row>
    <row r="1198" spans="1:13" hidden="1" x14ac:dyDescent="0.25">
      <c r="A1198" s="16" t="s">
        <v>2770</v>
      </c>
      <c r="B1198" s="16" t="s">
        <v>782</v>
      </c>
      <c r="C1198">
        <f t="shared" si="36"/>
        <v>194</v>
      </c>
      <c r="L1198" t="s">
        <v>2894</v>
      </c>
      <c r="M1198">
        <f t="shared" si="37"/>
        <v>449</v>
      </c>
    </row>
    <row r="1199" spans="1:13" hidden="1" x14ac:dyDescent="0.25">
      <c r="A1199" s="16" t="s">
        <v>2770</v>
      </c>
      <c r="B1199" s="16" t="s">
        <v>783</v>
      </c>
      <c r="C1199">
        <f t="shared" si="36"/>
        <v>195</v>
      </c>
      <c r="L1199" t="s">
        <v>2895</v>
      </c>
      <c r="M1199">
        <f t="shared" si="37"/>
        <v>450</v>
      </c>
    </row>
    <row r="1200" spans="1:13" hidden="1" x14ac:dyDescent="0.25">
      <c r="A1200" s="16" t="s">
        <v>2770</v>
      </c>
      <c r="B1200" s="16" t="s">
        <v>784</v>
      </c>
      <c r="C1200">
        <f t="shared" si="36"/>
        <v>196</v>
      </c>
      <c r="L1200" t="s">
        <v>2896</v>
      </c>
      <c r="M1200">
        <f t="shared" si="37"/>
        <v>451</v>
      </c>
    </row>
    <row r="1201" spans="1:13" hidden="1" x14ac:dyDescent="0.25">
      <c r="A1201" s="16" t="s">
        <v>2770</v>
      </c>
      <c r="B1201" s="16" t="s">
        <v>785</v>
      </c>
      <c r="C1201">
        <f t="shared" si="36"/>
        <v>197</v>
      </c>
      <c r="L1201" t="s">
        <v>2897</v>
      </c>
      <c r="M1201">
        <f t="shared" si="37"/>
        <v>452</v>
      </c>
    </row>
    <row r="1202" spans="1:13" hidden="1" x14ac:dyDescent="0.25">
      <c r="A1202" s="16" t="s">
        <v>2770</v>
      </c>
      <c r="B1202" s="16" t="s">
        <v>786</v>
      </c>
      <c r="C1202">
        <f t="shared" si="36"/>
        <v>198</v>
      </c>
      <c r="L1202" t="s">
        <v>2898</v>
      </c>
      <c r="M1202">
        <f t="shared" si="37"/>
        <v>453</v>
      </c>
    </row>
    <row r="1203" spans="1:13" hidden="1" x14ac:dyDescent="0.25">
      <c r="A1203" s="16" t="s">
        <v>2770</v>
      </c>
      <c r="B1203" s="16" t="s">
        <v>787</v>
      </c>
      <c r="C1203">
        <f t="shared" si="36"/>
        <v>199</v>
      </c>
      <c r="L1203" t="s">
        <v>2899</v>
      </c>
      <c r="M1203">
        <f t="shared" si="37"/>
        <v>454</v>
      </c>
    </row>
    <row r="1204" spans="1:13" hidden="1" x14ac:dyDescent="0.25">
      <c r="A1204" s="16" t="s">
        <v>2770</v>
      </c>
      <c r="B1204" s="16" t="s">
        <v>788</v>
      </c>
      <c r="C1204">
        <f t="shared" si="36"/>
        <v>200</v>
      </c>
      <c r="L1204" t="s">
        <v>2900</v>
      </c>
      <c r="M1204">
        <f t="shared" si="37"/>
        <v>455</v>
      </c>
    </row>
    <row r="1205" spans="1:13" hidden="1" x14ac:dyDescent="0.25">
      <c r="A1205" s="16" t="s">
        <v>2770</v>
      </c>
      <c r="B1205" s="16" t="s">
        <v>789</v>
      </c>
      <c r="C1205">
        <f t="shared" si="36"/>
        <v>201</v>
      </c>
      <c r="L1205" t="s">
        <v>2901</v>
      </c>
      <c r="M1205">
        <f t="shared" si="37"/>
        <v>456</v>
      </c>
    </row>
    <row r="1206" spans="1:13" hidden="1" x14ac:dyDescent="0.25">
      <c r="A1206" s="16" t="s">
        <v>2770</v>
      </c>
      <c r="B1206" s="16" t="s">
        <v>790</v>
      </c>
      <c r="C1206">
        <f t="shared" si="36"/>
        <v>202</v>
      </c>
      <c r="L1206" t="s">
        <v>2902</v>
      </c>
      <c r="M1206">
        <f t="shared" si="37"/>
        <v>457</v>
      </c>
    </row>
    <row r="1207" spans="1:13" hidden="1" x14ac:dyDescent="0.25">
      <c r="A1207" s="16" t="s">
        <v>2770</v>
      </c>
      <c r="B1207" s="16" t="s">
        <v>791</v>
      </c>
      <c r="C1207">
        <f t="shared" si="36"/>
        <v>203</v>
      </c>
      <c r="L1207" t="s">
        <v>2903</v>
      </c>
      <c r="M1207">
        <f t="shared" si="37"/>
        <v>458</v>
      </c>
    </row>
    <row r="1208" spans="1:13" hidden="1" x14ac:dyDescent="0.25">
      <c r="A1208" s="16" t="s">
        <v>2770</v>
      </c>
      <c r="B1208" s="16" t="s">
        <v>792</v>
      </c>
      <c r="C1208">
        <f t="shared" si="36"/>
        <v>204</v>
      </c>
      <c r="L1208" t="s">
        <v>2904</v>
      </c>
      <c r="M1208">
        <f t="shared" si="37"/>
        <v>459</v>
      </c>
    </row>
    <row r="1209" spans="1:13" hidden="1" x14ac:dyDescent="0.25">
      <c r="A1209" s="16" t="s">
        <v>2770</v>
      </c>
      <c r="B1209" s="16" t="s">
        <v>793</v>
      </c>
      <c r="C1209">
        <f t="shared" si="36"/>
        <v>205</v>
      </c>
      <c r="L1209" t="s">
        <v>2905</v>
      </c>
      <c r="M1209">
        <f t="shared" si="37"/>
        <v>460</v>
      </c>
    </row>
    <row r="1210" spans="1:13" hidden="1" x14ac:dyDescent="0.25">
      <c r="A1210" s="16" t="s">
        <v>2770</v>
      </c>
      <c r="B1210" s="16" t="s">
        <v>794</v>
      </c>
      <c r="C1210">
        <f t="shared" si="36"/>
        <v>206</v>
      </c>
      <c r="L1210" t="s">
        <v>2906</v>
      </c>
      <c r="M1210">
        <f t="shared" si="37"/>
        <v>461</v>
      </c>
    </row>
    <row r="1211" spans="1:13" hidden="1" x14ac:dyDescent="0.25">
      <c r="A1211" s="16" t="s">
        <v>2770</v>
      </c>
      <c r="B1211" s="16" t="s">
        <v>795</v>
      </c>
      <c r="C1211">
        <f t="shared" si="36"/>
        <v>207</v>
      </c>
      <c r="L1211" t="s">
        <v>2907</v>
      </c>
      <c r="M1211">
        <f t="shared" si="37"/>
        <v>462</v>
      </c>
    </row>
    <row r="1212" spans="1:13" hidden="1" x14ac:dyDescent="0.25">
      <c r="A1212" s="16" t="s">
        <v>2770</v>
      </c>
      <c r="B1212" s="16" t="s">
        <v>796</v>
      </c>
      <c r="C1212">
        <f t="shared" si="36"/>
        <v>208</v>
      </c>
      <c r="L1212" t="s">
        <v>2908</v>
      </c>
      <c r="M1212">
        <f t="shared" si="37"/>
        <v>463</v>
      </c>
    </row>
    <row r="1213" spans="1:13" hidden="1" x14ac:dyDescent="0.25">
      <c r="A1213" s="16" t="s">
        <v>2770</v>
      </c>
      <c r="B1213" s="16" t="s">
        <v>797</v>
      </c>
      <c r="C1213">
        <f t="shared" si="36"/>
        <v>209</v>
      </c>
      <c r="L1213" t="s">
        <v>2909</v>
      </c>
      <c r="M1213">
        <f t="shared" si="37"/>
        <v>464</v>
      </c>
    </row>
    <row r="1214" spans="1:13" hidden="1" x14ac:dyDescent="0.25">
      <c r="A1214" s="16" t="s">
        <v>2770</v>
      </c>
      <c r="B1214" s="16" t="s">
        <v>798</v>
      </c>
      <c r="C1214">
        <f t="shared" si="36"/>
        <v>210</v>
      </c>
      <c r="L1214" t="s">
        <v>2910</v>
      </c>
      <c r="M1214">
        <f t="shared" si="37"/>
        <v>465</v>
      </c>
    </row>
    <row r="1215" spans="1:13" hidden="1" x14ac:dyDescent="0.25">
      <c r="A1215" s="16" t="s">
        <v>2770</v>
      </c>
      <c r="B1215" s="16" t="s">
        <v>799</v>
      </c>
      <c r="C1215">
        <f t="shared" si="36"/>
        <v>211</v>
      </c>
      <c r="L1215" t="s">
        <v>2911</v>
      </c>
      <c r="M1215">
        <f t="shared" si="37"/>
        <v>466</v>
      </c>
    </row>
    <row r="1216" spans="1:13" hidden="1" x14ac:dyDescent="0.25">
      <c r="A1216" s="16" t="s">
        <v>2770</v>
      </c>
      <c r="B1216" s="16" t="s">
        <v>800</v>
      </c>
      <c r="C1216">
        <f t="shared" si="36"/>
        <v>212</v>
      </c>
      <c r="L1216" t="s">
        <v>2912</v>
      </c>
      <c r="M1216">
        <f t="shared" si="37"/>
        <v>467</v>
      </c>
    </row>
    <row r="1217" spans="1:13" hidden="1" x14ac:dyDescent="0.25">
      <c r="A1217" s="16" t="s">
        <v>2770</v>
      </c>
      <c r="B1217" s="16" t="s">
        <v>801</v>
      </c>
      <c r="C1217">
        <f t="shared" si="36"/>
        <v>213</v>
      </c>
      <c r="L1217" t="s">
        <v>2913</v>
      </c>
      <c r="M1217">
        <f t="shared" si="37"/>
        <v>468</v>
      </c>
    </row>
    <row r="1218" spans="1:13" hidden="1" x14ac:dyDescent="0.25">
      <c r="A1218" s="16" t="s">
        <v>2770</v>
      </c>
      <c r="B1218" s="16" t="s">
        <v>802</v>
      </c>
      <c r="C1218">
        <f t="shared" si="36"/>
        <v>214</v>
      </c>
      <c r="L1218" t="s">
        <v>2914</v>
      </c>
      <c r="M1218">
        <f t="shared" si="37"/>
        <v>469</v>
      </c>
    </row>
    <row r="1219" spans="1:13" hidden="1" x14ac:dyDescent="0.25">
      <c r="A1219" s="16" t="s">
        <v>2770</v>
      </c>
      <c r="B1219" s="16" t="s">
        <v>803</v>
      </c>
      <c r="C1219">
        <f t="shared" ref="C1219:C1282" si="38">MATCH(B1219,L:L,0)</f>
        <v>215</v>
      </c>
      <c r="L1219" t="s">
        <v>2915</v>
      </c>
      <c r="M1219">
        <f t="shared" ref="M1219:M1282" si="39">MATCH(L1219,B:B,0)</f>
        <v>470</v>
      </c>
    </row>
    <row r="1220" spans="1:13" hidden="1" x14ac:dyDescent="0.25">
      <c r="A1220" s="16" t="s">
        <v>2770</v>
      </c>
      <c r="B1220" s="16" t="s">
        <v>804</v>
      </c>
      <c r="C1220">
        <f t="shared" si="38"/>
        <v>216</v>
      </c>
      <c r="L1220" t="s">
        <v>2916</v>
      </c>
      <c r="M1220">
        <f t="shared" si="39"/>
        <v>471</v>
      </c>
    </row>
    <row r="1221" spans="1:13" hidden="1" x14ac:dyDescent="0.25">
      <c r="A1221" s="16" t="s">
        <v>2770</v>
      </c>
      <c r="B1221" s="16" t="s">
        <v>805</v>
      </c>
      <c r="C1221">
        <f t="shared" si="38"/>
        <v>217</v>
      </c>
      <c r="L1221" t="s">
        <v>2917</v>
      </c>
      <c r="M1221">
        <f t="shared" si="39"/>
        <v>472</v>
      </c>
    </row>
    <row r="1222" spans="1:13" hidden="1" x14ac:dyDescent="0.25">
      <c r="A1222" s="16" t="s">
        <v>2770</v>
      </c>
      <c r="B1222" s="16" t="s">
        <v>806</v>
      </c>
      <c r="C1222">
        <f t="shared" si="38"/>
        <v>218</v>
      </c>
      <c r="L1222" t="s">
        <v>2918</v>
      </c>
      <c r="M1222">
        <f t="shared" si="39"/>
        <v>473</v>
      </c>
    </row>
    <row r="1223" spans="1:13" hidden="1" x14ac:dyDescent="0.25">
      <c r="A1223" s="16" t="s">
        <v>2770</v>
      </c>
      <c r="B1223" s="16" t="s">
        <v>807</v>
      </c>
      <c r="C1223">
        <f t="shared" si="38"/>
        <v>219</v>
      </c>
      <c r="L1223" t="s">
        <v>2919</v>
      </c>
      <c r="M1223">
        <f t="shared" si="39"/>
        <v>474</v>
      </c>
    </row>
    <row r="1224" spans="1:13" hidden="1" x14ac:dyDescent="0.25">
      <c r="A1224" s="16" t="s">
        <v>2770</v>
      </c>
      <c r="B1224" s="16" t="s">
        <v>808</v>
      </c>
      <c r="C1224">
        <f t="shared" si="38"/>
        <v>220</v>
      </c>
      <c r="L1224" t="s">
        <v>2920</v>
      </c>
      <c r="M1224">
        <f t="shared" si="39"/>
        <v>475</v>
      </c>
    </row>
    <row r="1225" spans="1:13" hidden="1" x14ac:dyDescent="0.25">
      <c r="A1225" s="16" t="s">
        <v>2770</v>
      </c>
      <c r="B1225" s="16" t="s">
        <v>809</v>
      </c>
      <c r="C1225">
        <f t="shared" si="38"/>
        <v>221</v>
      </c>
      <c r="L1225" t="s">
        <v>2639</v>
      </c>
      <c r="M1225">
        <f t="shared" si="39"/>
        <v>1056</v>
      </c>
    </row>
    <row r="1226" spans="1:13" hidden="1" x14ac:dyDescent="0.25">
      <c r="A1226" s="16" t="s">
        <v>2770</v>
      </c>
      <c r="B1226" s="16" t="s">
        <v>810</v>
      </c>
      <c r="C1226">
        <f t="shared" si="38"/>
        <v>222</v>
      </c>
      <c r="L1226" t="s">
        <v>2921</v>
      </c>
      <c r="M1226">
        <f t="shared" si="39"/>
        <v>1606</v>
      </c>
    </row>
    <row r="1227" spans="1:13" hidden="1" x14ac:dyDescent="0.25">
      <c r="A1227" s="16" t="s">
        <v>2770</v>
      </c>
      <c r="B1227" s="16" t="s">
        <v>811</v>
      </c>
      <c r="C1227">
        <f t="shared" si="38"/>
        <v>223</v>
      </c>
      <c r="L1227" t="s">
        <v>2922</v>
      </c>
      <c r="M1227">
        <f t="shared" si="39"/>
        <v>1607</v>
      </c>
    </row>
    <row r="1228" spans="1:13" hidden="1" x14ac:dyDescent="0.25">
      <c r="A1228" s="16" t="s">
        <v>2770</v>
      </c>
      <c r="B1228" s="16" t="s">
        <v>812</v>
      </c>
      <c r="C1228">
        <f t="shared" si="38"/>
        <v>224</v>
      </c>
      <c r="L1228" t="s">
        <v>2923</v>
      </c>
      <c r="M1228">
        <f t="shared" si="39"/>
        <v>1608</v>
      </c>
    </row>
    <row r="1229" spans="1:13" hidden="1" x14ac:dyDescent="0.25">
      <c r="A1229" s="16" t="s">
        <v>2770</v>
      </c>
      <c r="B1229" s="16" t="s">
        <v>813</v>
      </c>
      <c r="C1229" t="e">
        <f t="shared" si="38"/>
        <v>#N/A</v>
      </c>
      <c r="L1229" t="s">
        <v>2924</v>
      </c>
      <c r="M1229">
        <f t="shared" si="39"/>
        <v>1609</v>
      </c>
    </row>
    <row r="1230" spans="1:13" hidden="1" x14ac:dyDescent="0.25">
      <c r="A1230" s="16" t="s">
        <v>2770</v>
      </c>
      <c r="B1230" s="16" t="s">
        <v>814</v>
      </c>
      <c r="C1230" t="e">
        <f t="shared" si="38"/>
        <v>#N/A</v>
      </c>
      <c r="L1230" t="s">
        <v>2925</v>
      </c>
      <c r="M1230">
        <f t="shared" si="39"/>
        <v>1610</v>
      </c>
    </row>
    <row r="1231" spans="1:13" hidden="1" x14ac:dyDescent="0.25">
      <c r="A1231" s="16" t="s">
        <v>2770</v>
      </c>
      <c r="B1231" s="16" t="s">
        <v>815</v>
      </c>
      <c r="C1231" t="e">
        <f t="shared" si="38"/>
        <v>#N/A</v>
      </c>
      <c r="L1231" t="s">
        <v>2926</v>
      </c>
      <c r="M1231">
        <f t="shared" si="39"/>
        <v>1611</v>
      </c>
    </row>
    <row r="1232" spans="1:13" hidden="1" x14ac:dyDescent="0.25">
      <c r="A1232" s="16" t="s">
        <v>2770</v>
      </c>
      <c r="B1232" s="16" t="s">
        <v>816</v>
      </c>
      <c r="C1232" t="e">
        <f t="shared" si="38"/>
        <v>#N/A</v>
      </c>
      <c r="L1232" t="s">
        <v>2927</v>
      </c>
      <c r="M1232">
        <f t="shared" si="39"/>
        <v>1612</v>
      </c>
    </row>
    <row r="1233" spans="1:13" hidden="1" x14ac:dyDescent="0.25">
      <c r="A1233" s="16" t="s">
        <v>2770</v>
      </c>
      <c r="B1233" s="16" t="s">
        <v>817</v>
      </c>
      <c r="C1233">
        <f t="shared" si="38"/>
        <v>271</v>
      </c>
      <c r="L1233" t="s">
        <v>2928</v>
      </c>
      <c r="M1233">
        <f t="shared" si="39"/>
        <v>1613</v>
      </c>
    </row>
    <row r="1234" spans="1:13" hidden="1" x14ac:dyDescent="0.25">
      <c r="A1234" s="16" t="s">
        <v>2770</v>
      </c>
      <c r="B1234" s="16" t="s">
        <v>818</v>
      </c>
      <c r="C1234">
        <f t="shared" si="38"/>
        <v>272</v>
      </c>
      <c r="L1234" t="s">
        <v>2929</v>
      </c>
      <c r="M1234">
        <f t="shared" si="39"/>
        <v>1614</v>
      </c>
    </row>
    <row r="1235" spans="1:13" hidden="1" x14ac:dyDescent="0.25">
      <c r="A1235" s="16" t="s">
        <v>2770</v>
      </c>
      <c r="B1235" s="16" t="s">
        <v>819</v>
      </c>
      <c r="C1235">
        <f t="shared" si="38"/>
        <v>273</v>
      </c>
      <c r="L1235" t="s">
        <v>2930</v>
      </c>
      <c r="M1235">
        <f t="shared" si="39"/>
        <v>1615</v>
      </c>
    </row>
    <row r="1236" spans="1:13" hidden="1" x14ac:dyDescent="0.25">
      <c r="A1236" s="16" t="s">
        <v>2770</v>
      </c>
      <c r="B1236" s="16" t="s">
        <v>820</v>
      </c>
      <c r="C1236">
        <f t="shared" si="38"/>
        <v>274</v>
      </c>
      <c r="L1236" t="s">
        <v>2931</v>
      </c>
      <c r="M1236">
        <f t="shared" si="39"/>
        <v>1616</v>
      </c>
    </row>
    <row r="1237" spans="1:13" hidden="1" x14ac:dyDescent="0.25">
      <c r="A1237" s="16" t="s">
        <v>2770</v>
      </c>
      <c r="B1237" s="16" t="s">
        <v>821</v>
      </c>
      <c r="C1237">
        <f t="shared" si="38"/>
        <v>278</v>
      </c>
      <c r="L1237" t="s">
        <v>2932</v>
      </c>
      <c r="M1237">
        <f t="shared" si="39"/>
        <v>1617</v>
      </c>
    </row>
    <row r="1238" spans="1:13" hidden="1" x14ac:dyDescent="0.25">
      <c r="A1238" s="16" t="s">
        <v>2770</v>
      </c>
      <c r="B1238" s="16" t="s">
        <v>822</v>
      </c>
      <c r="C1238">
        <f t="shared" si="38"/>
        <v>282</v>
      </c>
      <c r="L1238" t="s">
        <v>2933</v>
      </c>
      <c r="M1238">
        <f t="shared" si="39"/>
        <v>1618</v>
      </c>
    </row>
    <row r="1239" spans="1:13" hidden="1" x14ac:dyDescent="0.25">
      <c r="A1239" s="16" t="s">
        <v>2770</v>
      </c>
      <c r="B1239" s="16" t="s">
        <v>823</v>
      </c>
      <c r="C1239">
        <f t="shared" si="38"/>
        <v>283</v>
      </c>
      <c r="L1239" t="s">
        <v>2934</v>
      </c>
      <c r="M1239">
        <f t="shared" si="39"/>
        <v>1619</v>
      </c>
    </row>
    <row r="1240" spans="1:13" hidden="1" x14ac:dyDescent="0.25">
      <c r="A1240" s="16" t="s">
        <v>2770</v>
      </c>
      <c r="B1240" s="16" t="s">
        <v>824</v>
      </c>
      <c r="C1240">
        <f t="shared" si="38"/>
        <v>284</v>
      </c>
      <c r="L1240" t="s">
        <v>2935</v>
      </c>
      <c r="M1240">
        <f t="shared" si="39"/>
        <v>1620</v>
      </c>
    </row>
    <row r="1241" spans="1:13" hidden="1" x14ac:dyDescent="0.25">
      <c r="A1241" s="16" t="s">
        <v>2770</v>
      </c>
      <c r="B1241" s="16" t="s">
        <v>825</v>
      </c>
      <c r="C1241">
        <f t="shared" si="38"/>
        <v>285</v>
      </c>
      <c r="L1241" t="s">
        <v>2936</v>
      </c>
      <c r="M1241">
        <f t="shared" si="39"/>
        <v>1621</v>
      </c>
    </row>
    <row r="1242" spans="1:13" hidden="1" x14ac:dyDescent="0.25">
      <c r="A1242" s="16" t="s">
        <v>2770</v>
      </c>
      <c r="B1242" s="16" t="s">
        <v>826</v>
      </c>
      <c r="C1242">
        <f t="shared" si="38"/>
        <v>286</v>
      </c>
      <c r="L1242" t="s">
        <v>2937</v>
      </c>
      <c r="M1242">
        <f t="shared" si="39"/>
        <v>1622</v>
      </c>
    </row>
    <row r="1243" spans="1:13" hidden="1" x14ac:dyDescent="0.25">
      <c r="A1243" s="16" t="s">
        <v>2770</v>
      </c>
      <c r="B1243" s="16" t="s">
        <v>827</v>
      </c>
      <c r="C1243">
        <f t="shared" si="38"/>
        <v>287</v>
      </c>
      <c r="L1243" t="s">
        <v>2938</v>
      </c>
      <c r="M1243">
        <f t="shared" si="39"/>
        <v>1623</v>
      </c>
    </row>
    <row r="1244" spans="1:13" hidden="1" x14ac:dyDescent="0.25">
      <c r="A1244" s="16" t="s">
        <v>2770</v>
      </c>
      <c r="B1244" s="16" t="s">
        <v>828</v>
      </c>
      <c r="C1244">
        <f t="shared" si="38"/>
        <v>288</v>
      </c>
      <c r="L1244" t="s">
        <v>2939</v>
      </c>
      <c r="M1244">
        <f t="shared" si="39"/>
        <v>1624</v>
      </c>
    </row>
    <row r="1245" spans="1:13" hidden="1" x14ac:dyDescent="0.25">
      <c r="A1245" s="16" t="s">
        <v>2770</v>
      </c>
      <c r="B1245" s="16" t="s">
        <v>829</v>
      </c>
      <c r="C1245">
        <f t="shared" si="38"/>
        <v>289</v>
      </c>
      <c r="L1245" t="s">
        <v>2940</v>
      </c>
      <c r="M1245">
        <f t="shared" si="39"/>
        <v>1625</v>
      </c>
    </row>
    <row r="1246" spans="1:13" hidden="1" x14ac:dyDescent="0.25">
      <c r="A1246" s="16" t="s">
        <v>2770</v>
      </c>
      <c r="B1246" s="16" t="s">
        <v>830</v>
      </c>
      <c r="C1246">
        <f t="shared" si="38"/>
        <v>290</v>
      </c>
      <c r="L1246" t="s">
        <v>2941</v>
      </c>
      <c r="M1246">
        <f t="shared" si="39"/>
        <v>1626</v>
      </c>
    </row>
    <row r="1247" spans="1:13" hidden="1" x14ac:dyDescent="0.25">
      <c r="A1247" s="16" t="s">
        <v>2770</v>
      </c>
      <c r="B1247" s="16" t="s">
        <v>831</v>
      </c>
      <c r="C1247">
        <f t="shared" si="38"/>
        <v>291</v>
      </c>
      <c r="L1247" t="s">
        <v>2942</v>
      </c>
      <c r="M1247">
        <f t="shared" si="39"/>
        <v>1627</v>
      </c>
    </row>
    <row r="1248" spans="1:13" hidden="1" x14ac:dyDescent="0.25">
      <c r="A1248" s="16" t="s">
        <v>2770</v>
      </c>
      <c r="B1248" s="16" t="s">
        <v>832</v>
      </c>
      <c r="C1248">
        <f t="shared" si="38"/>
        <v>292</v>
      </c>
      <c r="L1248" t="s">
        <v>2943</v>
      </c>
      <c r="M1248">
        <f t="shared" si="39"/>
        <v>1628</v>
      </c>
    </row>
    <row r="1249" spans="1:13" hidden="1" x14ac:dyDescent="0.25">
      <c r="A1249" s="16" t="s">
        <v>2770</v>
      </c>
      <c r="B1249" s="16" t="s">
        <v>833</v>
      </c>
      <c r="C1249">
        <f t="shared" si="38"/>
        <v>293</v>
      </c>
      <c r="L1249" t="s">
        <v>2944</v>
      </c>
      <c r="M1249">
        <f t="shared" si="39"/>
        <v>1629</v>
      </c>
    </row>
    <row r="1250" spans="1:13" hidden="1" x14ac:dyDescent="0.25">
      <c r="A1250" s="16" t="s">
        <v>2770</v>
      </c>
      <c r="B1250" s="16" t="s">
        <v>834</v>
      </c>
      <c r="C1250">
        <f t="shared" si="38"/>
        <v>294</v>
      </c>
      <c r="L1250" t="s">
        <v>2945</v>
      </c>
      <c r="M1250">
        <f t="shared" si="39"/>
        <v>1630</v>
      </c>
    </row>
    <row r="1251" spans="1:13" hidden="1" x14ac:dyDescent="0.25">
      <c r="A1251" s="16" t="s">
        <v>2770</v>
      </c>
      <c r="B1251" s="16" t="s">
        <v>835</v>
      </c>
      <c r="C1251">
        <f t="shared" si="38"/>
        <v>295</v>
      </c>
      <c r="L1251" t="s">
        <v>2640</v>
      </c>
      <c r="M1251">
        <f t="shared" si="39"/>
        <v>1057</v>
      </c>
    </row>
    <row r="1252" spans="1:13" hidden="1" x14ac:dyDescent="0.25">
      <c r="A1252" s="16" t="s">
        <v>2770</v>
      </c>
      <c r="B1252" s="16" t="s">
        <v>836</v>
      </c>
      <c r="C1252">
        <f t="shared" si="38"/>
        <v>296</v>
      </c>
      <c r="L1252" t="s">
        <v>2641</v>
      </c>
      <c r="M1252">
        <f t="shared" si="39"/>
        <v>1058</v>
      </c>
    </row>
    <row r="1253" spans="1:13" hidden="1" x14ac:dyDescent="0.25">
      <c r="A1253" s="16" t="s">
        <v>2770</v>
      </c>
      <c r="B1253" s="16" t="s">
        <v>837</v>
      </c>
      <c r="C1253">
        <f t="shared" si="38"/>
        <v>297</v>
      </c>
      <c r="L1253" t="s">
        <v>2642</v>
      </c>
      <c r="M1253">
        <f t="shared" si="39"/>
        <v>1059</v>
      </c>
    </row>
    <row r="1254" spans="1:13" hidden="1" x14ac:dyDescent="0.25">
      <c r="A1254" s="16" t="s">
        <v>2770</v>
      </c>
      <c r="B1254" s="16" t="s">
        <v>838</v>
      </c>
      <c r="C1254">
        <f t="shared" si="38"/>
        <v>298</v>
      </c>
      <c r="L1254" t="s">
        <v>2643</v>
      </c>
      <c r="M1254">
        <f t="shared" si="39"/>
        <v>1060</v>
      </c>
    </row>
    <row r="1255" spans="1:13" hidden="1" x14ac:dyDescent="0.25">
      <c r="A1255" s="16" t="s">
        <v>2770</v>
      </c>
      <c r="B1255" s="16" t="s">
        <v>839</v>
      </c>
      <c r="C1255">
        <f t="shared" si="38"/>
        <v>299</v>
      </c>
      <c r="L1255" t="s">
        <v>2644</v>
      </c>
      <c r="M1255">
        <f t="shared" si="39"/>
        <v>1061</v>
      </c>
    </row>
    <row r="1256" spans="1:13" hidden="1" x14ac:dyDescent="0.25">
      <c r="A1256" s="16" t="s">
        <v>2770</v>
      </c>
      <c r="B1256" s="16" t="s">
        <v>840</v>
      </c>
      <c r="C1256">
        <f t="shared" si="38"/>
        <v>300</v>
      </c>
      <c r="L1256" t="s">
        <v>2645</v>
      </c>
      <c r="M1256">
        <f t="shared" si="39"/>
        <v>1062</v>
      </c>
    </row>
    <row r="1257" spans="1:13" hidden="1" x14ac:dyDescent="0.25">
      <c r="A1257" s="16" t="s">
        <v>2770</v>
      </c>
      <c r="B1257" s="16" t="s">
        <v>841</v>
      </c>
      <c r="C1257">
        <f t="shared" si="38"/>
        <v>301</v>
      </c>
      <c r="L1257" t="s">
        <v>2646</v>
      </c>
      <c r="M1257">
        <f t="shared" si="39"/>
        <v>1063</v>
      </c>
    </row>
    <row r="1258" spans="1:13" hidden="1" x14ac:dyDescent="0.25">
      <c r="A1258" s="16" t="s">
        <v>2770</v>
      </c>
      <c r="B1258" s="16" t="s">
        <v>842</v>
      </c>
      <c r="C1258">
        <f t="shared" si="38"/>
        <v>302</v>
      </c>
      <c r="L1258" t="s">
        <v>2647</v>
      </c>
      <c r="M1258">
        <f t="shared" si="39"/>
        <v>1064</v>
      </c>
    </row>
    <row r="1259" spans="1:13" hidden="1" x14ac:dyDescent="0.25">
      <c r="A1259" s="16" t="s">
        <v>2770</v>
      </c>
      <c r="B1259" s="16" t="s">
        <v>843</v>
      </c>
      <c r="C1259">
        <f t="shared" si="38"/>
        <v>303</v>
      </c>
      <c r="L1259" t="s">
        <v>2648</v>
      </c>
      <c r="M1259">
        <f t="shared" si="39"/>
        <v>1065</v>
      </c>
    </row>
    <row r="1260" spans="1:13" hidden="1" x14ac:dyDescent="0.25">
      <c r="A1260" s="16" t="s">
        <v>2770</v>
      </c>
      <c r="B1260" s="16" t="s">
        <v>844</v>
      </c>
      <c r="C1260">
        <f t="shared" si="38"/>
        <v>304</v>
      </c>
      <c r="L1260" t="s">
        <v>2649</v>
      </c>
      <c r="M1260">
        <f t="shared" si="39"/>
        <v>1066</v>
      </c>
    </row>
    <row r="1261" spans="1:13" hidden="1" x14ac:dyDescent="0.25">
      <c r="A1261" s="16" t="s">
        <v>2770</v>
      </c>
      <c r="B1261" s="16" t="s">
        <v>845</v>
      </c>
      <c r="C1261">
        <f t="shared" si="38"/>
        <v>305</v>
      </c>
      <c r="L1261" t="s">
        <v>2650</v>
      </c>
      <c r="M1261">
        <f t="shared" si="39"/>
        <v>1067</v>
      </c>
    </row>
    <row r="1262" spans="1:13" hidden="1" x14ac:dyDescent="0.25">
      <c r="A1262" s="16" t="s">
        <v>2770</v>
      </c>
      <c r="B1262" s="16" t="s">
        <v>846</v>
      </c>
      <c r="C1262">
        <f t="shared" si="38"/>
        <v>306</v>
      </c>
      <c r="L1262" t="s">
        <v>2651</v>
      </c>
      <c r="M1262">
        <f t="shared" si="39"/>
        <v>1068</v>
      </c>
    </row>
    <row r="1263" spans="1:13" hidden="1" x14ac:dyDescent="0.25">
      <c r="A1263" s="16" t="s">
        <v>2770</v>
      </c>
      <c r="B1263" s="16" t="s">
        <v>847</v>
      </c>
      <c r="C1263">
        <f t="shared" si="38"/>
        <v>307</v>
      </c>
      <c r="L1263" t="s">
        <v>2652</v>
      </c>
      <c r="M1263">
        <f t="shared" si="39"/>
        <v>1069</v>
      </c>
    </row>
    <row r="1264" spans="1:13" hidden="1" x14ac:dyDescent="0.25">
      <c r="A1264" s="16" t="s">
        <v>2770</v>
      </c>
      <c r="B1264" s="16" t="s">
        <v>848</v>
      </c>
      <c r="C1264">
        <f t="shared" si="38"/>
        <v>308</v>
      </c>
      <c r="L1264" t="s">
        <v>2653</v>
      </c>
      <c r="M1264">
        <f t="shared" si="39"/>
        <v>1070</v>
      </c>
    </row>
    <row r="1265" spans="1:13" hidden="1" x14ac:dyDescent="0.25">
      <c r="A1265" s="16" t="s">
        <v>2770</v>
      </c>
      <c r="B1265" s="16" t="s">
        <v>849</v>
      </c>
      <c r="C1265">
        <f t="shared" si="38"/>
        <v>309</v>
      </c>
      <c r="L1265" t="s">
        <v>2654</v>
      </c>
      <c r="M1265">
        <f t="shared" si="39"/>
        <v>1071</v>
      </c>
    </row>
    <row r="1266" spans="1:13" hidden="1" x14ac:dyDescent="0.25">
      <c r="A1266" s="16" t="s">
        <v>2770</v>
      </c>
      <c r="B1266" s="16" t="s">
        <v>850</v>
      </c>
      <c r="C1266">
        <f t="shared" si="38"/>
        <v>310</v>
      </c>
      <c r="L1266" t="s">
        <v>2655</v>
      </c>
      <c r="M1266">
        <f t="shared" si="39"/>
        <v>1072</v>
      </c>
    </row>
    <row r="1267" spans="1:13" hidden="1" x14ac:dyDescent="0.25">
      <c r="A1267" s="16" t="s">
        <v>2770</v>
      </c>
      <c r="B1267" s="16" t="s">
        <v>851</v>
      </c>
      <c r="C1267">
        <f t="shared" si="38"/>
        <v>311</v>
      </c>
      <c r="L1267" t="s">
        <v>2656</v>
      </c>
      <c r="M1267">
        <f t="shared" si="39"/>
        <v>1073</v>
      </c>
    </row>
    <row r="1268" spans="1:13" hidden="1" x14ac:dyDescent="0.25">
      <c r="A1268" s="16" t="s">
        <v>2770</v>
      </c>
      <c r="B1268" s="16" t="s">
        <v>852</v>
      </c>
      <c r="C1268">
        <f t="shared" si="38"/>
        <v>312</v>
      </c>
      <c r="L1268" t="s">
        <v>2657</v>
      </c>
      <c r="M1268">
        <f t="shared" si="39"/>
        <v>1074</v>
      </c>
    </row>
    <row r="1269" spans="1:13" hidden="1" x14ac:dyDescent="0.25">
      <c r="A1269" s="16" t="s">
        <v>2770</v>
      </c>
      <c r="B1269" s="16" t="s">
        <v>853</v>
      </c>
      <c r="C1269">
        <f t="shared" si="38"/>
        <v>313</v>
      </c>
      <c r="L1269" t="s">
        <v>2658</v>
      </c>
      <c r="M1269">
        <f t="shared" si="39"/>
        <v>1075</v>
      </c>
    </row>
    <row r="1270" spans="1:13" hidden="1" x14ac:dyDescent="0.25">
      <c r="A1270" s="16" t="s">
        <v>2770</v>
      </c>
      <c r="B1270" s="16" t="s">
        <v>854</v>
      </c>
      <c r="C1270">
        <f t="shared" si="38"/>
        <v>314</v>
      </c>
      <c r="L1270" t="s">
        <v>2659</v>
      </c>
      <c r="M1270">
        <f t="shared" si="39"/>
        <v>1076</v>
      </c>
    </row>
    <row r="1271" spans="1:13" hidden="1" x14ac:dyDescent="0.25">
      <c r="A1271" s="16" t="s">
        <v>2770</v>
      </c>
      <c r="B1271" s="16" t="s">
        <v>855</v>
      </c>
      <c r="C1271">
        <f t="shared" si="38"/>
        <v>315</v>
      </c>
      <c r="L1271" t="s">
        <v>2660</v>
      </c>
      <c r="M1271">
        <f t="shared" si="39"/>
        <v>1077</v>
      </c>
    </row>
    <row r="1272" spans="1:13" hidden="1" x14ac:dyDescent="0.25">
      <c r="A1272" s="16" t="s">
        <v>2770</v>
      </c>
      <c r="B1272" s="16" t="s">
        <v>856</v>
      </c>
      <c r="C1272">
        <f t="shared" si="38"/>
        <v>316</v>
      </c>
      <c r="L1272" t="s">
        <v>2661</v>
      </c>
      <c r="M1272">
        <f t="shared" si="39"/>
        <v>1078</v>
      </c>
    </row>
    <row r="1273" spans="1:13" hidden="1" x14ac:dyDescent="0.25">
      <c r="A1273" s="16" t="s">
        <v>2770</v>
      </c>
      <c r="B1273" s="16" t="s">
        <v>857</v>
      </c>
      <c r="C1273">
        <f t="shared" si="38"/>
        <v>317</v>
      </c>
      <c r="L1273" t="s">
        <v>2662</v>
      </c>
      <c r="M1273">
        <f t="shared" si="39"/>
        <v>1079</v>
      </c>
    </row>
    <row r="1274" spans="1:13" hidden="1" x14ac:dyDescent="0.25">
      <c r="A1274" s="16" t="s">
        <v>2770</v>
      </c>
      <c r="B1274" s="16" t="s">
        <v>858</v>
      </c>
      <c r="C1274">
        <f t="shared" si="38"/>
        <v>318</v>
      </c>
      <c r="L1274" t="s">
        <v>2663</v>
      </c>
      <c r="M1274">
        <f t="shared" si="39"/>
        <v>1080</v>
      </c>
    </row>
    <row r="1275" spans="1:13" hidden="1" x14ac:dyDescent="0.25">
      <c r="A1275" s="16" t="s">
        <v>2770</v>
      </c>
      <c r="B1275" s="16" t="s">
        <v>859</v>
      </c>
      <c r="C1275">
        <f t="shared" si="38"/>
        <v>319</v>
      </c>
      <c r="L1275" t="s">
        <v>2664</v>
      </c>
      <c r="M1275">
        <f t="shared" si="39"/>
        <v>1081</v>
      </c>
    </row>
    <row r="1276" spans="1:13" hidden="1" x14ac:dyDescent="0.25">
      <c r="A1276" s="16" t="s">
        <v>2770</v>
      </c>
      <c r="B1276" s="16" t="s">
        <v>860</v>
      </c>
      <c r="C1276">
        <f t="shared" si="38"/>
        <v>320</v>
      </c>
      <c r="L1276" t="s">
        <v>2665</v>
      </c>
      <c r="M1276">
        <f t="shared" si="39"/>
        <v>1082</v>
      </c>
    </row>
    <row r="1277" spans="1:13" hidden="1" x14ac:dyDescent="0.25">
      <c r="A1277" s="16" t="s">
        <v>2770</v>
      </c>
      <c r="B1277" s="16" t="s">
        <v>861</v>
      </c>
      <c r="C1277">
        <f t="shared" si="38"/>
        <v>321</v>
      </c>
      <c r="L1277" t="s">
        <v>2666</v>
      </c>
      <c r="M1277">
        <f t="shared" si="39"/>
        <v>1083</v>
      </c>
    </row>
    <row r="1278" spans="1:13" hidden="1" x14ac:dyDescent="0.25">
      <c r="A1278" s="16" t="s">
        <v>2770</v>
      </c>
      <c r="B1278" s="16" t="s">
        <v>862</v>
      </c>
      <c r="C1278">
        <f t="shared" si="38"/>
        <v>322</v>
      </c>
      <c r="L1278" t="s">
        <v>2667</v>
      </c>
      <c r="M1278">
        <f t="shared" si="39"/>
        <v>1084</v>
      </c>
    </row>
    <row r="1279" spans="1:13" hidden="1" x14ac:dyDescent="0.25">
      <c r="A1279" s="16" t="s">
        <v>2770</v>
      </c>
      <c r="B1279" s="16" t="s">
        <v>863</v>
      </c>
      <c r="C1279">
        <f t="shared" si="38"/>
        <v>323</v>
      </c>
      <c r="L1279" t="s">
        <v>2668</v>
      </c>
      <c r="M1279">
        <f t="shared" si="39"/>
        <v>1085</v>
      </c>
    </row>
    <row r="1280" spans="1:13" hidden="1" x14ac:dyDescent="0.25">
      <c r="A1280" s="16" t="s">
        <v>2770</v>
      </c>
      <c r="B1280" s="16" t="s">
        <v>864</v>
      </c>
      <c r="C1280">
        <f t="shared" si="38"/>
        <v>324</v>
      </c>
      <c r="L1280" t="s">
        <v>2669</v>
      </c>
      <c r="M1280">
        <f t="shared" si="39"/>
        <v>1086</v>
      </c>
    </row>
    <row r="1281" spans="1:13" hidden="1" x14ac:dyDescent="0.25">
      <c r="A1281" s="16" t="s">
        <v>2770</v>
      </c>
      <c r="B1281" s="16" t="s">
        <v>865</v>
      </c>
      <c r="C1281">
        <f t="shared" si="38"/>
        <v>325</v>
      </c>
      <c r="L1281" t="s">
        <v>2670</v>
      </c>
      <c r="M1281">
        <f t="shared" si="39"/>
        <v>1087</v>
      </c>
    </row>
    <row r="1282" spans="1:13" hidden="1" x14ac:dyDescent="0.25">
      <c r="A1282" s="16" t="s">
        <v>2770</v>
      </c>
      <c r="B1282" s="16" t="s">
        <v>866</v>
      </c>
      <c r="C1282">
        <f t="shared" si="38"/>
        <v>326</v>
      </c>
      <c r="L1282" t="s">
        <v>2671</v>
      </c>
      <c r="M1282">
        <f t="shared" si="39"/>
        <v>1088</v>
      </c>
    </row>
    <row r="1283" spans="1:13" hidden="1" x14ac:dyDescent="0.25">
      <c r="A1283" s="16" t="s">
        <v>2770</v>
      </c>
      <c r="B1283" s="16" t="s">
        <v>867</v>
      </c>
      <c r="C1283">
        <f t="shared" ref="C1283:C1346" si="40">MATCH(B1283,L:L,0)</f>
        <v>327</v>
      </c>
      <c r="L1283" t="s">
        <v>2672</v>
      </c>
      <c r="M1283">
        <f t="shared" ref="M1283:M1346" si="41">MATCH(L1283,B:B,0)</f>
        <v>1089</v>
      </c>
    </row>
    <row r="1284" spans="1:13" hidden="1" x14ac:dyDescent="0.25">
      <c r="A1284" s="16" t="s">
        <v>2770</v>
      </c>
      <c r="B1284" s="16" t="s">
        <v>868</v>
      </c>
      <c r="C1284">
        <f t="shared" si="40"/>
        <v>328</v>
      </c>
      <c r="L1284" t="s">
        <v>2673</v>
      </c>
      <c r="M1284">
        <f t="shared" si="41"/>
        <v>1090</v>
      </c>
    </row>
    <row r="1285" spans="1:13" hidden="1" x14ac:dyDescent="0.25">
      <c r="A1285" s="16" t="s">
        <v>2770</v>
      </c>
      <c r="B1285" s="16" t="s">
        <v>869</v>
      </c>
      <c r="C1285">
        <f t="shared" si="40"/>
        <v>329</v>
      </c>
      <c r="L1285" t="s">
        <v>2674</v>
      </c>
      <c r="M1285">
        <f t="shared" si="41"/>
        <v>1091</v>
      </c>
    </row>
    <row r="1286" spans="1:13" hidden="1" x14ac:dyDescent="0.25">
      <c r="A1286" s="16" t="s">
        <v>2770</v>
      </c>
      <c r="B1286" s="16" t="s">
        <v>870</v>
      </c>
      <c r="C1286">
        <f t="shared" si="40"/>
        <v>330</v>
      </c>
      <c r="L1286" t="s">
        <v>2675</v>
      </c>
      <c r="M1286">
        <f t="shared" si="41"/>
        <v>1092</v>
      </c>
    </row>
    <row r="1287" spans="1:13" hidden="1" x14ac:dyDescent="0.25">
      <c r="A1287" s="16" t="s">
        <v>2770</v>
      </c>
      <c r="B1287" s="16" t="s">
        <v>871</v>
      </c>
      <c r="C1287">
        <f t="shared" si="40"/>
        <v>331</v>
      </c>
      <c r="L1287" t="s">
        <v>2676</v>
      </c>
      <c r="M1287">
        <f t="shared" si="41"/>
        <v>1093</v>
      </c>
    </row>
    <row r="1288" spans="1:13" hidden="1" x14ac:dyDescent="0.25">
      <c r="A1288" s="16" t="s">
        <v>2770</v>
      </c>
      <c r="B1288" s="16" t="s">
        <v>872</v>
      </c>
      <c r="C1288">
        <f t="shared" si="40"/>
        <v>332</v>
      </c>
      <c r="L1288" t="s">
        <v>2677</v>
      </c>
      <c r="M1288">
        <f t="shared" si="41"/>
        <v>1094</v>
      </c>
    </row>
    <row r="1289" spans="1:13" hidden="1" x14ac:dyDescent="0.25">
      <c r="A1289" s="16" t="s">
        <v>2770</v>
      </c>
      <c r="B1289" s="16" t="s">
        <v>873</v>
      </c>
      <c r="C1289">
        <f t="shared" si="40"/>
        <v>333</v>
      </c>
      <c r="L1289" t="s">
        <v>2678</v>
      </c>
      <c r="M1289">
        <f t="shared" si="41"/>
        <v>1095</v>
      </c>
    </row>
    <row r="1290" spans="1:13" hidden="1" x14ac:dyDescent="0.25">
      <c r="A1290" s="16" t="s">
        <v>2770</v>
      </c>
      <c r="B1290" s="16" t="s">
        <v>874</v>
      </c>
      <c r="C1290">
        <f t="shared" si="40"/>
        <v>334</v>
      </c>
      <c r="L1290" t="s">
        <v>2679</v>
      </c>
      <c r="M1290">
        <f t="shared" si="41"/>
        <v>1096</v>
      </c>
    </row>
    <row r="1291" spans="1:13" hidden="1" x14ac:dyDescent="0.25">
      <c r="A1291" s="16" t="s">
        <v>2770</v>
      </c>
      <c r="B1291" s="16" t="s">
        <v>875</v>
      </c>
      <c r="C1291">
        <f t="shared" si="40"/>
        <v>335</v>
      </c>
      <c r="L1291" t="s">
        <v>2680</v>
      </c>
      <c r="M1291">
        <f t="shared" si="41"/>
        <v>1097</v>
      </c>
    </row>
    <row r="1292" spans="1:13" hidden="1" x14ac:dyDescent="0.25">
      <c r="A1292" s="16" t="s">
        <v>2770</v>
      </c>
      <c r="B1292" s="16" t="s">
        <v>876</v>
      </c>
      <c r="C1292">
        <f t="shared" si="40"/>
        <v>336</v>
      </c>
      <c r="L1292" t="s">
        <v>2681</v>
      </c>
      <c r="M1292">
        <f t="shared" si="41"/>
        <v>1098</v>
      </c>
    </row>
    <row r="1293" spans="1:13" hidden="1" x14ac:dyDescent="0.25">
      <c r="A1293" s="16" t="s">
        <v>2770</v>
      </c>
      <c r="B1293" s="16" t="s">
        <v>877</v>
      </c>
      <c r="C1293">
        <f t="shared" si="40"/>
        <v>337</v>
      </c>
      <c r="L1293" t="s">
        <v>2682</v>
      </c>
      <c r="M1293">
        <f t="shared" si="41"/>
        <v>1099</v>
      </c>
    </row>
    <row r="1294" spans="1:13" hidden="1" x14ac:dyDescent="0.25">
      <c r="A1294" s="16" t="s">
        <v>2770</v>
      </c>
      <c r="B1294" s="16" t="s">
        <v>878</v>
      </c>
      <c r="C1294">
        <f t="shared" si="40"/>
        <v>338</v>
      </c>
      <c r="L1294" t="s">
        <v>2683</v>
      </c>
      <c r="M1294">
        <f t="shared" si="41"/>
        <v>1100</v>
      </c>
    </row>
    <row r="1295" spans="1:13" hidden="1" x14ac:dyDescent="0.25">
      <c r="A1295" s="16" t="s">
        <v>2770</v>
      </c>
      <c r="B1295" s="16" t="s">
        <v>879</v>
      </c>
      <c r="C1295">
        <f t="shared" si="40"/>
        <v>339</v>
      </c>
      <c r="L1295" t="s">
        <v>2684</v>
      </c>
      <c r="M1295">
        <f t="shared" si="41"/>
        <v>1101</v>
      </c>
    </row>
    <row r="1296" spans="1:13" hidden="1" x14ac:dyDescent="0.25">
      <c r="A1296" s="16" t="s">
        <v>2770</v>
      </c>
      <c r="B1296" s="16" t="s">
        <v>880</v>
      </c>
      <c r="C1296">
        <f t="shared" si="40"/>
        <v>340</v>
      </c>
      <c r="L1296" t="s">
        <v>2685</v>
      </c>
      <c r="M1296">
        <f t="shared" si="41"/>
        <v>1102</v>
      </c>
    </row>
    <row r="1297" spans="1:13" hidden="1" x14ac:dyDescent="0.25">
      <c r="A1297" s="16" t="s">
        <v>2770</v>
      </c>
      <c r="B1297" s="16" t="s">
        <v>881</v>
      </c>
      <c r="C1297">
        <f t="shared" si="40"/>
        <v>341</v>
      </c>
      <c r="L1297" t="s">
        <v>2686</v>
      </c>
      <c r="M1297">
        <f t="shared" si="41"/>
        <v>1103</v>
      </c>
    </row>
    <row r="1298" spans="1:13" hidden="1" x14ac:dyDescent="0.25">
      <c r="A1298" s="16" t="s">
        <v>2770</v>
      </c>
      <c r="B1298" s="16" t="s">
        <v>882</v>
      </c>
      <c r="C1298">
        <f t="shared" si="40"/>
        <v>342</v>
      </c>
      <c r="L1298" t="s">
        <v>2687</v>
      </c>
      <c r="M1298">
        <f t="shared" si="41"/>
        <v>1104</v>
      </c>
    </row>
    <row r="1299" spans="1:13" x14ac:dyDescent="0.25">
      <c r="A1299" s="16" t="s">
        <v>2770</v>
      </c>
      <c r="B1299" s="16" t="s">
        <v>883</v>
      </c>
      <c r="C1299">
        <f t="shared" si="40"/>
        <v>343</v>
      </c>
      <c r="L1299" s="17" t="s">
        <v>2946</v>
      </c>
      <c r="M1299" t="e">
        <f t="shared" si="41"/>
        <v>#N/A</v>
      </c>
    </row>
    <row r="1300" spans="1:13" hidden="1" x14ac:dyDescent="0.25">
      <c r="A1300" s="16" t="s">
        <v>2770</v>
      </c>
      <c r="B1300" s="16" t="s">
        <v>884</v>
      </c>
      <c r="C1300">
        <f t="shared" si="40"/>
        <v>344</v>
      </c>
      <c r="L1300" t="s">
        <v>2688</v>
      </c>
      <c r="M1300">
        <f t="shared" si="41"/>
        <v>1105</v>
      </c>
    </row>
    <row r="1301" spans="1:13" hidden="1" x14ac:dyDescent="0.25">
      <c r="A1301" s="16" t="s">
        <v>2770</v>
      </c>
      <c r="B1301" s="16" t="s">
        <v>885</v>
      </c>
      <c r="C1301">
        <f t="shared" si="40"/>
        <v>345</v>
      </c>
      <c r="L1301" t="s">
        <v>2689</v>
      </c>
      <c r="M1301">
        <f t="shared" si="41"/>
        <v>1106</v>
      </c>
    </row>
    <row r="1302" spans="1:13" hidden="1" x14ac:dyDescent="0.25">
      <c r="A1302" s="16" t="s">
        <v>2770</v>
      </c>
      <c r="B1302" s="16" t="s">
        <v>886</v>
      </c>
      <c r="C1302">
        <f t="shared" si="40"/>
        <v>346</v>
      </c>
      <c r="L1302" t="s">
        <v>2690</v>
      </c>
      <c r="M1302">
        <f t="shared" si="41"/>
        <v>1107</v>
      </c>
    </row>
    <row r="1303" spans="1:13" hidden="1" x14ac:dyDescent="0.25">
      <c r="A1303" s="16" t="s">
        <v>2770</v>
      </c>
      <c r="B1303" s="16" t="s">
        <v>887</v>
      </c>
      <c r="C1303">
        <f t="shared" si="40"/>
        <v>347</v>
      </c>
      <c r="L1303" t="s">
        <v>2691</v>
      </c>
      <c r="M1303">
        <f t="shared" si="41"/>
        <v>1108</v>
      </c>
    </row>
    <row r="1304" spans="1:13" hidden="1" x14ac:dyDescent="0.25">
      <c r="A1304" s="16" t="s">
        <v>2770</v>
      </c>
      <c r="B1304" s="16" t="s">
        <v>888</v>
      </c>
      <c r="C1304">
        <f t="shared" si="40"/>
        <v>348</v>
      </c>
      <c r="L1304" t="s">
        <v>2692</v>
      </c>
      <c r="M1304">
        <f t="shared" si="41"/>
        <v>1109</v>
      </c>
    </row>
    <row r="1305" spans="1:13" hidden="1" x14ac:dyDescent="0.25">
      <c r="A1305" s="16" t="s">
        <v>2770</v>
      </c>
      <c r="B1305" s="16" t="s">
        <v>889</v>
      </c>
      <c r="C1305">
        <f t="shared" si="40"/>
        <v>349</v>
      </c>
      <c r="L1305" t="s">
        <v>2693</v>
      </c>
      <c r="M1305">
        <f t="shared" si="41"/>
        <v>1110</v>
      </c>
    </row>
    <row r="1306" spans="1:13" hidden="1" x14ac:dyDescent="0.25">
      <c r="A1306" s="16" t="s">
        <v>2770</v>
      </c>
      <c r="B1306" s="16" t="s">
        <v>890</v>
      </c>
      <c r="C1306">
        <f t="shared" si="40"/>
        <v>350</v>
      </c>
      <c r="L1306" t="s">
        <v>2694</v>
      </c>
      <c r="M1306">
        <f t="shared" si="41"/>
        <v>1111</v>
      </c>
    </row>
    <row r="1307" spans="1:13" hidden="1" x14ac:dyDescent="0.25">
      <c r="A1307" s="16" t="s">
        <v>2770</v>
      </c>
      <c r="B1307" s="16" t="s">
        <v>891</v>
      </c>
      <c r="C1307">
        <f t="shared" si="40"/>
        <v>351</v>
      </c>
      <c r="L1307" t="s">
        <v>2695</v>
      </c>
      <c r="M1307">
        <f t="shared" si="41"/>
        <v>1112</v>
      </c>
    </row>
    <row r="1308" spans="1:13" hidden="1" x14ac:dyDescent="0.25">
      <c r="A1308" s="16" t="s">
        <v>2770</v>
      </c>
      <c r="B1308" s="16" t="s">
        <v>892</v>
      </c>
      <c r="C1308">
        <f t="shared" si="40"/>
        <v>352</v>
      </c>
      <c r="L1308" t="s">
        <v>2696</v>
      </c>
      <c r="M1308">
        <f t="shared" si="41"/>
        <v>1113</v>
      </c>
    </row>
    <row r="1309" spans="1:13" hidden="1" x14ac:dyDescent="0.25">
      <c r="A1309" s="16" t="s">
        <v>2770</v>
      </c>
      <c r="B1309" s="16" t="s">
        <v>893</v>
      </c>
      <c r="C1309">
        <f t="shared" si="40"/>
        <v>353</v>
      </c>
      <c r="L1309" t="s">
        <v>2697</v>
      </c>
      <c r="M1309">
        <f t="shared" si="41"/>
        <v>1114</v>
      </c>
    </row>
    <row r="1310" spans="1:13" hidden="1" x14ac:dyDescent="0.25">
      <c r="A1310" s="16" t="s">
        <v>2770</v>
      </c>
      <c r="B1310" s="16" t="s">
        <v>894</v>
      </c>
      <c r="C1310">
        <f t="shared" si="40"/>
        <v>354</v>
      </c>
      <c r="L1310" t="s">
        <v>2698</v>
      </c>
      <c r="M1310">
        <f t="shared" si="41"/>
        <v>1115</v>
      </c>
    </row>
    <row r="1311" spans="1:13" hidden="1" x14ac:dyDescent="0.25">
      <c r="A1311" s="16" t="s">
        <v>2770</v>
      </c>
      <c r="B1311" s="16" t="s">
        <v>895</v>
      </c>
      <c r="C1311">
        <f t="shared" si="40"/>
        <v>355</v>
      </c>
      <c r="L1311" t="s">
        <v>2699</v>
      </c>
      <c r="M1311">
        <f t="shared" si="41"/>
        <v>1116</v>
      </c>
    </row>
    <row r="1312" spans="1:13" hidden="1" x14ac:dyDescent="0.25">
      <c r="A1312" s="16" t="s">
        <v>2770</v>
      </c>
      <c r="B1312" s="16" t="s">
        <v>896</v>
      </c>
      <c r="C1312">
        <f t="shared" si="40"/>
        <v>356</v>
      </c>
      <c r="L1312" t="s">
        <v>2700</v>
      </c>
      <c r="M1312">
        <f t="shared" si="41"/>
        <v>1117</v>
      </c>
    </row>
    <row r="1313" spans="1:13" hidden="1" x14ac:dyDescent="0.25">
      <c r="A1313" s="16" t="s">
        <v>2770</v>
      </c>
      <c r="B1313" s="16" t="s">
        <v>897</v>
      </c>
      <c r="C1313">
        <f t="shared" si="40"/>
        <v>357</v>
      </c>
      <c r="L1313" t="s">
        <v>2701</v>
      </c>
      <c r="M1313">
        <f t="shared" si="41"/>
        <v>1118</v>
      </c>
    </row>
    <row r="1314" spans="1:13" hidden="1" x14ac:dyDescent="0.25">
      <c r="A1314" s="16" t="s">
        <v>2770</v>
      </c>
      <c r="B1314" s="16" t="s">
        <v>898</v>
      </c>
      <c r="C1314">
        <f t="shared" si="40"/>
        <v>358</v>
      </c>
      <c r="L1314" t="s">
        <v>2702</v>
      </c>
      <c r="M1314">
        <f t="shared" si="41"/>
        <v>1119</v>
      </c>
    </row>
    <row r="1315" spans="1:13" hidden="1" x14ac:dyDescent="0.25">
      <c r="A1315" s="16" t="s">
        <v>2770</v>
      </c>
      <c r="B1315" s="16" t="s">
        <v>899</v>
      </c>
      <c r="C1315">
        <f t="shared" si="40"/>
        <v>359</v>
      </c>
      <c r="L1315" t="s">
        <v>2703</v>
      </c>
      <c r="M1315">
        <f t="shared" si="41"/>
        <v>1120</v>
      </c>
    </row>
    <row r="1316" spans="1:13" hidden="1" x14ac:dyDescent="0.25">
      <c r="A1316" s="16" t="s">
        <v>2770</v>
      </c>
      <c r="B1316" s="16" t="s">
        <v>900</v>
      </c>
      <c r="C1316">
        <f t="shared" si="40"/>
        <v>360</v>
      </c>
      <c r="L1316" t="s">
        <v>2704</v>
      </c>
      <c r="M1316">
        <f t="shared" si="41"/>
        <v>1121</v>
      </c>
    </row>
    <row r="1317" spans="1:13" hidden="1" x14ac:dyDescent="0.25">
      <c r="A1317" s="16" t="s">
        <v>2770</v>
      </c>
      <c r="B1317" s="16" t="s">
        <v>901</v>
      </c>
      <c r="C1317">
        <f t="shared" si="40"/>
        <v>361</v>
      </c>
      <c r="L1317" t="s">
        <v>2705</v>
      </c>
      <c r="M1317">
        <f t="shared" si="41"/>
        <v>1122</v>
      </c>
    </row>
    <row r="1318" spans="1:13" hidden="1" x14ac:dyDescent="0.25">
      <c r="A1318" s="16" t="s">
        <v>2770</v>
      </c>
      <c r="B1318" s="16" t="s">
        <v>902</v>
      </c>
      <c r="C1318">
        <f t="shared" si="40"/>
        <v>362</v>
      </c>
      <c r="L1318" t="s">
        <v>2706</v>
      </c>
      <c r="M1318">
        <f t="shared" si="41"/>
        <v>1123</v>
      </c>
    </row>
    <row r="1319" spans="1:13" hidden="1" x14ac:dyDescent="0.25">
      <c r="A1319" s="16" t="s">
        <v>2770</v>
      </c>
      <c r="B1319" s="16" t="s">
        <v>903</v>
      </c>
      <c r="C1319">
        <f t="shared" si="40"/>
        <v>363</v>
      </c>
      <c r="L1319" t="s">
        <v>2707</v>
      </c>
      <c r="M1319">
        <f t="shared" si="41"/>
        <v>1124</v>
      </c>
    </row>
    <row r="1320" spans="1:13" hidden="1" x14ac:dyDescent="0.25">
      <c r="A1320" s="16" t="s">
        <v>2770</v>
      </c>
      <c r="B1320" s="16" t="s">
        <v>904</v>
      </c>
      <c r="C1320">
        <f t="shared" si="40"/>
        <v>364</v>
      </c>
      <c r="L1320" t="s">
        <v>2708</v>
      </c>
      <c r="M1320">
        <f t="shared" si="41"/>
        <v>1125</v>
      </c>
    </row>
    <row r="1321" spans="1:13" hidden="1" x14ac:dyDescent="0.25">
      <c r="A1321" s="16" t="s">
        <v>2770</v>
      </c>
      <c r="B1321" s="16" t="s">
        <v>905</v>
      </c>
      <c r="C1321">
        <f t="shared" si="40"/>
        <v>365</v>
      </c>
      <c r="L1321" t="s">
        <v>2709</v>
      </c>
      <c r="M1321">
        <f t="shared" si="41"/>
        <v>1126</v>
      </c>
    </row>
    <row r="1322" spans="1:13" hidden="1" x14ac:dyDescent="0.25">
      <c r="A1322" s="16" t="s">
        <v>2770</v>
      </c>
      <c r="B1322" s="16" t="s">
        <v>906</v>
      </c>
      <c r="C1322">
        <f t="shared" si="40"/>
        <v>366</v>
      </c>
      <c r="L1322" t="s">
        <v>2710</v>
      </c>
      <c r="M1322">
        <f t="shared" si="41"/>
        <v>1127</v>
      </c>
    </row>
    <row r="1323" spans="1:13" hidden="1" x14ac:dyDescent="0.25">
      <c r="A1323" s="16" t="s">
        <v>2770</v>
      </c>
      <c r="B1323" s="16" t="s">
        <v>907</v>
      </c>
      <c r="C1323">
        <f t="shared" si="40"/>
        <v>367</v>
      </c>
      <c r="L1323" t="s">
        <v>2711</v>
      </c>
      <c r="M1323">
        <f t="shared" si="41"/>
        <v>1128</v>
      </c>
    </row>
    <row r="1324" spans="1:13" hidden="1" x14ac:dyDescent="0.25">
      <c r="A1324" s="16" t="s">
        <v>2770</v>
      </c>
      <c r="B1324" s="16" t="s">
        <v>908</v>
      </c>
      <c r="C1324">
        <f t="shared" si="40"/>
        <v>368</v>
      </c>
      <c r="L1324" t="s">
        <v>2712</v>
      </c>
      <c r="M1324">
        <f t="shared" si="41"/>
        <v>1129</v>
      </c>
    </row>
    <row r="1325" spans="1:13" hidden="1" x14ac:dyDescent="0.25">
      <c r="A1325" s="16" t="s">
        <v>2770</v>
      </c>
      <c r="B1325" s="16" t="s">
        <v>909</v>
      </c>
      <c r="C1325">
        <f t="shared" si="40"/>
        <v>369</v>
      </c>
      <c r="L1325" t="s">
        <v>2713</v>
      </c>
      <c r="M1325">
        <f t="shared" si="41"/>
        <v>1130</v>
      </c>
    </row>
    <row r="1326" spans="1:13" hidden="1" x14ac:dyDescent="0.25">
      <c r="A1326" s="16" t="s">
        <v>2770</v>
      </c>
      <c r="B1326" s="16" t="s">
        <v>910</v>
      </c>
      <c r="C1326">
        <f t="shared" si="40"/>
        <v>370</v>
      </c>
      <c r="L1326" t="s">
        <v>2714</v>
      </c>
      <c r="M1326">
        <f t="shared" si="41"/>
        <v>1131</v>
      </c>
    </row>
    <row r="1327" spans="1:13" hidden="1" x14ac:dyDescent="0.25">
      <c r="A1327" s="16" t="s">
        <v>2770</v>
      </c>
      <c r="B1327" s="16" t="s">
        <v>911</v>
      </c>
      <c r="C1327">
        <f t="shared" si="40"/>
        <v>371</v>
      </c>
      <c r="L1327" t="s">
        <v>2715</v>
      </c>
      <c r="M1327">
        <f t="shared" si="41"/>
        <v>1132</v>
      </c>
    </row>
    <row r="1328" spans="1:13" hidden="1" x14ac:dyDescent="0.25">
      <c r="A1328" s="16" t="s">
        <v>2770</v>
      </c>
      <c r="B1328" s="16" t="s">
        <v>912</v>
      </c>
      <c r="C1328">
        <f t="shared" si="40"/>
        <v>372</v>
      </c>
      <c r="L1328" t="s">
        <v>2716</v>
      </c>
      <c r="M1328">
        <f t="shared" si="41"/>
        <v>1133</v>
      </c>
    </row>
    <row r="1329" spans="1:13" x14ac:dyDescent="0.25">
      <c r="A1329" s="16" t="s">
        <v>2770</v>
      </c>
      <c r="B1329" s="16" t="s">
        <v>913</v>
      </c>
      <c r="C1329">
        <f t="shared" si="40"/>
        <v>373</v>
      </c>
      <c r="L1329" s="17" t="s">
        <v>2947</v>
      </c>
      <c r="M1329" t="e">
        <f t="shared" si="41"/>
        <v>#N/A</v>
      </c>
    </row>
    <row r="1330" spans="1:13" x14ac:dyDescent="0.25">
      <c r="A1330" s="16" t="s">
        <v>2770</v>
      </c>
      <c r="B1330" s="16" t="s">
        <v>914</v>
      </c>
      <c r="C1330">
        <f t="shared" si="40"/>
        <v>374</v>
      </c>
      <c r="L1330" s="17" t="s">
        <v>2948</v>
      </c>
      <c r="M1330" t="e">
        <f t="shared" si="41"/>
        <v>#N/A</v>
      </c>
    </row>
    <row r="1331" spans="1:13" x14ac:dyDescent="0.25">
      <c r="A1331" s="16" t="s">
        <v>2770</v>
      </c>
      <c r="B1331" s="16" t="s">
        <v>915</v>
      </c>
      <c r="C1331">
        <f t="shared" si="40"/>
        <v>375</v>
      </c>
      <c r="L1331" s="17" t="s">
        <v>2949</v>
      </c>
      <c r="M1331" t="e">
        <f t="shared" si="41"/>
        <v>#N/A</v>
      </c>
    </row>
    <row r="1332" spans="1:13" x14ac:dyDescent="0.25">
      <c r="A1332" s="16" t="s">
        <v>2770</v>
      </c>
      <c r="B1332" s="16" t="s">
        <v>916</v>
      </c>
      <c r="C1332">
        <f t="shared" si="40"/>
        <v>376</v>
      </c>
      <c r="L1332" s="17" t="s">
        <v>2950</v>
      </c>
      <c r="M1332" t="e">
        <f t="shared" si="41"/>
        <v>#N/A</v>
      </c>
    </row>
    <row r="1333" spans="1:13" x14ac:dyDescent="0.25">
      <c r="A1333" s="16" t="s">
        <v>2770</v>
      </c>
      <c r="B1333" s="16" t="s">
        <v>970</v>
      </c>
      <c r="C1333">
        <f t="shared" si="40"/>
        <v>377</v>
      </c>
      <c r="L1333" s="17" t="s">
        <v>2951</v>
      </c>
      <c r="M1333" t="e">
        <f t="shared" si="41"/>
        <v>#N/A</v>
      </c>
    </row>
    <row r="1334" spans="1:13" x14ac:dyDescent="0.25">
      <c r="A1334" s="16" t="s">
        <v>2770</v>
      </c>
      <c r="B1334" s="16" t="s">
        <v>919</v>
      </c>
      <c r="C1334">
        <f t="shared" si="40"/>
        <v>378</v>
      </c>
      <c r="L1334" s="17" t="s">
        <v>2952</v>
      </c>
      <c r="M1334" t="e">
        <f t="shared" si="41"/>
        <v>#N/A</v>
      </c>
    </row>
    <row r="1335" spans="1:13" x14ac:dyDescent="0.25">
      <c r="A1335" s="16" t="s">
        <v>2770</v>
      </c>
      <c r="B1335" s="16" t="s">
        <v>920</v>
      </c>
      <c r="C1335">
        <f t="shared" si="40"/>
        <v>379</v>
      </c>
      <c r="L1335" s="17" t="s">
        <v>2953</v>
      </c>
      <c r="M1335" t="e">
        <f t="shared" si="41"/>
        <v>#N/A</v>
      </c>
    </row>
    <row r="1336" spans="1:13" x14ac:dyDescent="0.25">
      <c r="A1336" s="16" t="s">
        <v>2770</v>
      </c>
      <c r="B1336" s="16" t="s">
        <v>921</v>
      </c>
      <c r="C1336">
        <f t="shared" si="40"/>
        <v>380</v>
      </c>
      <c r="L1336" s="17" t="s">
        <v>2954</v>
      </c>
      <c r="M1336" t="e">
        <f t="shared" si="41"/>
        <v>#N/A</v>
      </c>
    </row>
    <row r="1337" spans="1:13" x14ac:dyDescent="0.25">
      <c r="A1337" s="16" t="s">
        <v>2770</v>
      </c>
      <c r="B1337" s="16" t="s">
        <v>922</v>
      </c>
      <c r="C1337">
        <f t="shared" si="40"/>
        <v>381</v>
      </c>
      <c r="L1337" s="17" t="s">
        <v>2955</v>
      </c>
      <c r="M1337" t="e">
        <f t="shared" si="41"/>
        <v>#N/A</v>
      </c>
    </row>
    <row r="1338" spans="1:13" x14ac:dyDescent="0.25">
      <c r="A1338" s="16" t="s">
        <v>2770</v>
      </c>
      <c r="B1338" s="16" t="s">
        <v>923</v>
      </c>
      <c r="C1338">
        <f t="shared" si="40"/>
        <v>382</v>
      </c>
      <c r="L1338" s="17" t="s">
        <v>2956</v>
      </c>
      <c r="M1338" t="e">
        <f t="shared" si="41"/>
        <v>#N/A</v>
      </c>
    </row>
    <row r="1339" spans="1:13" x14ac:dyDescent="0.25">
      <c r="A1339" s="16" t="s">
        <v>2770</v>
      </c>
      <c r="B1339" s="16" t="s">
        <v>924</v>
      </c>
      <c r="C1339">
        <f t="shared" si="40"/>
        <v>383</v>
      </c>
      <c r="L1339" s="17" t="s">
        <v>2957</v>
      </c>
      <c r="M1339" t="e">
        <f t="shared" si="41"/>
        <v>#N/A</v>
      </c>
    </row>
    <row r="1340" spans="1:13" x14ac:dyDescent="0.25">
      <c r="A1340" s="16" t="s">
        <v>2770</v>
      </c>
      <c r="B1340" s="16" t="s">
        <v>925</v>
      </c>
      <c r="C1340">
        <f t="shared" si="40"/>
        <v>384</v>
      </c>
      <c r="L1340" s="17" t="s">
        <v>2958</v>
      </c>
      <c r="M1340" t="e">
        <f t="shared" si="41"/>
        <v>#N/A</v>
      </c>
    </row>
    <row r="1341" spans="1:13" x14ac:dyDescent="0.25">
      <c r="A1341" s="16" t="s">
        <v>2770</v>
      </c>
      <c r="B1341" s="16" t="s">
        <v>926</v>
      </c>
      <c r="C1341">
        <f t="shared" si="40"/>
        <v>385</v>
      </c>
      <c r="L1341" s="17" t="s">
        <v>2959</v>
      </c>
      <c r="M1341" t="e">
        <f t="shared" si="41"/>
        <v>#N/A</v>
      </c>
    </row>
    <row r="1342" spans="1:13" x14ac:dyDescent="0.25">
      <c r="A1342" s="16" t="s">
        <v>2770</v>
      </c>
      <c r="B1342" s="16" t="s">
        <v>927</v>
      </c>
      <c r="C1342">
        <f t="shared" si="40"/>
        <v>386</v>
      </c>
      <c r="L1342" s="17" t="s">
        <v>2960</v>
      </c>
      <c r="M1342" t="e">
        <f t="shared" si="41"/>
        <v>#N/A</v>
      </c>
    </row>
    <row r="1343" spans="1:13" x14ac:dyDescent="0.25">
      <c r="A1343" s="16" t="s">
        <v>2770</v>
      </c>
      <c r="B1343" s="16" t="s">
        <v>928</v>
      </c>
      <c r="C1343">
        <f t="shared" si="40"/>
        <v>387</v>
      </c>
      <c r="L1343" s="17" t="s">
        <v>2961</v>
      </c>
      <c r="M1343" t="e">
        <f t="shared" si="41"/>
        <v>#N/A</v>
      </c>
    </row>
    <row r="1344" spans="1:13" x14ac:dyDescent="0.25">
      <c r="A1344" s="16" t="s">
        <v>2770</v>
      </c>
      <c r="B1344" s="16" t="s">
        <v>929</v>
      </c>
      <c r="C1344">
        <f t="shared" si="40"/>
        <v>388</v>
      </c>
      <c r="L1344" s="17" t="s">
        <v>2962</v>
      </c>
      <c r="M1344" t="e">
        <f t="shared" si="41"/>
        <v>#N/A</v>
      </c>
    </row>
    <row r="1345" spans="1:13" x14ac:dyDescent="0.25">
      <c r="A1345" s="16" t="s">
        <v>2770</v>
      </c>
      <c r="B1345" s="16" t="s">
        <v>930</v>
      </c>
      <c r="C1345">
        <f t="shared" si="40"/>
        <v>389</v>
      </c>
      <c r="L1345" s="17" t="s">
        <v>2963</v>
      </c>
      <c r="M1345" t="e">
        <f t="shared" si="41"/>
        <v>#N/A</v>
      </c>
    </row>
    <row r="1346" spans="1:13" x14ac:dyDescent="0.25">
      <c r="A1346" s="16" t="s">
        <v>2770</v>
      </c>
      <c r="B1346" s="16" t="s">
        <v>931</v>
      </c>
      <c r="C1346">
        <f t="shared" si="40"/>
        <v>390</v>
      </c>
      <c r="L1346" s="17" t="s">
        <v>2964</v>
      </c>
      <c r="M1346" t="e">
        <f t="shared" si="41"/>
        <v>#N/A</v>
      </c>
    </row>
    <row r="1347" spans="1:13" x14ac:dyDescent="0.25">
      <c r="A1347" s="16" t="s">
        <v>2770</v>
      </c>
      <c r="B1347" s="16" t="s">
        <v>932</v>
      </c>
      <c r="C1347">
        <f t="shared" ref="C1347:C1410" si="42">MATCH(B1347,L:L,0)</f>
        <v>391</v>
      </c>
      <c r="L1347" s="17" t="s">
        <v>2965</v>
      </c>
      <c r="M1347" t="e">
        <f t="shared" ref="M1347:M1410" si="43">MATCH(L1347,B:B,0)</f>
        <v>#N/A</v>
      </c>
    </row>
    <row r="1348" spans="1:13" x14ac:dyDescent="0.25">
      <c r="A1348" s="16" t="s">
        <v>2770</v>
      </c>
      <c r="B1348" s="16" t="s">
        <v>933</v>
      </c>
      <c r="C1348">
        <f t="shared" si="42"/>
        <v>392</v>
      </c>
      <c r="L1348" s="17" t="s">
        <v>2966</v>
      </c>
      <c r="M1348" t="e">
        <f t="shared" si="43"/>
        <v>#N/A</v>
      </c>
    </row>
    <row r="1349" spans="1:13" x14ac:dyDescent="0.25">
      <c r="A1349" s="16" t="s">
        <v>2770</v>
      </c>
      <c r="B1349" s="16" t="s">
        <v>934</v>
      </c>
      <c r="C1349">
        <f t="shared" si="42"/>
        <v>393</v>
      </c>
      <c r="L1349" s="17" t="s">
        <v>2967</v>
      </c>
      <c r="M1349" t="e">
        <f t="shared" si="43"/>
        <v>#N/A</v>
      </c>
    </row>
    <row r="1350" spans="1:13" x14ac:dyDescent="0.25">
      <c r="A1350" s="16" t="s">
        <v>2770</v>
      </c>
      <c r="B1350" s="16" t="s">
        <v>935</v>
      </c>
      <c r="C1350">
        <f t="shared" si="42"/>
        <v>394</v>
      </c>
      <c r="L1350" s="17" t="s">
        <v>2968</v>
      </c>
      <c r="M1350" t="e">
        <f t="shared" si="43"/>
        <v>#N/A</v>
      </c>
    </row>
    <row r="1351" spans="1:13" x14ac:dyDescent="0.25">
      <c r="A1351" s="16" t="s">
        <v>2770</v>
      </c>
      <c r="B1351" s="16" t="s">
        <v>936</v>
      </c>
      <c r="C1351">
        <f t="shared" si="42"/>
        <v>395</v>
      </c>
      <c r="L1351" s="17" t="s">
        <v>2969</v>
      </c>
      <c r="M1351" t="e">
        <f t="shared" si="43"/>
        <v>#N/A</v>
      </c>
    </row>
    <row r="1352" spans="1:13" x14ac:dyDescent="0.25">
      <c r="A1352" s="16" t="s">
        <v>2770</v>
      </c>
      <c r="B1352" s="16" t="s">
        <v>937</v>
      </c>
      <c r="C1352">
        <f t="shared" si="42"/>
        <v>396</v>
      </c>
      <c r="L1352" s="17" t="s">
        <v>2970</v>
      </c>
      <c r="M1352" t="e">
        <f t="shared" si="43"/>
        <v>#N/A</v>
      </c>
    </row>
    <row r="1353" spans="1:13" x14ac:dyDescent="0.25">
      <c r="A1353" s="16" t="s">
        <v>2770</v>
      </c>
      <c r="B1353" s="16" t="s">
        <v>938</v>
      </c>
      <c r="C1353">
        <f t="shared" si="42"/>
        <v>397</v>
      </c>
      <c r="L1353" s="17" t="s">
        <v>2971</v>
      </c>
      <c r="M1353" t="e">
        <f t="shared" si="43"/>
        <v>#N/A</v>
      </c>
    </row>
    <row r="1354" spans="1:13" x14ac:dyDescent="0.25">
      <c r="A1354" s="16" t="s">
        <v>2770</v>
      </c>
      <c r="B1354" s="16" t="s">
        <v>939</v>
      </c>
      <c r="C1354">
        <f t="shared" si="42"/>
        <v>398</v>
      </c>
      <c r="L1354" s="17" t="s">
        <v>2972</v>
      </c>
      <c r="M1354" t="e">
        <f t="shared" si="43"/>
        <v>#N/A</v>
      </c>
    </row>
    <row r="1355" spans="1:13" x14ac:dyDescent="0.25">
      <c r="A1355" s="16" t="s">
        <v>2770</v>
      </c>
      <c r="B1355" s="16" t="s">
        <v>940</v>
      </c>
      <c r="C1355">
        <f t="shared" si="42"/>
        <v>399</v>
      </c>
      <c r="L1355" s="17" t="s">
        <v>2973</v>
      </c>
      <c r="M1355" t="e">
        <f t="shared" si="43"/>
        <v>#N/A</v>
      </c>
    </row>
    <row r="1356" spans="1:13" x14ac:dyDescent="0.25">
      <c r="A1356" s="16" t="s">
        <v>2770</v>
      </c>
      <c r="B1356" s="16" t="s">
        <v>941</v>
      </c>
      <c r="C1356">
        <f t="shared" si="42"/>
        <v>400</v>
      </c>
      <c r="L1356" s="17" t="s">
        <v>2974</v>
      </c>
      <c r="M1356" t="e">
        <f t="shared" si="43"/>
        <v>#N/A</v>
      </c>
    </row>
    <row r="1357" spans="1:13" x14ac:dyDescent="0.25">
      <c r="A1357" s="16" t="s">
        <v>2770</v>
      </c>
      <c r="B1357" s="16" t="s">
        <v>942</v>
      </c>
      <c r="C1357">
        <f t="shared" si="42"/>
        <v>401</v>
      </c>
      <c r="L1357" s="17" t="s">
        <v>2975</v>
      </c>
      <c r="M1357" t="e">
        <f t="shared" si="43"/>
        <v>#N/A</v>
      </c>
    </row>
    <row r="1358" spans="1:13" x14ac:dyDescent="0.25">
      <c r="A1358" s="16" t="s">
        <v>2770</v>
      </c>
      <c r="B1358" s="16" t="s">
        <v>943</v>
      </c>
      <c r="C1358">
        <f t="shared" si="42"/>
        <v>402</v>
      </c>
      <c r="L1358" s="17" t="s">
        <v>2976</v>
      </c>
      <c r="M1358" t="e">
        <f t="shared" si="43"/>
        <v>#N/A</v>
      </c>
    </row>
    <row r="1359" spans="1:13" x14ac:dyDescent="0.25">
      <c r="A1359" s="16" t="s">
        <v>2770</v>
      </c>
      <c r="B1359" s="16" t="s">
        <v>944</v>
      </c>
      <c r="C1359">
        <f t="shared" si="42"/>
        <v>403</v>
      </c>
      <c r="L1359" s="17" t="s">
        <v>2977</v>
      </c>
      <c r="M1359" t="e">
        <f t="shared" si="43"/>
        <v>#N/A</v>
      </c>
    </row>
    <row r="1360" spans="1:13" x14ac:dyDescent="0.25">
      <c r="A1360" s="16" t="s">
        <v>2770</v>
      </c>
      <c r="B1360" s="16" t="s">
        <v>945</v>
      </c>
      <c r="C1360">
        <f t="shared" si="42"/>
        <v>404</v>
      </c>
      <c r="L1360" s="17" t="s">
        <v>2978</v>
      </c>
      <c r="M1360" t="e">
        <f t="shared" si="43"/>
        <v>#N/A</v>
      </c>
    </row>
    <row r="1361" spans="1:13" x14ac:dyDescent="0.25">
      <c r="A1361" s="16" t="s">
        <v>2770</v>
      </c>
      <c r="B1361" s="16" t="s">
        <v>946</v>
      </c>
      <c r="C1361">
        <f t="shared" si="42"/>
        <v>405</v>
      </c>
      <c r="L1361" s="17" t="s">
        <v>2979</v>
      </c>
      <c r="M1361" t="e">
        <f t="shared" si="43"/>
        <v>#N/A</v>
      </c>
    </row>
    <row r="1362" spans="1:13" x14ac:dyDescent="0.25">
      <c r="A1362" s="16" t="s">
        <v>2770</v>
      </c>
      <c r="B1362" s="16" t="s">
        <v>947</v>
      </c>
      <c r="C1362">
        <f t="shared" si="42"/>
        <v>406</v>
      </c>
      <c r="L1362" s="17" t="s">
        <v>2980</v>
      </c>
      <c r="M1362" t="e">
        <f t="shared" si="43"/>
        <v>#N/A</v>
      </c>
    </row>
    <row r="1363" spans="1:13" x14ac:dyDescent="0.25">
      <c r="A1363" s="16" t="s">
        <v>2770</v>
      </c>
      <c r="B1363" s="16" t="s">
        <v>948</v>
      </c>
      <c r="C1363">
        <f t="shared" si="42"/>
        <v>407</v>
      </c>
      <c r="L1363" s="17" t="s">
        <v>2981</v>
      </c>
      <c r="M1363" t="e">
        <f t="shared" si="43"/>
        <v>#N/A</v>
      </c>
    </row>
    <row r="1364" spans="1:13" x14ac:dyDescent="0.25">
      <c r="A1364" s="16" t="s">
        <v>2770</v>
      </c>
      <c r="B1364" s="16" t="s">
        <v>949</v>
      </c>
      <c r="C1364">
        <f t="shared" si="42"/>
        <v>408</v>
      </c>
      <c r="L1364" s="17" t="s">
        <v>2982</v>
      </c>
      <c r="M1364" t="e">
        <f t="shared" si="43"/>
        <v>#N/A</v>
      </c>
    </row>
    <row r="1365" spans="1:13" x14ac:dyDescent="0.25">
      <c r="A1365" s="16" t="s">
        <v>2770</v>
      </c>
      <c r="B1365" s="16" t="s">
        <v>950</v>
      </c>
      <c r="C1365">
        <f t="shared" si="42"/>
        <v>409</v>
      </c>
      <c r="L1365" s="17" t="s">
        <v>2983</v>
      </c>
      <c r="M1365" t="e">
        <f t="shared" si="43"/>
        <v>#N/A</v>
      </c>
    </row>
    <row r="1366" spans="1:13" x14ac:dyDescent="0.25">
      <c r="A1366" s="16" t="s">
        <v>2770</v>
      </c>
      <c r="B1366" s="16" t="s">
        <v>951</v>
      </c>
      <c r="C1366">
        <f t="shared" si="42"/>
        <v>410</v>
      </c>
      <c r="L1366" s="17" t="s">
        <v>2984</v>
      </c>
      <c r="M1366" t="e">
        <f t="shared" si="43"/>
        <v>#N/A</v>
      </c>
    </row>
    <row r="1367" spans="1:13" x14ac:dyDescent="0.25">
      <c r="A1367" s="16" t="s">
        <v>2770</v>
      </c>
      <c r="B1367" s="16" t="s">
        <v>952</v>
      </c>
      <c r="C1367">
        <f t="shared" si="42"/>
        <v>411</v>
      </c>
      <c r="L1367" s="17" t="s">
        <v>2985</v>
      </c>
      <c r="M1367" t="e">
        <f t="shared" si="43"/>
        <v>#N/A</v>
      </c>
    </row>
    <row r="1368" spans="1:13" x14ac:dyDescent="0.25">
      <c r="A1368" s="16" t="s">
        <v>2770</v>
      </c>
      <c r="B1368" s="16" t="s">
        <v>953</v>
      </c>
      <c r="C1368">
        <f t="shared" si="42"/>
        <v>412</v>
      </c>
      <c r="L1368" s="17" t="s">
        <v>2986</v>
      </c>
      <c r="M1368" t="e">
        <f t="shared" si="43"/>
        <v>#N/A</v>
      </c>
    </row>
    <row r="1369" spans="1:13" x14ac:dyDescent="0.25">
      <c r="A1369" s="16" t="s">
        <v>2770</v>
      </c>
      <c r="B1369" s="16" t="s">
        <v>954</v>
      </c>
      <c r="C1369">
        <f t="shared" si="42"/>
        <v>413</v>
      </c>
      <c r="L1369" s="17" t="s">
        <v>2987</v>
      </c>
      <c r="M1369" t="e">
        <f t="shared" si="43"/>
        <v>#N/A</v>
      </c>
    </row>
    <row r="1370" spans="1:13" x14ac:dyDescent="0.25">
      <c r="A1370" s="16" t="s">
        <v>2770</v>
      </c>
      <c r="B1370" s="16" t="s">
        <v>955</v>
      </c>
      <c r="C1370">
        <f t="shared" si="42"/>
        <v>414</v>
      </c>
      <c r="L1370" s="17" t="s">
        <v>2988</v>
      </c>
      <c r="M1370" t="e">
        <f t="shared" si="43"/>
        <v>#N/A</v>
      </c>
    </row>
    <row r="1371" spans="1:13" x14ac:dyDescent="0.25">
      <c r="A1371" s="16" t="s">
        <v>2770</v>
      </c>
      <c r="B1371" s="16" t="s">
        <v>956</v>
      </c>
      <c r="C1371">
        <f t="shared" si="42"/>
        <v>415</v>
      </c>
      <c r="L1371" s="17" t="s">
        <v>2989</v>
      </c>
      <c r="M1371" t="e">
        <f t="shared" si="43"/>
        <v>#N/A</v>
      </c>
    </row>
    <row r="1372" spans="1:13" x14ac:dyDescent="0.25">
      <c r="A1372" s="16" t="s">
        <v>2770</v>
      </c>
      <c r="B1372" s="16" t="s">
        <v>957</v>
      </c>
      <c r="C1372">
        <f t="shared" si="42"/>
        <v>416</v>
      </c>
      <c r="L1372" s="17" t="s">
        <v>2990</v>
      </c>
      <c r="M1372" t="e">
        <f t="shared" si="43"/>
        <v>#N/A</v>
      </c>
    </row>
    <row r="1373" spans="1:13" x14ac:dyDescent="0.25">
      <c r="A1373" s="16" t="s">
        <v>2770</v>
      </c>
      <c r="B1373" s="16" t="s">
        <v>958</v>
      </c>
      <c r="C1373">
        <f t="shared" si="42"/>
        <v>417</v>
      </c>
      <c r="L1373" s="17" t="s">
        <v>2991</v>
      </c>
      <c r="M1373" t="e">
        <f t="shared" si="43"/>
        <v>#N/A</v>
      </c>
    </row>
    <row r="1374" spans="1:13" x14ac:dyDescent="0.25">
      <c r="A1374" s="16" t="s">
        <v>2770</v>
      </c>
      <c r="B1374" s="16" t="s">
        <v>959</v>
      </c>
      <c r="C1374">
        <f t="shared" si="42"/>
        <v>418</v>
      </c>
      <c r="L1374" s="17" t="s">
        <v>2992</v>
      </c>
      <c r="M1374" t="e">
        <f t="shared" si="43"/>
        <v>#N/A</v>
      </c>
    </row>
    <row r="1375" spans="1:13" x14ac:dyDescent="0.25">
      <c r="A1375" s="16" t="s">
        <v>2770</v>
      </c>
      <c r="B1375" s="16" t="s">
        <v>960</v>
      </c>
      <c r="C1375">
        <f t="shared" si="42"/>
        <v>419</v>
      </c>
      <c r="L1375" s="17" t="s">
        <v>2993</v>
      </c>
      <c r="M1375" t="e">
        <f t="shared" si="43"/>
        <v>#N/A</v>
      </c>
    </row>
    <row r="1376" spans="1:13" x14ac:dyDescent="0.25">
      <c r="A1376" s="16" t="s">
        <v>2770</v>
      </c>
      <c r="B1376" s="16" t="s">
        <v>971</v>
      </c>
      <c r="C1376" t="e">
        <f t="shared" si="42"/>
        <v>#N/A</v>
      </c>
      <c r="L1376" s="17" t="s">
        <v>2994</v>
      </c>
      <c r="M1376" t="e">
        <f t="shared" si="43"/>
        <v>#N/A</v>
      </c>
    </row>
    <row r="1377" spans="1:13" x14ac:dyDescent="0.25">
      <c r="A1377" s="16" t="s">
        <v>2770</v>
      </c>
      <c r="B1377" s="16" t="s">
        <v>972</v>
      </c>
      <c r="C1377" t="e">
        <f t="shared" si="42"/>
        <v>#N/A</v>
      </c>
      <c r="L1377" s="17" t="s">
        <v>2995</v>
      </c>
      <c r="M1377" t="e">
        <f t="shared" si="43"/>
        <v>#N/A</v>
      </c>
    </row>
    <row r="1378" spans="1:13" x14ac:dyDescent="0.25">
      <c r="A1378" s="16" t="s">
        <v>2770</v>
      </c>
      <c r="B1378" s="16" t="s">
        <v>973</v>
      </c>
      <c r="C1378" t="e">
        <f t="shared" si="42"/>
        <v>#N/A</v>
      </c>
      <c r="L1378" s="17" t="s">
        <v>2996</v>
      </c>
      <c r="M1378" t="e">
        <f t="shared" si="43"/>
        <v>#N/A</v>
      </c>
    </row>
    <row r="1379" spans="1:13" x14ac:dyDescent="0.25">
      <c r="A1379" s="16" t="s">
        <v>2770</v>
      </c>
      <c r="B1379" s="16" t="s">
        <v>974</v>
      </c>
      <c r="C1379" t="e">
        <f t="shared" si="42"/>
        <v>#N/A</v>
      </c>
      <c r="L1379" s="17" t="s">
        <v>2997</v>
      </c>
      <c r="M1379" t="e">
        <f t="shared" si="43"/>
        <v>#N/A</v>
      </c>
    </row>
    <row r="1380" spans="1:13" x14ac:dyDescent="0.25">
      <c r="A1380" s="16" t="s">
        <v>2770</v>
      </c>
      <c r="B1380" s="16" t="s">
        <v>975</v>
      </c>
      <c r="C1380" t="e">
        <f t="shared" si="42"/>
        <v>#N/A</v>
      </c>
      <c r="L1380" s="17" t="s">
        <v>2998</v>
      </c>
      <c r="M1380" t="e">
        <f t="shared" si="43"/>
        <v>#N/A</v>
      </c>
    </row>
    <row r="1381" spans="1:13" x14ac:dyDescent="0.25">
      <c r="A1381" s="16" t="s">
        <v>2770</v>
      </c>
      <c r="B1381" s="16" t="s">
        <v>976</v>
      </c>
      <c r="C1381" t="e">
        <f t="shared" si="42"/>
        <v>#N/A</v>
      </c>
      <c r="L1381" s="17" t="s">
        <v>2999</v>
      </c>
      <c r="M1381" t="e">
        <f t="shared" si="43"/>
        <v>#N/A</v>
      </c>
    </row>
    <row r="1382" spans="1:13" x14ac:dyDescent="0.25">
      <c r="A1382" s="16" t="s">
        <v>2770</v>
      </c>
      <c r="B1382" s="16" t="s">
        <v>977</v>
      </c>
      <c r="C1382" t="e">
        <f t="shared" si="42"/>
        <v>#N/A</v>
      </c>
      <c r="L1382" s="17" t="s">
        <v>3000</v>
      </c>
      <c r="M1382" t="e">
        <f t="shared" si="43"/>
        <v>#N/A</v>
      </c>
    </row>
    <row r="1383" spans="1:13" x14ac:dyDescent="0.25">
      <c r="A1383" s="16" t="s">
        <v>2770</v>
      </c>
      <c r="B1383" s="16" t="s">
        <v>978</v>
      </c>
      <c r="C1383" t="e">
        <f t="shared" si="42"/>
        <v>#N/A</v>
      </c>
      <c r="L1383" s="17" t="s">
        <v>3001</v>
      </c>
      <c r="M1383" t="e">
        <f t="shared" si="43"/>
        <v>#N/A</v>
      </c>
    </row>
    <row r="1384" spans="1:13" x14ac:dyDescent="0.25">
      <c r="A1384" s="16" t="s">
        <v>2770</v>
      </c>
      <c r="B1384" s="16" t="s">
        <v>979</v>
      </c>
      <c r="C1384" t="e">
        <f t="shared" si="42"/>
        <v>#N/A</v>
      </c>
      <c r="L1384" s="17" t="s">
        <v>3002</v>
      </c>
      <c r="M1384" t="e">
        <f t="shared" si="43"/>
        <v>#N/A</v>
      </c>
    </row>
    <row r="1385" spans="1:13" hidden="1" x14ac:dyDescent="0.25">
      <c r="A1385" s="16" t="s">
        <v>2770</v>
      </c>
      <c r="B1385" s="16" t="s">
        <v>980</v>
      </c>
      <c r="C1385" t="e">
        <f t="shared" si="42"/>
        <v>#N/A</v>
      </c>
      <c r="L1385" t="s">
        <v>2717</v>
      </c>
      <c r="M1385">
        <f t="shared" si="43"/>
        <v>1134</v>
      </c>
    </row>
    <row r="1386" spans="1:13" hidden="1" x14ac:dyDescent="0.25">
      <c r="A1386" s="16" t="s">
        <v>2770</v>
      </c>
      <c r="B1386" s="16" t="s">
        <v>981</v>
      </c>
      <c r="C1386" t="e">
        <f t="shared" si="42"/>
        <v>#N/A</v>
      </c>
      <c r="L1386" t="s">
        <v>2718</v>
      </c>
      <c r="M1386">
        <f t="shared" si="43"/>
        <v>1135</v>
      </c>
    </row>
    <row r="1387" spans="1:13" hidden="1" x14ac:dyDescent="0.25">
      <c r="A1387" s="16" t="s">
        <v>2770</v>
      </c>
      <c r="B1387" s="16" t="s">
        <v>982</v>
      </c>
      <c r="C1387" t="e">
        <f t="shared" si="42"/>
        <v>#N/A</v>
      </c>
      <c r="L1387" t="s">
        <v>2719</v>
      </c>
      <c r="M1387">
        <f t="shared" si="43"/>
        <v>1136</v>
      </c>
    </row>
    <row r="1388" spans="1:13" hidden="1" x14ac:dyDescent="0.25">
      <c r="A1388" s="16" t="s">
        <v>2770</v>
      </c>
      <c r="B1388" s="16" t="s">
        <v>983</v>
      </c>
      <c r="C1388" t="e">
        <f t="shared" si="42"/>
        <v>#N/A</v>
      </c>
      <c r="L1388" t="s">
        <v>2720</v>
      </c>
      <c r="M1388">
        <f t="shared" si="43"/>
        <v>1137</v>
      </c>
    </row>
    <row r="1389" spans="1:13" hidden="1" x14ac:dyDescent="0.25">
      <c r="A1389" s="16" t="s">
        <v>2770</v>
      </c>
      <c r="B1389" s="16" t="s">
        <v>984</v>
      </c>
      <c r="C1389" t="e">
        <f t="shared" si="42"/>
        <v>#N/A</v>
      </c>
      <c r="L1389" t="s">
        <v>2721</v>
      </c>
      <c r="M1389">
        <f t="shared" si="43"/>
        <v>1138</v>
      </c>
    </row>
    <row r="1390" spans="1:13" hidden="1" x14ac:dyDescent="0.25">
      <c r="A1390" s="16" t="s">
        <v>2770</v>
      </c>
      <c r="B1390" s="16" t="s">
        <v>985</v>
      </c>
      <c r="C1390">
        <f t="shared" si="42"/>
        <v>476</v>
      </c>
      <c r="L1390" t="s">
        <v>2722</v>
      </c>
      <c r="M1390">
        <f t="shared" si="43"/>
        <v>1139</v>
      </c>
    </row>
    <row r="1391" spans="1:13" hidden="1" x14ac:dyDescent="0.25">
      <c r="A1391" s="16" t="s">
        <v>2770</v>
      </c>
      <c r="B1391" s="16" t="s">
        <v>986</v>
      </c>
      <c r="C1391">
        <f t="shared" si="42"/>
        <v>477</v>
      </c>
      <c r="L1391" t="s">
        <v>2723</v>
      </c>
      <c r="M1391">
        <f t="shared" si="43"/>
        <v>1140</v>
      </c>
    </row>
    <row r="1392" spans="1:13" hidden="1" x14ac:dyDescent="0.25">
      <c r="A1392" s="16" t="s">
        <v>2770</v>
      </c>
      <c r="B1392" s="16" t="s">
        <v>987</v>
      </c>
      <c r="C1392">
        <f t="shared" si="42"/>
        <v>478</v>
      </c>
      <c r="L1392" t="s">
        <v>2724</v>
      </c>
      <c r="M1392">
        <f t="shared" si="43"/>
        <v>1141</v>
      </c>
    </row>
    <row r="1393" spans="1:13" hidden="1" x14ac:dyDescent="0.25">
      <c r="A1393" s="16" t="s">
        <v>2770</v>
      </c>
      <c r="B1393" s="16" t="s">
        <v>988</v>
      </c>
      <c r="C1393">
        <f t="shared" si="42"/>
        <v>479</v>
      </c>
      <c r="L1393" t="s">
        <v>2725</v>
      </c>
      <c r="M1393">
        <f t="shared" si="43"/>
        <v>1142</v>
      </c>
    </row>
    <row r="1394" spans="1:13" hidden="1" x14ac:dyDescent="0.25">
      <c r="A1394" s="16" t="s">
        <v>2770</v>
      </c>
      <c r="B1394" s="16" t="s">
        <v>989</v>
      </c>
      <c r="C1394">
        <f t="shared" si="42"/>
        <v>480</v>
      </c>
      <c r="L1394" t="s">
        <v>2726</v>
      </c>
      <c r="M1394">
        <f t="shared" si="43"/>
        <v>1143</v>
      </c>
    </row>
    <row r="1395" spans="1:13" hidden="1" x14ac:dyDescent="0.25">
      <c r="A1395" s="16" t="s">
        <v>2770</v>
      </c>
      <c r="B1395" s="16" t="s">
        <v>990</v>
      </c>
      <c r="C1395">
        <f t="shared" si="42"/>
        <v>481</v>
      </c>
      <c r="L1395" t="s">
        <v>2727</v>
      </c>
      <c r="M1395">
        <f t="shared" si="43"/>
        <v>1144</v>
      </c>
    </row>
    <row r="1396" spans="1:13" hidden="1" x14ac:dyDescent="0.25">
      <c r="A1396" s="16" t="s">
        <v>2770</v>
      </c>
      <c r="B1396" s="16" t="s">
        <v>991</v>
      </c>
      <c r="C1396">
        <f t="shared" si="42"/>
        <v>482</v>
      </c>
      <c r="L1396" t="s">
        <v>2728</v>
      </c>
      <c r="M1396">
        <f t="shared" si="43"/>
        <v>1145</v>
      </c>
    </row>
    <row r="1397" spans="1:13" hidden="1" x14ac:dyDescent="0.25">
      <c r="A1397" s="16" t="s">
        <v>2770</v>
      </c>
      <c r="B1397" s="16" t="s">
        <v>992</v>
      </c>
      <c r="C1397">
        <f t="shared" si="42"/>
        <v>483</v>
      </c>
      <c r="L1397" t="s">
        <v>2729</v>
      </c>
      <c r="M1397">
        <f t="shared" si="43"/>
        <v>1146</v>
      </c>
    </row>
    <row r="1398" spans="1:13" hidden="1" x14ac:dyDescent="0.25">
      <c r="A1398" s="16" t="s">
        <v>2770</v>
      </c>
      <c r="B1398" s="16" t="s">
        <v>993</v>
      </c>
      <c r="C1398">
        <f t="shared" si="42"/>
        <v>484</v>
      </c>
      <c r="L1398" t="s">
        <v>2730</v>
      </c>
      <c r="M1398">
        <f t="shared" si="43"/>
        <v>1147</v>
      </c>
    </row>
    <row r="1399" spans="1:13" hidden="1" x14ac:dyDescent="0.25">
      <c r="A1399" s="16" t="s">
        <v>2770</v>
      </c>
      <c r="B1399" s="16" t="s">
        <v>994</v>
      </c>
      <c r="C1399">
        <f t="shared" si="42"/>
        <v>485</v>
      </c>
      <c r="L1399" t="s">
        <v>2731</v>
      </c>
      <c r="M1399">
        <f t="shared" si="43"/>
        <v>1148</v>
      </c>
    </row>
    <row r="1400" spans="1:13" hidden="1" x14ac:dyDescent="0.25">
      <c r="A1400" s="16" t="s">
        <v>2770</v>
      </c>
      <c r="B1400" s="16" t="s">
        <v>995</v>
      </c>
      <c r="C1400">
        <f t="shared" si="42"/>
        <v>486</v>
      </c>
      <c r="L1400" t="s">
        <v>2732</v>
      </c>
      <c r="M1400">
        <f t="shared" si="43"/>
        <v>1149</v>
      </c>
    </row>
    <row r="1401" spans="1:13" hidden="1" x14ac:dyDescent="0.25">
      <c r="A1401" s="16" t="s">
        <v>2770</v>
      </c>
      <c r="B1401" s="16" t="s">
        <v>996</v>
      </c>
      <c r="C1401">
        <f t="shared" si="42"/>
        <v>487</v>
      </c>
      <c r="L1401" t="s">
        <v>2733</v>
      </c>
      <c r="M1401">
        <f t="shared" si="43"/>
        <v>1150</v>
      </c>
    </row>
    <row r="1402" spans="1:13" hidden="1" x14ac:dyDescent="0.25">
      <c r="A1402" s="16" t="s">
        <v>2770</v>
      </c>
      <c r="B1402" s="16" t="s">
        <v>997</v>
      </c>
      <c r="C1402">
        <f t="shared" si="42"/>
        <v>488</v>
      </c>
      <c r="L1402" t="s">
        <v>2734</v>
      </c>
      <c r="M1402">
        <f t="shared" si="43"/>
        <v>1151</v>
      </c>
    </row>
    <row r="1403" spans="1:13" hidden="1" x14ac:dyDescent="0.25">
      <c r="A1403" s="16" t="s">
        <v>2770</v>
      </c>
      <c r="B1403" s="16" t="s">
        <v>998</v>
      </c>
      <c r="C1403">
        <f t="shared" si="42"/>
        <v>489</v>
      </c>
      <c r="L1403" t="s">
        <v>2735</v>
      </c>
      <c r="M1403">
        <f t="shared" si="43"/>
        <v>1152</v>
      </c>
    </row>
    <row r="1404" spans="1:13" hidden="1" x14ac:dyDescent="0.25">
      <c r="A1404" s="16" t="s">
        <v>2770</v>
      </c>
      <c r="B1404" s="16" t="s">
        <v>999</v>
      </c>
      <c r="C1404">
        <f t="shared" si="42"/>
        <v>490</v>
      </c>
      <c r="L1404" t="s">
        <v>2736</v>
      </c>
      <c r="M1404">
        <f t="shared" si="43"/>
        <v>1153</v>
      </c>
    </row>
    <row r="1405" spans="1:13" hidden="1" x14ac:dyDescent="0.25">
      <c r="A1405" s="16" t="s">
        <v>2770</v>
      </c>
      <c r="B1405" s="16" t="s">
        <v>1000</v>
      </c>
      <c r="C1405">
        <f t="shared" si="42"/>
        <v>491</v>
      </c>
      <c r="L1405" t="s">
        <v>2737</v>
      </c>
      <c r="M1405">
        <f t="shared" si="43"/>
        <v>1154</v>
      </c>
    </row>
    <row r="1406" spans="1:13" hidden="1" x14ac:dyDescent="0.25">
      <c r="A1406" s="16" t="s">
        <v>2770</v>
      </c>
      <c r="B1406" s="16" t="s">
        <v>1001</v>
      </c>
      <c r="C1406">
        <f t="shared" si="42"/>
        <v>492</v>
      </c>
      <c r="L1406" t="s">
        <v>2738</v>
      </c>
      <c r="M1406">
        <f t="shared" si="43"/>
        <v>1155</v>
      </c>
    </row>
    <row r="1407" spans="1:13" hidden="1" x14ac:dyDescent="0.25">
      <c r="A1407" s="16" t="s">
        <v>2770</v>
      </c>
      <c r="B1407" s="16" t="s">
        <v>1002</v>
      </c>
      <c r="C1407">
        <f t="shared" si="42"/>
        <v>493</v>
      </c>
      <c r="L1407" t="s">
        <v>2739</v>
      </c>
      <c r="M1407">
        <f t="shared" si="43"/>
        <v>1156</v>
      </c>
    </row>
    <row r="1408" spans="1:13" hidden="1" x14ac:dyDescent="0.25">
      <c r="A1408" s="16" t="s">
        <v>2770</v>
      </c>
      <c r="B1408" s="16" t="s">
        <v>1003</v>
      </c>
      <c r="C1408">
        <f t="shared" si="42"/>
        <v>494</v>
      </c>
      <c r="L1408" t="s">
        <v>2740</v>
      </c>
      <c r="M1408">
        <f t="shared" si="43"/>
        <v>1157</v>
      </c>
    </row>
    <row r="1409" spans="1:13" hidden="1" x14ac:dyDescent="0.25">
      <c r="A1409" s="16" t="s">
        <v>2770</v>
      </c>
      <c r="B1409" s="16" t="s">
        <v>1004</v>
      </c>
      <c r="C1409">
        <f t="shared" si="42"/>
        <v>495</v>
      </c>
      <c r="L1409" t="s">
        <v>2741</v>
      </c>
      <c r="M1409">
        <f t="shared" si="43"/>
        <v>1158</v>
      </c>
    </row>
    <row r="1410" spans="1:13" hidden="1" x14ac:dyDescent="0.25">
      <c r="A1410" s="16" t="s">
        <v>2770</v>
      </c>
      <c r="B1410" s="16" t="s">
        <v>1005</v>
      </c>
      <c r="C1410">
        <f t="shared" si="42"/>
        <v>496</v>
      </c>
      <c r="L1410" t="s">
        <v>2742</v>
      </c>
      <c r="M1410">
        <f t="shared" si="43"/>
        <v>1159</v>
      </c>
    </row>
    <row r="1411" spans="1:13" hidden="1" x14ac:dyDescent="0.25">
      <c r="A1411" s="16" t="s">
        <v>2770</v>
      </c>
      <c r="B1411" s="16" t="s">
        <v>1006</v>
      </c>
      <c r="C1411" t="e">
        <f t="shared" ref="C1411:C1474" si="44">MATCH(B1411,L:L,0)</f>
        <v>#N/A</v>
      </c>
      <c r="L1411" t="s">
        <v>2743</v>
      </c>
      <c r="M1411">
        <f t="shared" ref="M1411:M1474" si="45">MATCH(L1411,B:B,0)</f>
        <v>1160</v>
      </c>
    </row>
    <row r="1412" spans="1:13" hidden="1" x14ac:dyDescent="0.25">
      <c r="A1412" s="16" t="s">
        <v>2770</v>
      </c>
      <c r="B1412" s="16" t="s">
        <v>1007</v>
      </c>
      <c r="C1412" t="e">
        <f t="shared" si="44"/>
        <v>#N/A</v>
      </c>
      <c r="L1412" t="s">
        <v>2744</v>
      </c>
      <c r="M1412">
        <f t="shared" si="45"/>
        <v>1161</v>
      </c>
    </row>
    <row r="1413" spans="1:13" hidden="1" x14ac:dyDescent="0.25">
      <c r="A1413" s="16" t="s">
        <v>2770</v>
      </c>
      <c r="B1413" s="16" t="s">
        <v>1008</v>
      </c>
      <c r="C1413" t="e">
        <f t="shared" si="44"/>
        <v>#N/A</v>
      </c>
      <c r="L1413" t="s">
        <v>2745</v>
      </c>
      <c r="M1413">
        <f t="shared" si="45"/>
        <v>1162</v>
      </c>
    </row>
    <row r="1414" spans="1:13" hidden="1" x14ac:dyDescent="0.25">
      <c r="A1414" s="16" t="s">
        <v>2770</v>
      </c>
      <c r="B1414" s="16" t="s">
        <v>1009</v>
      </c>
      <c r="C1414" t="e">
        <f t="shared" si="44"/>
        <v>#N/A</v>
      </c>
      <c r="L1414" t="s">
        <v>2746</v>
      </c>
      <c r="M1414">
        <f t="shared" si="45"/>
        <v>1163</v>
      </c>
    </row>
    <row r="1415" spans="1:13" hidden="1" x14ac:dyDescent="0.25">
      <c r="A1415" s="16" t="s">
        <v>2770</v>
      </c>
      <c r="B1415" s="16" t="s">
        <v>1010</v>
      </c>
      <c r="C1415" t="e">
        <f t="shared" si="44"/>
        <v>#N/A</v>
      </c>
      <c r="L1415" t="s">
        <v>2747</v>
      </c>
      <c r="M1415">
        <f t="shared" si="45"/>
        <v>1164</v>
      </c>
    </row>
    <row r="1416" spans="1:13" hidden="1" x14ac:dyDescent="0.25">
      <c r="A1416" s="16" t="s">
        <v>2770</v>
      </c>
      <c r="B1416" s="16" t="s">
        <v>1011</v>
      </c>
      <c r="C1416" t="e">
        <f t="shared" si="44"/>
        <v>#N/A</v>
      </c>
      <c r="L1416" t="s">
        <v>2748</v>
      </c>
      <c r="M1416">
        <f t="shared" si="45"/>
        <v>1165</v>
      </c>
    </row>
    <row r="1417" spans="1:13" hidden="1" x14ac:dyDescent="0.25">
      <c r="A1417" s="16" t="s">
        <v>2770</v>
      </c>
      <c r="B1417" s="16" t="s">
        <v>1012</v>
      </c>
      <c r="C1417" t="e">
        <f t="shared" si="44"/>
        <v>#N/A</v>
      </c>
      <c r="L1417" t="s">
        <v>2749</v>
      </c>
      <c r="M1417">
        <f t="shared" si="45"/>
        <v>1166</v>
      </c>
    </row>
    <row r="1418" spans="1:13" hidden="1" x14ac:dyDescent="0.25">
      <c r="A1418" s="16" t="s">
        <v>2770</v>
      </c>
      <c r="B1418" s="16" t="s">
        <v>1013</v>
      </c>
      <c r="C1418" t="e">
        <f t="shared" si="44"/>
        <v>#N/A</v>
      </c>
      <c r="L1418" t="s">
        <v>2750</v>
      </c>
      <c r="M1418">
        <f t="shared" si="45"/>
        <v>1167</v>
      </c>
    </row>
    <row r="1419" spans="1:13" hidden="1" x14ac:dyDescent="0.25">
      <c r="A1419" s="16" t="s">
        <v>2770</v>
      </c>
      <c r="B1419" s="16" t="s">
        <v>1014</v>
      </c>
      <c r="C1419" t="e">
        <f t="shared" si="44"/>
        <v>#N/A</v>
      </c>
      <c r="L1419" t="s">
        <v>2751</v>
      </c>
      <c r="M1419">
        <f t="shared" si="45"/>
        <v>1168</v>
      </c>
    </row>
    <row r="1420" spans="1:13" hidden="1" x14ac:dyDescent="0.25">
      <c r="A1420" s="16" t="s">
        <v>2770</v>
      </c>
      <c r="B1420" s="16" t="s">
        <v>1015</v>
      </c>
      <c r="C1420" t="e">
        <f t="shared" si="44"/>
        <v>#N/A</v>
      </c>
      <c r="L1420" t="s">
        <v>2752</v>
      </c>
      <c r="M1420">
        <f t="shared" si="45"/>
        <v>1169</v>
      </c>
    </row>
    <row r="1421" spans="1:13" hidden="1" x14ac:dyDescent="0.25">
      <c r="A1421" s="16" t="s">
        <v>2770</v>
      </c>
      <c r="B1421" s="16" t="s">
        <v>1016</v>
      </c>
      <c r="C1421" t="e">
        <f t="shared" si="44"/>
        <v>#N/A</v>
      </c>
      <c r="L1421" t="s">
        <v>2753</v>
      </c>
      <c r="M1421">
        <f t="shared" si="45"/>
        <v>1170</v>
      </c>
    </row>
    <row r="1422" spans="1:13" hidden="1" x14ac:dyDescent="0.25">
      <c r="A1422" s="16" t="s">
        <v>2770</v>
      </c>
      <c r="B1422" s="16" t="s">
        <v>1017</v>
      </c>
      <c r="C1422" t="e">
        <f t="shared" si="44"/>
        <v>#N/A</v>
      </c>
      <c r="L1422" t="s">
        <v>2754</v>
      </c>
      <c r="M1422">
        <f t="shared" si="45"/>
        <v>1171</v>
      </c>
    </row>
    <row r="1423" spans="1:13" hidden="1" x14ac:dyDescent="0.25">
      <c r="A1423" s="16" t="s">
        <v>2770</v>
      </c>
      <c r="B1423" s="16" t="s">
        <v>1018</v>
      </c>
      <c r="C1423" t="e">
        <f t="shared" si="44"/>
        <v>#N/A</v>
      </c>
      <c r="L1423" t="s">
        <v>2755</v>
      </c>
      <c r="M1423">
        <f t="shared" si="45"/>
        <v>1172</v>
      </c>
    </row>
    <row r="1424" spans="1:13" hidden="1" x14ac:dyDescent="0.25">
      <c r="A1424" s="16" t="s">
        <v>2770</v>
      </c>
      <c r="B1424" s="16" t="s">
        <v>1019</v>
      </c>
      <c r="C1424" t="e">
        <f t="shared" si="44"/>
        <v>#N/A</v>
      </c>
      <c r="L1424" t="s">
        <v>2756</v>
      </c>
      <c r="M1424">
        <f t="shared" si="45"/>
        <v>1173</v>
      </c>
    </row>
    <row r="1425" spans="1:13" hidden="1" x14ac:dyDescent="0.25">
      <c r="A1425" s="16" t="s">
        <v>2770</v>
      </c>
      <c r="B1425" s="16" t="s">
        <v>1020</v>
      </c>
      <c r="C1425">
        <f t="shared" si="44"/>
        <v>553</v>
      </c>
      <c r="L1425" t="s">
        <v>2757</v>
      </c>
      <c r="M1425">
        <f t="shared" si="45"/>
        <v>1174</v>
      </c>
    </row>
    <row r="1426" spans="1:13" hidden="1" x14ac:dyDescent="0.25">
      <c r="A1426" s="16" t="s">
        <v>2770</v>
      </c>
      <c r="B1426" s="16" t="s">
        <v>1021</v>
      </c>
      <c r="C1426">
        <f t="shared" si="44"/>
        <v>554</v>
      </c>
      <c r="L1426" t="s">
        <v>2758</v>
      </c>
      <c r="M1426">
        <f t="shared" si="45"/>
        <v>1175</v>
      </c>
    </row>
    <row r="1427" spans="1:13" hidden="1" x14ac:dyDescent="0.25">
      <c r="A1427" s="16" t="s">
        <v>2770</v>
      </c>
      <c r="B1427" s="16" t="s">
        <v>1022</v>
      </c>
      <c r="C1427">
        <f t="shared" si="44"/>
        <v>555</v>
      </c>
      <c r="L1427" t="s">
        <v>2759</v>
      </c>
      <c r="M1427">
        <f t="shared" si="45"/>
        <v>1176</v>
      </c>
    </row>
    <row r="1428" spans="1:13" hidden="1" x14ac:dyDescent="0.25">
      <c r="A1428" s="16" t="s">
        <v>2770</v>
      </c>
      <c r="B1428" s="16" t="s">
        <v>1023</v>
      </c>
      <c r="C1428">
        <f t="shared" si="44"/>
        <v>556</v>
      </c>
      <c r="L1428" t="s">
        <v>2760</v>
      </c>
      <c r="M1428">
        <f t="shared" si="45"/>
        <v>1177</v>
      </c>
    </row>
    <row r="1429" spans="1:13" hidden="1" x14ac:dyDescent="0.25">
      <c r="A1429" s="16" t="s">
        <v>2770</v>
      </c>
      <c r="B1429" s="16" t="s">
        <v>1024</v>
      </c>
      <c r="C1429">
        <f t="shared" si="44"/>
        <v>557</v>
      </c>
      <c r="L1429" t="s">
        <v>2761</v>
      </c>
      <c r="M1429">
        <f t="shared" si="45"/>
        <v>1178</v>
      </c>
    </row>
    <row r="1430" spans="1:13" hidden="1" x14ac:dyDescent="0.25">
      <c r="A1430" s="16" t="s">
        <v>2770</v>
      </c>
      <c r="B1430" s="16" t="s">
        <v>1025</v>
      </c>
      <c r="C1430">
        <f t="shared" si="44"/>
        <v>558</v>
      </c>
      <c r="L1430" t="s">
        <v>2762</v>
      </c>
      <c r="M1430">
        <f t="shared" si="45"/>
        <v>1179</v>
      </c>
    </row>
    <row r="1431" spans="1:13" hidden="1" x14ac:dyDescent="0.25">
      <c r="A1431" s="16" t="s">
        <v>2770</v>
      </c>
      <c r="B1431" s="16" t="s">
        <v>961</v>
      </c>
      <c r="C1431">
        <f t="shared" si="44"/>
        <v>559</v>
      </c>
      <c r="L1431" t="s">
        <v>2763</v>
      </c>
      <c r="M1431">
        <f t="shared" si="45"/>
        <v>1180</v>
      </c>
    </row>
    <row r="1432" spans="1:13" hidden="1" x14ac:dyDescent="0.25">
      <c r="A1432" s="16" t="s">
        <v>2770</v>
      </c>
      <c r="B1432" s="16" t="s">
        <v>962</v>
      </c>
      <c r="C1432">
        <f t="shared" si="44"/>
        <v>560</v>
      </c>
      <c r="L1432" t="s">
        <v>2764</v>
      </c>
      <c r="M1432">
        <f t="shared" si="45"/>
        <v>1181</v>
      </c>
    </row>
    <row r="1433" spans="1:13" hidden="1" x14ac:dyDescent="0.25">
      <c r="A1433" s="16" t="s">
        <v>2770</v>
      </c>
      <c r="B1433" s="16" t="s">
        <v>963</v>
      </c>
      <c r="C1433">
        <f t="shared" si="44"/>
        <v>561</v>
      </c>
      <c r="L1433" t="s">
        <v>2765</v>
      </c>
      <c r="M1433">
        <f t="shared" si="45"/>
        <v>1182</v>
      </c>
    </row>
    <row r="1434" spans="1:13" hidden="1" x14ac:dyDescent="0.25">
      <c r="A1434" s="16" t="s">
        <v>2770</v>
      </c>
      <c r="B1434" s="16" t="s">
        <v>964</v>
      </c>
      <c r="C1434">
        <f t="shared" si="44"/>
        <v>562</v>
      </c>
      <c r="L1434" t="s">
        <v>2766</v>
      </c>
      <c r="M1434">
        <f t="shared" si="45"/>
        <v>1183</v>
      </c>
    </row>
    <row r="1435" spans="1:13" x14ac:dyDescent="0.25">
      <c r="A1435" s="16" t="s">
        <v>2770</v>
      </c>
      <c r="B1435" s="16" t="s">
        <v>965</v>
      </c>
      <c r="C1435">
        <f t="shared" si="44"/>
        <v>563</v>
      </c>
      <c r="L1435" s="17" t="s">
        <v>3003</v>
      </c>
      <c r="M1435" t="e">
        <f t="shared" si="45"/>
        <v>#N/A</v>
      </c>
    </row>
    <row r="1436" spans="1:13" x14ac:dyDescent="0.25">
      <c r="A1436" s="16" t="s">
        <v>2770</v>
      </c>
      <c r="B1436" s="16" t="s">
        <v>966</v>
      </c>
      <c r="C1436">
        <f t="shared" si="44"/>
        <v>564</v>
      </c>
      <c r="L1436" s="17" t="s">
        <v>3004</v>
      </c>
      <c r="M1436" t="e">
        <f t="shared" si="45"/>
        <v>#N/A</v>
      </c>
    </row>
    <row r="1437" spans="1:13" x14ac:dyDescent="0.25">
      <c r="A1437" s="16" t="s">
        <v>2770</v>
      </c>
      <c r="B1437" s="16" t="s">
        <v>967</v>
      </c>
      <c r="C1437">
        <f t="shared" si="44"/>
        <v>565</v>
      </c>
      <c r="L1437" s="17" t="s">
        <v>3005</v>
      </c>
      <c r="M1437" t="e">
        <f t="shared" si="45"/>
        <v>#N/A</v>
      </c>
    </row>
    <row r="1438" spans="1:13" x14ac:dyDescent="0.25">
      <c r="A1438" s="16" t="s">
        <v>2770</v>
      </c>
      <c r="B1438" s="16" t="s">
        <v>968</v>
      </c>
      <c r="C1438">
        <f t="shared" si="44"/>
        <v>566</v>
      </c>
      <c r="L1438" s="17" t="s">
        <v>3006</v>
      </c>
      <c r="M1438" t="e">
        <f t="shared" si="45"/>
        <v>#N/A</v>
      </c>
    </row>
    <row r="1439" spans="1:13" x14ac:dyDescent="0.25">
      <c r="A1439" s="16" t="s">
        <v>2770</v>
      </c>
      <c r="B1439" s="16" t="s">
        <v>1040</v>
      </c>
      <c r="C1439">
        <f t="shared" si="44"/>
        <v>225</v>
      </c>
      <c r="L1439" s="17" t="s">
        <v>3007</v>
      </c>
      <c r="M1439" t="e">
        <f t="shared" si="45"/>
        <v>#N/A</v>
      </c>
    </row>
    <row r="1440" spans="1:13" x14ac:dyDescent="0.25">
      <c r="A1440" s="16" t="s">
        <v>2770</v>
      </c>
      <c r="B1440" s="16" t="s">
        <v>1041</v>
      </c>
      <c r="C1440">
        <f t="shared" si="44"/>
        <v>226</v>
      </c>
      <c r="L1440" s="17" t="s">
        <v>3008</v>
      </c>
      <c r="M1440" t="e">
        <f t="shared" si="45"/>
        <v>#N/A</v>
      </c>
    </row>
    <row r="1441" spans="1:13" x14ac:dyDescent="0.25">
      <c r="A1441" s="16" t="s">
        <v>2770</v>
      </c>
      <c r="B1441" s="16" t="s">
        <v>1042</v>
      </c>
      <c r="C1441">
        <f t="shared" si="44"/>
        <v>227</v>
      </c>
      <c r="L1441" s="17" t="s">
        <v>3009</v>
      </c>
      <c r="M1441" t="e">
        <f t="shared" si="45"/>
        <v>#N/A</v>
      </c>
    </row>
    <row r="1442" spans="1:13" x14ac:dyDescent="0.25">
      <c r="A1442" s="16" t="s">
        <v>2770</v>
      </c>
      <c r="B1442" s="16" t="s">
        <v>1043</v>
      </c>
      <c r="C1442">
        <f t="shared" si="44"/>
        <v>228</v>
      </c>
      <c r="L1442" s="17" t="s">
        <v>3010</v>
      </c>
      <c r="M1442" t="e">
        <f t="shared" si="45"/>
        <v>#N/A</v>
      </c>
    </row>
    <row r="1443" spans="1:13" x14ac:dyDescent="0.25">
      <c r="A1443" s="16" t="s">
        <v>2770</v>
      </c>
      <c r="B1443" s="16" t="s">
        <v>1044</v>
      </c>
      <c r="C1443">
        <f t="shared" si="44"/>
        <v>229</v>
      </c>
      <c r="L1443" s="17" t="s">
        <v>3011</v>
      </c>
      <c r="M1443" t="e">
        <f t="shared" si="45"/>
        <v>#N/A</v>
      </c>
    </row>
    <row r="1444" spans="1:13" x14ac:dyDescent="0.25">
      <c r="A1444" s="16" t="s">
        <v>2770</v>
      </c>
      <c r="B1444" s="16" t="s">
        <v>1045</v>
      </c>
      <c r="C1444">
        <f t="shared" si="44"/>
        <v>230</v>
      </c>
      <c r="L1444" s="17" t="s">
        <v>3012</v>
      </c>
      <c r="M1444" t="e">
        <f t="shared" si="45"/>
        <v>#N/A</v>
      </c>
    </row>
    <row r="1445" spans="1:13" x14ac:dyDescent="0.25">
      <c r="A1445" s="16" t="s">
        <v>2770</v>
      </c>
      <c r="B1445" s="16" t="s">
        <v>1046</v>
      </c>
      <c r="C1445">
        <f t="shared" si="44"/>
        <v>231</v>
      </c>
      <c r="L1445" s="17" t="s">
        <v>3013</v>
      </c>
      <c r="M1445" t="e">
        <f t="shared" si="45"/>
        <v>#N/A</v>
      </c>
    </row>
    <row r="1446" spans="1:13" x14ac:dyDescent="0.25">
      <c r="A1446" s="16" t="s">
        <v>2770</v>
      </c>
      <c r="B1446" s="16" t="s">
        <v>1047</v>
      </c>
      <c r="C1446">
        <f t="shared" si="44"/>
        <v>232</v>
      </c>
      <c r="L1446" s="17" t="s">
        <v>3014</v>
      </c>
      <c r="M1446" t="e">
        <f t="shared" si="45"/>
        <v>#N/A</v>
      </c>
    </row>
    <row r="1447" spans="1:13" x14ac:dyDescent="0.25">
      <c r="A1447" s="16" t="s">
        <v>2770</v>
      </c>
      <c r="B1447" s="16" t="s">
        <v>1048</v>
      </c>
      <c r="C1447">
        <f t="shared" si="44"/>
        <v>233</v>
      </c>
      <c r="L1447" s="17" t="s">
        <v>3015</v>
      </c>
      <c r="M1447" t="e">
        <f t="shared" si="45"/>
        <v>#N/A</v>
      </c>
    </row>
    <row r="1448" spans="1:13" x14ac:dyDescent="0.25">
      <c r="A1448" s="16" t="s">
        <v>2770</v>
      </c>
      <c r="B1448" s="16" t="s">
        <v>1049</v>
      </c>
      <c r="C1448">
        <f t="shared" si="44"/>
        <v>234</v>
      </c>
      <c r="L1448" s="17" t="s">
        <v>3016</v>
      </c>
      <c r="M1448" t="e">
        <f t="shared" si="45"/>
        <v>#N/A</v>
      </c>
    </row>
    <row r="1449" spans="1:13" x14ac:dyDescent="0.25">
      <c r="A1449" s="16" t="s">
        <v>2770</v>
      </c>
      <c r="B1449" s="16" t="s">
        <v>1050</v>
      </c>
      <c r="C1449">
        <f t="shared" si="44"/>
        <v>235</v>
      </c>
      <c r="L1449" s="17" t="s">
        <v>3017</v>
      </c>
      <c r="M1449" t="e">
        <f t="shared" si="45"/>
        <v>#N/A</v>
      </c>
    </row>
    <row r="1450" spans="1:13" hidden="1" x14ac:dyDescent="0.25">
      <c r="A1450" s="16" t="s">
        <v>2770</v>
      </c>
      <c r="B1450" s="16" t="s">
        <v>1051</v>
      </c>
      <c r="C1450">
        <f t="shared" si="44"/>
        <v>236</v>
      </c>
      <c r="L1450" t="s">
        <v>2767</v>
      </c>
      <c r="M1450">
        <f t="shared" si="45"/>
        <v>1184</v>
      </c>
    </row>
    <row r="1451" spans="1:13" x14ac:dyDescent="0.25">
      <c r="A1451" s="16" t="s">
        <v>2770</v>
      </c>
      <c r="B1451" s="16" t="s">
        <v>1052</v>
      </c>
      <c r="C1451">
        <f t="shared" si="44"/>
        <v>237</v>
      </c>
      <c r="M1451" t="e">
        <f t="shared" si="45"/>
        <v>#N/A</v>
      </c>
    </row>
    <row r="1452" spans="1:13" x14ac:dyDescent="0.25">
      <c r="A1452" s="16" t="s">
        <v>2770</v>
      </c>
      <c r="B1452" s="16" t="s">
        <v>1053</v>
      </c>
      <c r="C1452">
        <f t="shared" si="44"/>
        <v>238</v>
      </c>
      <c r="M1452" t="e">
        <f t="shared" si="45"/>
        <v>#N/A</v>
      </c>
    </row>
    <row r="1453" spans="1:13" x14ac:dyDescent="0.25">
      <c r="A1453" s="16" t="s">
        <v>2770</v>
      </c>
      <c r="B1453" s="16" t="s">
        <v>1054</v>
      </c>
      <c r="C1453">
        <f t="shared" si="44"/>
        <v>239</v>
      </c>
      <c r="M1453" t="e">
        <f t="shared" si="45"/>
        <v>#N/A</v>
      </c>
    </row>
    <row r="1454" spans="1:13" x14ac:dyDescent="0.25">
      <c r="A1454" s="16" t="s">
        <v>2770</v>
      </c>
      <c r="B1454" s="16" t="s">
        <v>1055</v>
      </c>
      <c r="C1454">
        <f t="shared" si="44"/>
        <v>240</v>
      </c>
      <c r="M1454" t="e">
        <f t="shared" si="45"/>
        <v>#N/A</v>
      </c>
    </row>
    <row r="1455" spans="1:13" x14ac:dyDescent="0.25">
      <c r="A1455" s="16" t="s">
        <v>2770</v>
      </c>
      <c r="B1455" s="16" t="s">
        <v>1056</v>
      </c>
      <c r="C1455">
        <f t="shared" si="44"/>
        <v>241</v>
      </c>
      <c r="M1455" t="e">
        <f t="shared" si="45"/>
        <v>#N/A</v>
      </c>
    </row>
    <row r="1456" spans="1:13" x14ac:dyDescent="0.25">
      <c r="A1456" s="16" t="s">
        <v>2770</v>
      </c>
      <c r="B1456" s="16" t="s">
        <v>1057</v>
      </c>
      <c r="C1456">
        <f t="shared" si="44"/>
        <v>242</v>
      </c>
      <c r="M1456" t="e">
        <f t="shared" si="45"/>
        <v>#N/A</v>
      </c>
    </row>
    <row r="1457" spans="1:13" x14ac:dyDescent="0.25">
      <c r="A1457" s="16" t="s">
        <v>2770</v>
      </c>
      <c r="B1457" s="16" t="s">
        <v>1058</v>
      </c>
      <c r="C1457">
        <f t="shared" si="44"/>
        <v>243</v>
      </c>
      <c r="M1457" t="e">
        <f t="shared" si="45"/>
        <v>#N/A</v>
      </c>
    </row>
    <row r="1458" spans="1:13" x14ac:dyDescent="0.25">
      <c r="A1458" s="16" t="s">
        <v>2770</v>
      </c>
      <c r="B1458" s="16" t="s">
        <v>1059</v>
      </c>
      <c r="C1458">
        <f t="shared" si="44"/>
        <v>244</v>
      </c>
      <c r="M1458" t="e">
        <f t="shared" si="45"/>
        <v>#N/A</v>
      </c>
    </row>
    <row r="1459" spans="1:13" x14ac:dyDescent="0.25">
      <c r="A1459" s="16" t="s">
        <v>2770</v>
      </c>
      <c r="B1459" s="16" t="s">
        <v>1060</v>
      </c>
      <c r="C1459">
        <f t="shared" si="44"/>
        <v>245</v>
      </c>
      <c r="M1459" t="e">
        <f t="shared" si="45"/>
        <v>#N/A</v>
      </c>
    </row>
    <row r="1460" spans="1:13" x14ac:dyDescent="0.25">
      <c r="A1460" s="16" t="s">
        <v>2770</v>
      </c>
      <c r="B1460" s="16" t="s">
        <v>1061</v>
      </c>
      <c r="C1460">
        <f t="shared" si="44"/>
        <v>246</v>
      </c>
      <c r="M1460" t="e">
        <f t="shared" si="45"/>
        <v>#N/A</v>
      </c>
    </row>
    <row r="1461" spans="1:13" x14ac:dyDescent="0.25">
      <c r="A1461" s="16" t="s">
        <v>2770</v>
      </c>
      <c r="B1461" s="16" t="s">
        <v>1062</v>
      </c>
      <c r="C1461">
        <f t="shared" si="44"/>
        <v>247</v>
      </c>
      <c r="M1461" t="e">
        <f t="shared" si="45"/>
        <v>#N/A</v>
      </c>
    </row>
    <row r="1462" spans="1:13" x14ac:dyDescent="0.25">
      <c r="A1462" s="16" t="s">
        <v>2770</v>
      </c>
      <c r="B1462" s="16" t="s">
        <v>1063</v>
      </c>
      <c r="C1462">
        <f t="shared" si="44"/>
        <v>248</v>
      </c>
      <c r="M1462" t="e">
        <f t="shared" si="45"/>
        <v>#N/A</v>
      </c>
    </row>
    <row r="1463" spans="1:13" x14ac:dyDescent="0.25">
      <c r="A1463" s="16" t="s">
        <v>2770</v>
      </c>
      <c r="B1463" s="16" t="s">
        <v>1064</v>
      </c>
      <c r="C1463">
        <f t="shared" si="44"/>
        <v>249</v>
      </c>
      <c r="M1463" t="e">
        <f t="shared" si="45"/>
        <v>#N/A</v>
      </c>
    </row>
    <row r="1464" spans="1:13" x14ac:dyDescent="0.25">
      <c r="A1464" s="16" t="s">
        <v>2770</v>
      </c>
      <c r="B1464" s="16" t="s">
        <v>1065</v>
      </c>
      <c r="C1464">
        <f t="shared" si="44"/>
        <v>250</v>
      </c>
      <c r="M1464" t="e">
        <f t="shared" si="45"/>
        <v>#N/A</v>
      </c>
    </row>
    <row r="1465" spans="1:13" x14ac:dyDescent="0.25">
      <c r="A1465" s="16" t="s">
        <v>2770</v>
      </c>
      <c r="B1465" s="16" t="s">
        <v>1066</v>
      </c>
      <c r="C1465">
        <f t="shared" si="44"/>
        <v>251</v>
      </c>
      <c r="M1465" t="e">
        <f t="shared" si="45"/>
        <v>#N/A</v>
      </c>
    </row>
    <row r="1466" spans="1:13" x14ac:dyDescent="0.25">
      <c r="A1466" s="16" t="s">
        <v>2770</v>
      </c>
      <c r="B1466" s="16" t="s">
        <v>1067</v>
      </c>
      <c r="C1466">
        <f t="shared" si="44"/>
        <v>252</v>
      </c>
      <c r="M1466" t="e">
        <f t="shared" si="45"/>
        <v>#N/A</v>
      </c>
    </row>
    <row r="1467" spans="1:13" x14ac:dyDescent="0.25">
      <c r="A1467" s="16" t="s">
        <v>2770</v>
      </c>
      <c r="B1467" s="16" t="s">
        <v>1068</v>
      </c>
      <c r="C1467">
        <f t="shared" si="44"/>
        <v>253</v>
      </c>
      <c r="M1467" t="e">
        <f t="shared" si="45"/>
        <v>#N/A</v>
      </c>
    </row>
    <row r="1468" spans="1:13" x14ac:dyDescent="0.25">
      <c r="A1468" s="16" t="s">
        <v>2770</v>
      </c>
      <c r="B1468" s="16" t="s">
        <v>1069</v>
      </c>
      <c r="C1468">
        <f t="shared" si="44"/>
        <v>254</v>
      </c>
      <c r="M1468" t="e">
        <f t="shared" si="45"/>
        <v>#N/A</v>
      </c>
    </row>
    <row r="1469" spans="1:13" x14ac:dyDescent="0.25">
      <c r="A1469" s="16" t="s">
        <v>2770</v>
      </c>
      <c r="B1469" s="16" t="s">
        <v>1070</v>
      </c>
      <c r="C1469">
        <f t="shared" si="44"/>
        <v>255</v>
      </c>
      <c r="M1469" t="e">
        <f t="shared" si="45"/>
        <v>#N/A</v>
      </c>
    </row>
    <row r="1470" spans="1:13" x14ac:dyDescent="0.25">
      <c r="A1470" s="16" t="s">
        <v>2770</v>
      </c>
      <c r="B1470" s="16" t="s">
        <v>1071</v>
      </c>
      <c r="C1470">
        <f t="shared" si="44"/>
        <v>256</v>
      </c>
      <c r="M1470" t="e">
        <f t="shared" si="45"/>
        <v>#N/A</v>
      </c>
    </row>
    <row r="1471" spans="1:13" x14ac:dyDescent="0.25">
      <c r="A1471" s="16" t="s">
        <v>2770</v>
      </c>
      <c r="B1471" s="16" t="s">
        <v>1072</v>
      </c>
      <c r="C1471">
        <f t="shared" si="44"/>
        <v>257</v>
      </c>
      <c r="M1471" t="e">
        <f t="shared" si="45"/>
        <v>#N/A</v>
      </c>
    </row>
    <row r="1472" spans="1:13" x14ac:dyDescent="0.25">
      <c r="A1472" s="16" t="s">
        <v>2770</v>
      </c>
      <c r="B1472" s="16" t="s">
        <v>1073</v>
      </c>
      <c r="C1472">
        <f t="shared" si="44"/>
        <v>258</v>
      </c>
      <c r="M1472" t="e">
        <f t="shared" si="45"/>
        <v>#N/A</v>
      </c>
    </row>
    <row r="1473" spans="1:13" x14ac:dyDescent="0.25">
      <c r="A1473" s="16" t="s">
        <v>2770</v>
      </c>
      <c r="B1473" s="16" t="s">
        <v>1074</v>
      </c>
      <c r="C1473">
        <f t="shared" si="44"/>
        <v>259</v>
      </c>
      <c r="M1473" t="e">
        <f t="shared" si="45"/>
        <v>#N/A</v>
      </c>
    </row>
    <row r="1474" spans="1:13" x14ac:dyDescent="0.25">
      <c r="A1474" s="16" t="s">
        <v>2770</v>
      </c>
      <c r="B1474" s="16" t="s">
        <v>1075</v>
      </c>
      <c r="C1474">
        <f t="shared" si="44"/>
        <v>260</v>
      </c>
      <c r="M1474" t="e">
        <f t="shared" si="45"/>
        <v>#N/A</v>
      </c>
    </row>
    <row r="1475" spans="1:13" x14ac:dyDescent="0.25">
      <c r="A1475" s="16" t="s">
        <v>2770</v>
      </c>
      <c r="B1475" s="16" t="s">
        <v>1076</v>
      </c>
      <c r="C1475">
        <f t="shared" ref="C1475:C1538" si="46">MATCH(B1475,L:L,0)</f>
        <v>261</v>
      </c>
      <c r="M1475" t="e">
        <f t="shared" ref="M1475:M1538" si="47">MATCH(L1475,B:B,0)</f>
        <v>#N/A</v>
      </c>
    </row>
    <row r="1476" spans="1:13" x14ac:dyDescent="0.25">
      <c r="A1476" s="16" t="s">
        <v>2770</v>
      </c>
      <c r="B1476" s="16" t="s">
        <v>1077</v>
      </c>
      <c r="C1476">
        <f t="shared" si="46"/>
        <v>262</v>
      </c>
      <c r="M1476" t="e">
        <f t="shared" si="47"/>
        <v>#N/A</v>
      </c>
    </row>
    <row r="1477" spans="1:13" x14ac:dyDescent="0.25">
      <c r="A1477" s="16" t="s">
        <v>2770</v>
      </c>
      <c r="B1477" s="16" t="s">
        <v>1079</v>
      </c>
      <c r="C1477">
        <f t="shared" si="46"/>
        <v>263</v>
      </c>
      <c r="M1477" t="e">
        <f t="shared" si="47"/>
        <v>#N/A</v>
      </c>
    </row>
    <row r="1478" spans="1:13" x14ac:dyDescent="0.25">
      <c r="A1478" s="16" t="s">
        <v>2770</v>
      </c>
      <c r="B1478" s="16" t="s">
        <v>1080</v>
      </c>
      <c r="C1478">
        <f t="shared" si="46"/>
        <v>264</v>
      </c>
      <c r="M1478" t="e">
        <f t="shared" si="47"/>
        <v>#N/A</v>
      </c>
    </row>
    <row r="1479" spans="1:13" x14ac:dyDescent="0.25">
      <c r="A1479" s="16" t="s">
        <v>2770</v>
      </c>
      <c r="B1479" s="16" t="s">
        <v>1081</v>
      </c>
      <c r="C1479">
        <f t="shared" si="46"/>
        <v>265</v>
      </c>
      <c r="M1479" t="e">
        <f t="shared" si="47"/>
        <v>#N/A</v>
      </c>
    </row>
    <row r="1480" spans="1:13" x14ac:dyDescent="0.25">
      <c r="A1480" s="16" t="s">
        <v>2770</v>
      </c>
      <c r="B1480" s="16" t="s">
        <v>1082</v>
      </c>
      <c r="C1480">
        <f t="shared" si="46"/>
        <v>266</v>
      </c>
      <c r="M1480" t="e">
        <f t="shared" si="47"/>
        <v>#N/A</v>
      </c>
    </row>
    <row r="1481" spans="1:13" x14ac:dyDescent="0.25">
      <c r="A1481" s="16" t="s">
        <v>2770</v>
      </c>
      <c r="B1481" s="16" t="s">
        <v>1083</v>
      </c>
      <c r="C1481" t="e">
        <f t="shared" si="46"/>
        <v>#N/A</v>
      </c>
      <c r="M1481" t="e">
        <f t="shared" si="47"/>
        <v>#N/A</v>
      </c>
    </row>
    <row r="1482" spans="1:13" x14ac:dyDescent="0.25">
      <c r="A1482" s="16" t="s">
        <v>2770</v>
      </c>
      <c r="B1482" s="16" t="s">
        <v>1084</v>
      </c>
      <c r="C1482" t="e">
        <f t="shared" si="46"/>
        <v>#N/A</v>
      </c>
      <c r="M1482" t="e">
        <f t="shared" si="47"/>
        <v>#N/A</v>
      </c>
    </row>
    <row r="1483" spans="1:13" x14ac:dyDescent="0.25">
      <c r="A1483" s="16" t="s">
        <v>2770</v>
      </c>
      <c r="B1483" s="16" t="s">
        <v>1085</v>
      </c>
      <c r="C1483" t="e">
        <f t="shared" si="46"/>
        <v>#N/A</v>
      </c>
      <c r="M1483" t="e">
        <f t="shared" si="47"/>
        <v>#N/A</v>
      </c>
    </row>
    <row r="1484" spans="1:13" x14ac:dyDescent="0.25">
      <c r="A1484" s="16" t="s">
        <v>2770</v>
      </c>
      <c r="B1484" s="16" t="s">
        <v>1086</v>
      </c>
      <c r="C1484">
        <f t="shared" si="46"/>
        <v>275</v>
      </c>
      <c r="M1484" t="e">
        <f t="shared" si="47"/>
        <v>#N/A</v>
      </c>
    </row>
    <row r="1485" spans="1:13" x14ac:dyDescent="0.25">
      <c r="A1485" s="16" t="s">
        <v>2770</v>
      </c>
      <c r="B1485" s="16" t="s">
        <v>1087</v>
      </c>
      <c r="C1485">
        <f t="shared" si="46"/>
        <v>276</v>
      </c>
      <c r="M1485" t="e">
        <f t="shared" si="47"/>
        <v>#N/A</v>
      </c>
    </row>
    <row r="1486" spans="1:13" x14ac:dyDescent="0.25">
      <c r="A1486" s="16" t="s">
        <v>2770</v>
      </c>
      <c r="B1486" s="16" t="s">
        <v>1088</v>
      </c>
      <c r="C1486">
        <f t="shared" si="46"/>
        <v>277</v>
      </c>
      <c r="M1486" t="e">
        <f t="shared" si="47"/>
        <v>#N/A</v>
      </c>
    </row>
    <row r="1487" spans="1:13" x14ac:dyDescent="0.25">
      <c r="A1487" s="16" t="s">
        <v>2770</v>
      </c>
      <c r="B1487" s="16" t="s">
        <v>1089</v>
      </c>
      <c r="C1487">
        <f t="shared" si="46"/>
        <v>279</v>
      </c>
      <c r="M1487" t="e">
        <f t="shared" si="47"/>
        <v>#N/A</v>
      </c>
    </row>
    <row r="1488" spans="1:13" x14ac:dyDescent="0.25">
      <c r="A1488" s="16" t="s">
        <v>2770</v>
      </c>
      <c r="B1488" s="16" t="s">
        <v>1090</v>
      </c>
      <c r="C1488">
        <f t="shared" si="46"/>
        <v>280</v>
      </c>
      <c r="M1488" t="e">
        <f t="shared" si="47"/>
        <v>#N/A</v>
      </c>
    </row>
    <row r="1489" spans="1:13" x14ac:dyDescent="0.25">
      <c r="A1489" s="16" t="s">
        <v>2770</v>
      </c>
      <c r="B1489" s="16" t="s">
        <v>1091</v>
      </c>
      <c r="C1489">
        <f t="shared" si="46"/>
        <v>281</v>
      </c>
      <c r="M1489" t="e">
        <f t="shared" si="47"/>
        <v>#N/A</v>
      </c>
    </row>
    <row r="1490" spans="1:13" x14ac:dyDescent="0.25">
      <c r="A1490" s="16" t="s">
        <v>2770</v>
      </c>
      <c r="B1490" s="16" t="s">
        <v>1095</v>
      </c>
      <c r="C1490">
        <f t="shared" si="46"/>
        <v>420</v>
      </c>
      <c r="M1490" t="e">
        <f t="shared" si="47"/>
        <v>#N/A</v>
      </c>
    </row>
    <row r="1491" spans="1:13" x14ac:dyDescent="0.25">
      <c r="A1491" s="16" t="s">
        <v>2770</v>
      </c>
      <c r="B1491" s="16" t="s">
        <v>1096</v>
      </c>
      <c r="C1491">
        <f t="shared" si="46"/>
        <v>421</v>
      </c>
      <c r="M1491" t="e">
        <f t="shared" si="47"/>
        <v>#N/A</v>
      </c>
    </row>
    <row r="1492" spans="1:13" x14ac:dyDescent="0.25">
      <c r="A1492" s="16" t="s">
        <v>2770</v>
      </c>
      <c r="B1492" s="16" t="s">
        <v>1097</v>
      </c>
      <c r="C1492">
        <f t="shared" si="46"/>
        <v>422</v>
      </c>
      <c r="M1492" t="e">
        <f t="shared" si="47"/>
        <v>#N/A</v>
      </c>
    </row>
    <row r="1493" spans="1:13" x14ac:dyDescent="0.25">
      <c r="A1493" s="16" t="s">
        <v>2770</v>
      </c>
      <c r="B1493" s="16" t="s">
        <v>1098</v>
      </c>
      <c r="C1493">
        <f t="shared" si="46"/>
        <v>423</v>
      </c>
      <c r="M1493" t="e">
        <f t="shared" si="47"/>
        <v>#N/A</v>
      </c>
    </row>
    <row r="1494" spans="1:13" x14ac:dyDescent="0.25">
      <c r="A1494" s="16" t="s">
        <v>2770</v>
      </c>
      <c r="B1494" s="16" t="s">
        <v>1099</v>
      </c>
      <c r="C1494">
        <f t="shared" si="46"/>
        <v>424</v>
      </c>
      <c r="M1494" t="e">
        <f t="shared" si="47"/>
        <v>#N/A</v>
      </c>
    </row>
    <row r="1495" spans="1:13" x14ac:dyDescent="0.25">
      <c r="A1495" s="16" t="s">
        <v>2770</v>
      </c>
      <c r="B1495" s="16" t="s">
        <v>1100</v>
      </c>
      <c r="C1495">
        <f t="shared" si="46"/>
        <v>425</v>
      </c>
      <c r="M1495" t="e">
        <f t="shared" si="47"/>
        <v>#N/A</v>
      </c>
    </row>
    <row r="1496" spans="1:13" x14ac:dyDescent="0.25">
      <c r="A1496" s="16" t="s">
        <v>2770</v>
      </c>
      <c r="B1496" s="16" t="s">
        <v>1101</v>
      </c>
      <c r="C1496">
        <f t="shared" si="46"/>
        <v>426</v>
      </c>
      <c r="M1496" t="e">
        <f t="shared" si="47"/>
        <v>#N/A</v>
      </c>
    </row>
    <row r="1497" spans="1:13" x14ac:dyDescent="0.25">
      <c r="A1497" s="16" t="s">
        <v>2770</v>
      </c>
      <c r="B1497" s="16" t="s">
        <v>1102</v>
      </c>
      <c r="C1497">
        <f t="shared" si="46"/>
        <v>427</v>
      </c>
      <c r="M1497" t="e">
        <f t="shared" si="47"/>
        <v>#N/A</v>
      </c>
    </row>
    <row r="1498" spans="1:13" x14ac:dyDescent="0.25">
      <c r="A1498" s="16" t="s">
        <v>2770</v>
      </c>
      <c r="B1498" s="16" t="s">
        <v>1103</v>
      </c>
      <c r="C1498">
        <f t="shared" si="46"/>
        <v>428</v>
      </c>
      <c r="M1498" t="e">
        <f t="shared" si="47"/>
        <v>#N/A</v>
      </c>
    </row>
    <row r="1499" spans="1:13" x14ac:dyDescent="0.25">
      <c r="A1499" s="16" t="s">
        <v>2770</v>
      </c>
      <c r="B1499" s="16" t="s">
        <v>1104</v>
      </c>
      <c r="C1499">
        <f t="shared" si="46"/>
        <v>429</v>
      </c>
      <c r="M1499" t="e">
        <f t="shared" si="47"/>
        <v>#N/A</v>
      </c>
    </row>
    <row r="1500" spans="1:13" x14ac:dyDescent="0.25">
      <c r="A1500" s="16" t="s">
        <v>2770</v>
      </c>
      <c r="B1500" s="16" t="s">
        <v>1105</v>
      </c>
      <c r="C1500">
        <f t="shared" si="46"/>
        <v>430</v>
      </c>
      <c r="M1500" t="e">
        <f t="shared" si="47"/>
        <v>#N/A</v>
      </c>
    </row>
    <row r="1501" spans="1:13" x14ac:dyDescent="0.25">
      <c r="A1501" s="16" t="s">
        <v>2770</v>
      </c>
      <c r="B1501" s="16" t="s">
        <v>1106</v>
      </c>
      <c r="C1501">
        <f t="shared" si="46"/>
        <v>431</v>
      </c>
      <c r="M1501" t="e">
        <f t="shared" si="47"/>
        <v>#N/A</v>
      </c>
    </row>
    <row r="1502" spans="1:13" x14ac:dyDescent="0.25">
      <c r="A1502" s="16" t="s">
        <v>2770</v>
      </c>
      <c r="B1502" s="16" t="s">
        <v>1107</v>
      </c>
      <c r="C1502">
        <f t="shared" si="46"/>
        <v>432</v>
      </c>
      <c r="M1502" t="e">
        <f t="shared" si="47"/>
        <v>#N/A</v>
      </c>
    </row>
    <row r="1503" spans="1:13" x14ac:dyDescent="0.25">
      <c r="A1503" s="16" t="s">
        <v>2770</v>
      </c>
      <c r="B1503" s="16" t="s">
        <v>1108</v>
      </c>
      <c r="C1503">
        <f t="shared" si="46"/>
        <v>433</v>
      </c>
      <c r="M1503" t="e">
        <f t="shared" si="47"/>
        <v>#N/A</v>
      </c>
    </row>
    <row r="1504" spans="1:13" x14ac:dyDescent="0.25">
      <c r="A1504" s="16" t="s">
        <v>2770</v>
      </c>
      <c r="B1504" s="16" t="s">
        <v>1109</v>
      </c>
      <c r="C1504">
        <f t="shared" si="46"/>
        <v>434</v>
      </c>
      <c r="M1504" t="e">
        <f t="shared" si="47"/>
        <v>#N/A</v>
      </c>
    </row>
    <row r="1505" spans="1:13" x14ac:dyDescent="0.25">
      <c r="A1505" s="16" t="s">
        <v>2770</v>
      </c>
      <c r="B1505" s="16" t="s">
        <v>1110</v>
      </c>
      <c r="C1505">
        <f t="shared" si="46"/>
        <v>435</v>
      </c>
      <c r="M1505" t="e">
        <f t="shared" si="47"/>
        <v>#N/A</v>
      </c>
    </row>
    <row r="1506" spans="1:13" x14ac:dyDescent="0.25">
      <c r="A1506" s="16" t="s">
        <v>2770</v>
      </c>
      <c r="B1506" s="16" t="s">
        <v>1111</v>
      </c>
      <c r="C1506">
        <f t="shared" si="46"/>
        <v>436</v>
      </c>
      <c r="M1506" t="e">
        <f t="shared" si="47"/>
        <v>#N/A</v>
      </c>
    </row>
    <row r="1507" spans="1:13" x14ac:dyDescent="0.25">
      <c r="A1507" s="16" t="s">
        <v>2770</v>
      </c>
      <c r="B1507" s="16" t="s">
        <v>1112</v>
      </c>
      <c r="C1507">
        <f t="shared" si="46"/>
        <v>437</v>
      </c>
      <c r="M1507" t="e">
        <f t="shared" si="47"/>
        <v>#N/A</v>
      </c>
    </row>
    <row r="1508" spans="1:13" x14ac:dyDescent="0.25">
      <c r="A1508" s="16" t="s">
        <v>2770</v>
      </c>
      <c r="B1508" s="16" t="s">
        <v>1113</v>
      </c>
      <c r="C1508">
        <f t="shared" si="46"/>
        <v>438</v>
      </c>
      <c r="M1508" t="e">
        <f t="shared" si="47"/>
        <v>#N/A</v>
      </c>
    </row>
    <row r="1509" spans="1:13" x14ac:dyDescent="0.25">
      <c r="A1509" s="16" t="s">
        <v>2770</v>
      </c>
      <c r="B1509" s="16" t="s">
        <v>1114</v>
      </c>
      <c r="C1509">
        <f t="shared" si="46"/>
        <v>439</v>
      </c>
      <c r="M1509" t="e">
        <f t="shared" si="47"/>
        <v>#N/A</v>
      </c>
    </row>
    <row r="1510" spans="1:13" x14ac:dyDescent="0.25">
      <c r="A1510" s="16" t="s">
        <v>2770</v>
      </c>
      <c r="B1510" s="16" t="s">
        <v>1115</v>
      </c>
      <c r="C1510">
        <f t="shared" si="46"/>
        <v>440</v>
      </c>
      <c r="M1510" t="e">
        <f t="shared" si="47"/>
        <v>#N/A</v>
      </c>
    </row>
    <row r="1511" spans="1:13" x14ac:dyDescent="0.25">
      <c r="A1511" s="16" t="s">
        <v>2770</v>
      </c>
      <c r="B1511" s="16" t="s">
        <v>1116</v>
      </c>
      <c r="C1511">
        <f t="shared" si="46"/>
        <v>441</v>
      </c>
      <c r="M1511" t="e">
        <f t="shared" si="47"/>
        <v>#N/A</v>
      </c>
    </row>
    <row r="1512" spans="1:13" x14ac:dyDescent="0.25">
      <c r="A1512" s="16" t="s">
        <v>2770</v>
      </c>
      <c r="B1512" s="16" t="s">
        <v>1117</v>
      </c>
      <c r="C1512">
        <f t="shared" si="46"/>
        <v>442</v>
      </c>
      <c r="M1512" t="e">
        <f t="shared" si="47"/>
        <v>#N/A</v>
      </c>
    </row>
    <row r="1513" spans="1:13" x14ac:dyDescent="0.25">
      <c r="A1513" s="16" t="s">
        <v>2770</v>
      </c>
      <c r="B1513" s="16" t="s">
        <v>1118</v>
      </c>
      <c r="C1513">
        <f t="shared" si="46"/>
        <v>443</v>
      </c>
      <c r="M1513" t="e">
        <f t="shared" si="47"/>
        <v>#N/A</v>
      </c>
    </row>
    <row r="1514" spans="1:13" x14ac:dyDescent="0.25">
      <c r="A1514" s="16" t="s">
        <v>2770</v>
      </c>
      <c r="B1514" s="16" t="s">
        <v>1119</v>
      </c>
      <c r="C1514">
        <f t="shared" si="46"/>
        <v>444</v>
      </c>
      <c r="M1514" t="e">
        <f t="shared" si="47"/>
        <v>#N/A</v>
      </c>
    </row>
    <row r="1515" spans="1:13" x14ac:dyDescent="0.25">
      <c r="A1515" s="16" t="s">
        <v>2770</v>
      </c>
      <c r="B1515" s="16" t="s">
        <v>1120</v>
      </c>
      <c r="C1515">
        <f t="shared" si="46"/>
        <v>445</v>
      </c>
      <c r="M1515" t="e">
        <f t="shared" si="47"/>
        <v>#N/A</v>
      </c>
    </row>
    <row r="1516" spans="1:13" x14ac:dyDescent="0.25">
      <c r="A1516" s="16" t="s">
        <v>2770</v>
      </c>
      <c r="B1516" s="16" t="s">
        <v>1121</v>
      </c>
      <c r="C1516">
        <f t="shared" si="46"/>
        <v>446</v>
      </c>
      <c r="M1516" t="e">
        <f t="shared" si="47"/>
        <v>#N/A</v>
      </c>
    </row>
    <row r="1517" spans="1:13" x14ac:dyDescent="0.25">
      <c r="A1517" s="16" t="s">
        <v>2770</v>
      </c>
      <c r="B1517" s="16" t="s">
        <v>1122</v>
      </c>
      <c r="C1517">
        <f t="shared" si="46"/>
        <v>447</v>
      </c>
      <c r="M1517" t="e">
        <f t="shared" si="47"/>
        <v>#N/A</v>
      </c>
    </row>
    <row r="1518" spans="1:13" x14ac:dyDescent="0.25">
      <c r="A1518" s="16" t="s">
        <v>2770</v>
      </c>
      <c r="B1518" s="16" t="s">
        <v>1123</v>
      </c>
      <c r="C1518">
        <f t="shared" si="46"/>
        <v>448</v>
      </c>
      <c r="M1518" t="e">
        <f t="shared" si="47"/>
        <v>#N/A</v>
      </c>
    </row>
    <row r="1519" spans="1:13" x14ac:dyDescent="0.25">
      <c r="A1519" s="16" t="s">
        <v>2770</v>
      </c>
      <c r="B1519" s="16" t="s">
        <v>1124</v>
      </c>
      <c r="C1519">
        <f t="shared" si="46"/>
        <v>449</v>
      </c>
      <c r="M1519" t="e">
        <f t="shared" si="47"/>
        <v>#N/A</v>
      </c>
    </row>
    <row r="1520" spans="1:13" x14ac:dyDescent="0.25">
      <c r="A1520" s="16" t="s">
        <v>2770</v>
      </c>
      <c r="B1520" s="16" t="s">
        <v>1125</v>
      </c>
      <c r="C1520">
        <f t="shared" si="46"/>
        <v>450</v>
      </c>
      <c r="M1520" t="e">
        <f t="shared" si="47"/>
        <v>#N/A</v>
      </c>
    </row>
    <row r="1521" spans="1:13" x14ac:dyDescent="0.25">
      <c r="A1521" s="16" t="s">
        <v>2770</v>
      </c>
      <c r="B1521" s="16" t="s">
        <v>1126</v>
      </c>
      <c r="C1521">
        <f t="shared" si="46"/>
        <v>451</v>
      </c>
      <c r="M1521" t="e">
        <f t="shared" si="47"/>
        <v>#N/A</v>
      </c>
    </row>
    <row r="1522" spans="1:13" x14ac:dyDescent="0.25">
      <c r="A1522" s="16" t="s">
        <v>2770</v>
      </c>
      <c r="B1522" s="16" t="s">
        <v>1127</v>
      </c>
      <c r="C1522">
        <f t="shared" si="46"/>
        <v>452</v>
      </c>
      <c r="M1522" t="e">
        <f t="shared" si="47"/>
        <v>#N/A</v>
      </c>
    </row>
    <row r="1523" spans="1:13" x14ac:dyDescent="0.25">
      <c r="A1523" s="16" t="s">
        <v>2770</v>
      </c>
      <c r="B1523" s="16" t="s">
        <v>1128</v>
      </c>
      <c r="C1523">
        <f t="shared" si="46"/>
        <v>453</v>
      </c>
      <c r="M1523" t="e">
        <f t="shared" si="47"/>
        <v>#N/A</v>
      </c>
    </row>
    <row r="1524" spans="1:13" x14ac:dyDescent="0.25">
      <c r="A1524" s="16" t="s">
        <v>2770</v>
      </c>
      <c r="B1524" s="16" t="s">
        <v>1129</v>
      </c>
      <c r="C1524">
        <f t="shared" si="46"/>
        <v>454</v>
      </c>
      <c r="M1524" t="e">
        <f t="shared" si="47"/>
        <v>#N/A</v>
      </c>
    </row>
    <row r="1525" spans="1:13" x14ac:dyDescent="0.25">
      <c r="A1525" s="16" t="s">
        <v>2770</v>
      </c>
      <c r="B1525" s="16" t="s">
        <v>1130</v>
      </c>
      <c r="C1525">
        <f t="shared" si="46"/>
        <v>455</v>
      </c>
      <c r="M1525" t="e">
        <f t="shared" si="47"/>
        <v>#N/A</v>
      </c>
    </row>
    <row r="1526" spans="1:13" x14ac:dyDescent="0.25">
      <c r="A1526" s="16" t="s">
        <v>2770</v>
      </c>
      <c r="B1526" s="16" t="s">
        <v>1131</v>
      </c>
      <c r="C1526">
        <f t="shared" si="46"/>
        <v>456</v>
      </c>
      <c r="M1526" t="e">
        <f t="shared" si="47"/>
        <v>#N/A</v>
      </c>
    </row>
    <row r="1527" spans="1:13" x14ac:dyDescent="0.25">
      <c r="A1527" s="16" t="s">
        <v>2770</v>
      </c>
      <c r="B1527" s="16" t="s">
        <v>1132</v>
      </c>
      <c r="C1527">
        <f t="shared" si="46"/>
        <v>457</v>
      </c>
      <c r="M1527" t="e">
        <f t="shared" si="47"/>
        <v>#N/A</v>
      </c>
    </row>
    <row r="1528" spans="1:13" x14ac:dyDescent="0.25">
      <c r="A1528" s="16" t="s">
        <v>2770</v>
      </c>
      <c r="B1528" s="16" t="s">
        <v>1133</v>
      </c>
      <c r="C1528">
        <f t="shared" si="46"/>
        <v>458</v>
      </c>
      <c r="M1528" t="e">
        <f t="shared" si="47"/>
        <v>#N/A</v>
      </c>
    </row>
    <row r="1529" spans="1:13" x14ac:dyDescent="0.25">
      <c r="A1529" s="16" t="s">
        <v>2770</v>
      </c>
      <c r="B1529" s="16" t="s">
        <v>1134</v>
      </c>
      <c r="C1529">
        <f t="shared" si="46"/>
        <v>459</v>
      </c>
      <c r="M1529" t="e">
        <f t="shared" si="47"/>
        <v>#N/A</v>
      </c>
    </row>
    <row r="1530" spans="1:13" x14ac:dyDescent="0.25">
      <c r="A1530" s="16" t="s">
        <v>2770</v>
      </c>
      <c r="B1530" s="16" t="s">
        <v>1135</v>
      </c>
      <c r="C1530">
        <f t="shared" si="46"/>
        <v>460</v>
      </c>
      <c r="M1530" t="e">
        <f t="shared" si="47"/>
        <v>#N/A</v>
      </c>
    </row>
    <row r="1531" spans="1:13" x14ac:dyDescent="0.25">
      <c r="A1531" s="16" t="s">
        <v>2770</v>
      </c>
      <c r="B1531" s="16" t="s">
        <v>1136</v>
      </c>
      <c r="C1531">
        <f t="shared" si="46"/>
        <v>461</v>
      </c>
      <c r="M1531" t="e">
        <f t="shared" si="47"/>
        <v>#N/A</v>
      </c>
    </row>
    <row r="1532" spans="1:13" x14ac:dyDescent="0.25">
      <c r="A1532" s="16" t="s">
        <v>2770</v>
      </c>
      <c r="B1532" s="16" t="s">
        <v>1137</v>
      </c>
      <c r="C1532">
        <f t="shared" si="46"/>
        <v>462</v>
      </c>
      <c r="M1532" t="e">
        <f t="shared" si="47"/>
        <v>#N/A</v>
      </c>
    </row>
    <row r="1533" spans="1:13" x14ac:dyDescent="0.25">
      <c r="A1533" s="16" t="s">
        <v>2770</v>
      </c>
      <c r="B1533" s="16" t="s">
        <v>1138</v>
      </c>
      <c r="C1533">
        <f t="shared" si="46"/>
        <v>463</v>
      </c>
      <c r="M1533" t="e">
        <f t="shared" si="47"/>
        <v>#N/A</v>
      </c>
    </row>
    <row r="1534" spans="1:13" x14ac:dyDescent="0.25">
      <c r="A1534" s="16" t="s">
        <v>2770</v>
      </c>
      <c r="B1534" s="16" t="s">
        <v>1139</v>
      </c>
      <c r="C1534">
        <f t="shared" si="46"/>
        <v>464</v>
      </c>
      <c r="M1534" t="e">
        <f t="shared" si="47"/>
        <v>#N/A</v>
      </c>
    </row>
    <row r="1535" spans="1:13" x14ac:dyDescent="0.25">
      <c r="A1535" s="16" t="s">
        <v>2770</v>
      </c>
      <c r="B1535" s="16" t="s">
        <v>1140</v>
      </c>
      <c r="C1535">
        <f t="shared" si="46"/>
        <v>465</v>
      </c>
      <c r="M1535" t="e">
        <f t="shared" si="47"/>
        <v>#N/A</v>
      </c>
    </row>
    <row r="1536" spans="1:13" x14ac:dyDescent="0.25">
      <c r="A1536" s="16" t="s">
        <v>2770</v>
      </c>
      <c r="B1536" s="16" t="s">
        <v>1141</v>
      </c>
      <c r="C1536">
        <f t="shared" si="46"/>
        <v>466</v>
      </c>
      <c r="M1536" t="e">
        <f t="shared" si="47"/>
        <v>#N/A</v>
      </c>
    </row>
    <row r="1537" spans="1:13" x14ac:dyDescent="0.25">
      <c r="A1537" s="16" t="s">
        <v>2770</v>
      </c>
      <c r="B1537" s="16" t="s">
        <v>1142</v>
      </c>
      <c r="C1537">
        <f t="shared" si="46"/>
        <v>467</v>
      </c>
      <c r="M1537" t="e">
        <f t="shared" si="47"/>
        <v>#N/A</v>
      </c>
    </row>
    <row r="1538" spans="1:13" x14ac:dyDescent="0.25">
      <c r="A1538" s="16" t="s">
        <v>2770</v>
      </c>
      <c r="B1538" s="16" t="s">
        <v>1143</v>
      </c>
      <c r="C1538">
        <f t="shared" si="46"/>
        <v>468</v>
      </c>
      <c r="M1538" t="e">
        <f t="shared" si="47"/>
        <v>#N/A</v>
      </c>
    </row>
    <row r="1539" spans="1:13" x14ac:dyDescent="0.25">
      <c r="A1539" s="16" t="s">
        <v>2770</v>
      </c>
      <c r="B1539" s="16" t="s">
        <v>1144</v>
      </c>
      <c r="C1539">
        <f t="shared" ref="C1539:C1602" si="48">MATCH(B1539,L:L,0)</f>
        <v>469</v>
      </c>
      <c r="M1539" t="e">
        <f t="shared" ref="M1539:M1546" si="49">MATCH(L1539,B:B,0)</f>
        <v>#N/A</v>
      </c>
    </row>
    <row r="1540" spans="1:13" x14ac:dyDescent="0.25">
      <c r="A1540" s="16" t="s">
        <v>2770</v>
      </c>
      <c r="B1540" s="16" t="s">
        <v>1145</v>
      </c>
      <c r="C1540">
        <f t="shared" si="48"/>
        <v>470</v>
      </c>
      <c r="M1540" t="e">
        <f t="shared" si="49"/>
        <v>#N/A</v>
      </c>
    </row>
    <row r="1541" spans="1:13" x14ac:dyDescent="0.25">
      <c r="A1541" s="16" t="s">
        <v>2770</v>
      </c>
      <c r="B1541" s="16" t="s">
        <v>1146</v>
      </c>
      <c r="C1541">
        <f t="shared" si="48"/>
        <v>471</v>
      </c>
      <c r="M1541" t="e">
        <f t="shared" si="49"/>
        <v>#N/A</v>
      </c>
    </row>
    <row r="1542" spans="1:13" x14ac:dyDescent="0.25">
      <c r="A1542" s="16" t="s">
        <v>2770</v>
      </c>
      <c r="B1542" s="16" t="s">
        <v>1147</v>
      </c>
      <c r="C1542">
        <f t="shared" si="48"/>
        <v>472</v>
      </c>
      <c r="M1542" t="e">
        <f t="shared" si="49"/>
        <v>#N/A</v>
      </c>
    </row>
    <row r="1543" spans="1:13" x14ac:dyDescent="0.25">
      <c r="A1543" s="16" t="s">
        <v>2770</v>
      </c>
      <c r="B1543" s="16" t="s">
        <v>1148</v>
      </c>
      <c r="C1543">
        <f t="shared" si="48"/>
        <v>473</v>
      </c>
      <c r="M1543" t="e">
        <f t="shared" si="49"/>
        <v>#N/A</v>
      </c>
    </row>
    <row r="1544" spans="1:13" x14ac:dyDescent="0.25">
      <c r="A1544" s="16" t="s">
        <v>2770</v>
      </c>
      <c r="B1544" s="16" t="s">
        <v>1149</v>
      </c>
      <c r="C1544">
        <f t="shared" si="48"/>
        <v>474</v>
      </c>
      <c r="M1544" t="e">
        <f t="shared" si="49"/>
        <v>#N/A</v>
      </c>
    </row>
    <row r="1545" spans="1:13" x14ac:dyDescent="0.25">
      <c r="A1545" s="16" t="s">
        <v>2770</v>
      </c>
      <c r="B1545" s="16" t="s">
        <v>1150</v>
      </c>
      <c r="C1545">
        <f t="shared" si="48"/>
        <v>475</v>
      </c>
      <c r="M1545" t="e">
        <f t="shared" si="49"/>
        <v>#N/A</v>
      </c>
    </row>
    <row r="1546" spans="1:13" x14ac:dyDescent="0.25">
      <c r="A1546" s="16" t="s">
        <v>2770</v>
      </c>
      <c r="B1546" s="16" t="s">
        <v>1151</v>
      </c>
      <c r="C1546">
        <f t="shared" si="48"/>
        <v>497</v>
      </c>
      <c r="M1546" t="e">
        <f t="shared" si="49"/>
        <v>#N/A</v>
      </c>
    </row>
    <row r="1547" spans="1:13" hidden="1" x14ac:dyDescent="0.25">
      <c r="A1547" s="16" t="s">
        <v>2770</v>
      </c>
      <c r="B1547" s="16" t="s">
        <v>1152</v>
      </c>
      <c r="C1547">
        <f t="shared" si="48"/>
        <v>498</v>
      </c>
    </row>
    <row r="1548" spans="1:13" hidden="1" x14ac:dyDescent="0.25">
      <c r="A1548" s="16" t="s">
        <v>2770</v>
      </c>
      <c r="B1548" s="16" t="s">
        <v>1153</v>
      </c>
      <c r="C1548">
        <f t="shared" si="48"/>
        <v>499</v>
      </c>
    </row>
    <row r="1549" spans="1:13" hidden="1" x14ac:dyDescent="0.25">
      <c r="A1549" s="16" t="s">
        <v>2770</v>
      </c>
      <c r="B1549" s="16" t="s">
        <v>1154</v>
      </c>
      <c r="C1549">
        <f t="shared" si="48"/>
        <v>500</v>
      </c>
    </row>
    <row r="1550" spans="1:13" hidden="1" x14ac:dyDescent="0.25">
      <c r="A1550" s="16" t="s">
        <v>2770</v>
      </c>
      <c r="B1550" s="16" t="s">
        <v>1155</v>
      </c>
      <c r="C1550">
        <f t="shared" si="48"/>
        <v>501</v>
      </c>
    </row>
    <row r="1551" spans="1:13" hidden="1" x14ac:dyDescent="0.25">
      <c r="A1551" s="16" t="s">
        <v>2770</v>
      </c>
      <c r="B1551" s="16" t="s">
        <v>1156</v>
      </c>
      <c r="C1551">
        <f t="shared" si="48"/>
        <v>502</v>
      </c>
    </row>
    <row r="1552" spans="1:13" hidden="1" x14ac:dyDescent="0.25">
      <c r="A1552" s="16" t="s">
        <v>2770</v>
      </c>
      <c r="B1552" s="16" t="s">
        <v>1157</v>
      </c>
      <c r="C1552">
        <f t="shared" si="48"/>
        <v>503</v>
      </c>
    </row>
    <row r="1553" spans="1:3" hidden="1" x14ac:dyDescent="0.25">
      <c r="A1553" s="16" t="s">
        <v>2770</v>
      </c>
      <c r="B1553" s="16" t="s">
        <v>1158</v>
      </c>
      <c r="C1553">
        <f t="shared" si="48"/>
        <v>504</v>
      </c>
    </row>
    <row r="1554" spans="1:3" hidden="1" x14ac:dyDescent="0.25">
      <c r="A1554" s="16" t="s">
        <v>2770</v>
      </c>
      <c r="B1554" s="16" t="s">
        <v>1159</v>
      </c>
      <c r="C1554">
        <f t="shared" si="48"/>
        <v>505</v>
      </c>
    </row>
    <row r="1555" spans="1:3" hidden="1" x14ac:dyDescent="0.25">
      <c r="A1555" s="16" t="s">
        <v>2770</v>
      </c>
      <c r="B1555" s="16" t="s">
        <v>1160</v>
      </c>
      <c r="C1555">
        <f t="shared" si="48"/>
        <v>506</v>
      </c>
    </row>
    <row r="1556" spans="1:3" hidden="1" x14ac:dyDescent="0.25">
      <c r="A1556" s="16" t="s">
        <v>2770</v>
      </c>
      <c r="B1556" s="16" t="s">
        <v>1161</v>
      </c>
      <c r="C1556">
        <f t="shared" si="48"/>
        <v>507</v>
      </c>
    </row>
    <row r="1557" spans="1:3" hidden="1" x14ac:dyDescent="0.25">
      <c r="A1557" s="16" t="s">
        <v>2770</v>
      </c>
      <c r="B1557" s="16" t="s">
        <v>1162</v>
      </c>
      <c r="C1557">
        <f t="shared" si="48"/>
        <v>508</v>
      </c>
    </row>
    <row r="1558" spans="1:3" hidden="1" x14ac:dyDescent="0.25">
      <c r="A1558" s="16" t="s">
        <v>2770</v>
      </c>
      <c r="B1558" s="16" t="s">
        <v>1163</v>
      </c>
      <c r="C1558">
        <f t="shared" si="48"/>
        <v>509</v>
      </c>
    </row>
    <row r="1559" spans="1:3" hidden="1" x14ac:dyDescent="0.25">
      <c r="A1559" s="16" t="s">
        <v>2770</v>
      </c>
      <c r="B1559" s="16" t="s">
        <v>1164</v>
      </c>
      <c r="C1559">
        <f t="shared" si="48"/>
        <v>510</v>
      </c>
    </row>
    <row r="1560" spans="1:3" hidden="1" x14ac:dyDescent="0.25">
      <c r="A1560" s="16" t="s">
        <v>2770</v>
      </c>
      <c r="B1560" s="16" t="s">
        <v>1165</v>
      </c>
      <c r="C1560">
        <f t="shared" si="48"/>
        <v>511</v>
      </c>
    </row>
    <row r="1561" spans="1:3" hidden="1" x14ac:dyDescent="0.25">
      <c r="A1561" s="16" t="s">
        <v>2770</v>
      </c>
      <c r="B1561" s="16" t="s">
        <v>1166</v>
      </c>
      <c r="C1561">
        <f t="shared" si="48"/>
        <v>512</v>
      </c>
    </row>
    <row r="1562" spans="1:3" hidden="1" x14ac:dyDescent="0.25">
      <c r="A1562" s="16" t="s">
        <v>2770</v>
      </c>
      <c r="B1562" s="16" t="s">
        <v>1167</v>
      </c>
      <c r="C1562">
        <f t="shared" si="48"/>
        <v>513</v>
      </c>
    </row>
    <row r="1563" spans="1:3" hidden="1" x14ac:dyDescent="0.25">
      <c r="A1563" s="16" t="s">
        <v>2770</v>
      </c>
      <c r="B1563" s="16" t="s">
        <v>1168</v>
      </c>
      <c r="C1563">
        <f t="shared" si="48"/>
        <v>514</v>
      </c>
    </row>
    <row r="1564" spans="1:3" hidden="1" x14ac:dyDescent="0.25">
      <c r="A1564" s="16" t="s">
        <v>2770</v>
      </c>
      <c r="B1564" s="16" t="s">
        <v>1169</v>
      </c>
      <c r="C1564">
        <f t="shared" si="48"/>
        <v>515</v>
      </c>
    </row>
    <row r="1565" spans="1:3" hidden="1" x14ac:dyDescent="0.25">
      <c r="A1565" s="16" t="s">
        <v>2770</v>
      </c>
      <c r="B1565" s="16" t="s">
        <v>1170</v>
      </c>
      <c r="C1565">
        <f t="shared" si="48"/>
        <v>516</v>
      </c>
    </row>
    <row r="1566" spans="1:3" hidden="1" x14ac:dyDescent="0.25">
      <c r="A1566" s="16" t="s">
        <v>2770</v>
      </c>
      <c r="B1566" s="16" t="s">
        <v>1171</v>
      </c>
      <c r="C1566">
        <f t="shared" si="48"/>
        <v>517</v>
      </c>
    </row>
    <row r="1567" spans="1:3" hidden="1" x14ac:dyDescent="0.25">
      <c r="A1567" s="16" t="s">
        <v>2770</v>
      </c>
      <c r="B1567" s="16" t="s">
        <v>1172</v>
      </c>
      <c r="C1567">
        <f t="shared" si="48"/>
        <v>518</v>
      </c>
    </row>
    <row r="1568" spans="1:3" hidden="1" x14ac:dyDescent="0.25">
      <c r="A1568" s="16" t="s">
        <v>2770</v>
      </c>
      <c r="B1568" s="16" t="s">
        <v>1173</v>
      </c>
      <c r="C1568">
        <f t="shared" si="48"/>
        <v>519</v>
      </c>
    </row>
    <row r="1569" spans="1:3" hidden="1" x14ac:dyDescent="0.25">
      <c r="A1569" s="16" t="s">
        <v>2770</v>
      </c>
      <c r="B1569" s="16" t="s">
        <v>1174</v>
      </c>
      <c r="C1569">
        <f t="shared" si="48"/>
        <v>520</v>
      </c>
    </row>
    <row r="1570" spans="1:3" hidden="1" x14ac:dyDescent="0.25">
      <c r="A1570" s="16" t="s">
        <v>2770</v>
      </c>
      <c r="B1570" s="16" t="s">
        <v>1175</v>
      </c>
      <c r="C1570">
        <f t="shared" si="48"/>
        <v>521</v>
      </c>
    </row>
    <row r="1571" spans="1:3" hidden="1" x14ac:dyDescent="0.25">
      <c r="A1571" s="16" t="s">
        <v>2770</v>
      </c>
      <c r="B1571" s="16" t="s">
        <v>1176</v>
      </c>
      <c r="C1571">
        <f t="shared" si="48"/>
        <v>522</v>
      </c>
    </row>
    <row r="1572" spans="1:3" hidden="1" x14ac:dyDescent="0.25">
      <c r="A1572" s="16" t="s">
        <v>2770</v>
      </c>
      <c r="B1572" s="16" t="s">
        <v>1177</v>
      </c>
      <c r="C1572">
        <f t="shared" si="48"/>
        <v>523</v>
      </c>
    </row>
    <row r="1573" spans="1:3" hidden="1" x14ac:dyDescent="0.25">
      <c r="A1573" s="16" t="s">
        <v>2770</v>
      </c>
      <c r="B1573" s="16" t="s">
        <v>1178</v>
      </c>
      <c r="C1573">
        <f t="shared" si="48"/>
        <v>524</v>
      </c>
    </row>
    <row r="1574" spans="1:3" hidden="1" x14ac:dyDescent="0.25">
      <c r="A1574" s="16" t="s">
        <v>2770</v>
      </c>
      <c r="B1574" s="16" t="s">
        <v>1179</v>
      </c>
      <c r="C1574">
        <f t="shared" si="48"/>
        <v>525</v>
      </c>
    </row>
    <row r="1575" spans="1:3" hidden="1" x14ac:dyDescent="0.25">
      <c r="A1575" s="16" t="s">
        <v>2770</v>
      </c>
      <c r="B1575" s="16" t="s">
        <v>1180</v>
      </c>
      <c r="C1575">
        <f t="shared" si="48"/>
        <v>526</v>
      </c>
    </row>
    <row r="1576" spans="1:3" hidden="1" x14ac:dyDescent="0.25">
      <c r="A1576" s="16" t="s">
        <v>2770</v>
      </c>
      <c r="B1576" s="16" t="s">
        <v>1181</v>
      </c>
      <c r="C1576">
        <f t="shared" si="48"/>
        <v>527</v>
      </c>
    </row>
    <row r="1577" spans="1:3" hidden="1" x14ac:dyDescent="0.25">
      <c r="A1577" s="16" t="s">
        <v>2770</v>
      </c>
      <c r="B1577" s="16" t="s">
        <v>1182</v>
      </c>
      <c r="C1577">
        <f t="shared" si="48"/>
        <v>528</v>
      </c>
    </row>
    <row r="1578" spans="1:3" hidden="1" x14ac:dyDescent="0.25">
      <c r="A1578" s="16" t="s">
        <v>2770</v>
      </c>
      <c r="B1578" s="16" t="s">
        <v>1183</v>
      </c>
      <c r="C1578">
        <f t="shared" si="48"/>
        <v>529</v>
      </c>
    </row>
    <row r="1579" spans="1:3" hidden="1" x14ac:dyDescent="0.25">
      <c r="A1579" s="16" t="s">
        <v>2770</v>
      </c>
      <c r="B1579" s="16" t="s">
        <v>1184</v>
      </c>
      <c r="C1579">
        <f t="shared" si="48"/>
        <v>530</v>
      </c>
    </row>
    <row r="1580" spans="1:3" hidden="1" x14ac:dyDescent="0.25">
      <c r="A1580" s="16" t="s">
        <v>2770</v>
      </c>
      <c r="B1580" s="16" t="s">
        <v>1185</v>
      </c>
      <c r="C1580">
        <f t="shared" si="48"/>
        <v>531</v>
      </c>
    </row>
    <row r="1581" spans="1:3" hidden="1" x14ac:dyDescent="0.25">
      <c r="A1581" s="16" t="s">
        <v>2770</v>
      </c>
      <c r="B1581" s="16" t="s">
        <v>1186</v>
      </c>
      <c r="C1581">
        <f t="shared" si="48"/>
        <v>532</v>
      </c>
    </row>
    <row r="1582" spans="1:3" hidden="1" x14ac:dyDescent="0.25">
      <c r="A1582" s="16" t="s">
        <v>2770</v>
      </c>
      <c r="B1582" s="16" t="s">
        <v>1187</v>
      </c>
      <c r="C1582">
        <f t="shared" si="48"/>
        <v>533</v>
      </c>
    </row>
    <row r="1583" spans="1:3" hidden="1" x14ac:dyDescent="0.25">
      <c r="A1583" s="16" t="s">
        <v>2770</v>
      </c>
      <c r="B1583" s="16" t="s">
        <v>1188</v>
      </c>
      <c r="C1583">
        <f t="shared" si="48"/>
        <v>534</v>
      </c>
    </row>
    <row r="1584" spans="1:3" hidden="1" x14ac:dyDescent="0.25">
      <c r="A1584" s="16" t="s">
        <v>2770</v>
      </c>
      <c r="B1584" s="16" t="s">
        <v>1189</v>
      </c>
      <c r="C1584">
        <f t="shared" si="48"/>
        <v>535</v>
      </c>
    </row>
    <row r="1585" spans="1:3" hidden="1" x14ac:dyDescent="0.25">
      <c r="A1585" s="16" t="s">
        <v>2770</v>
      </c>
      <c r="B1585" s="16" t="s">
        <v>1190</v>
      </c>
      <c r="C1585">
        <f t="shared" si="48"/>
        <v>536</v>
      </c>
    </row>
    <row r="1586" spans="1:3" hidden="1" x14ac:dyDescent="0.25">
      <c r="A1586" s="16" t="s">
        <v>2770</v>
      </c>
      <c r="B1586" s="16" t="s">
        <v>1191</v>
      </c>
      <c r="C1586">
        <f t="shared" si="48"/>
        <v>537</v>
      </c>
    </row>
    <row r="1587" spans="1:3" hidden="1" x14ac:dyDescent="0.25">
      <c r="A1587" s="16" t="s">
        <v>2770</v>
      </c>
      <c r="B1587" s="16" t="s">
        <v>1192</v>
      </c>
      <c r="C1587">
        <f t="shared" si="48"/>
        <v>538</v>
      </c>
    </row>
    <row r="1588" spans="1:3" hidden="1" x14ac:dyDescent="0.25">
      <c r="A1588" s="16" t="s">
        <v>2770</v>
      </c>
      <c r="B1588" s="16" t="s">
        <v>1193</v>
      </c>
      <c r="C1588">
        <f t="shared" si="48"/>
        <v>539</v>
      </c>
    </row>
    <row r="1589" spans="1:3" hidden="1" x14ac:dyDescent="0.25">
      <c r="A1589" s="16" t="s">
        <v>2770</v>
      </c>
      <c r="B1589" s="16" t="s">
        <v>1194</v>
      </c>
      <c r="C1589">
        <f t="shared" si="48"/>
        <v>540</v>
      </c>
    </row>
    <row r="1590" spans="1:3" hidden="1" x14ac:dyDescent="0.25">
      <c r="A1590" s="16" t="s">
        <v>2770</v>
      </c>
      <c r="B1590" s="16" t="s">
        <v>1195</v>
      </c>
      <c r="C1590">
        <f t="shared" si="48"/>
        <v>541</v>
      </c>
    </row>
    <row r="1591" spans="1:3" hidden="1" x14ac:dyDescent="0.25">
      <c r="A1591" s="16" t="s">
        <v>2770</v>
      </c>
      <c r="B1591" s="16" t="s">
        <v>1196</v>
      </c>
      <c r="C1591">
        <f t="shared" si="48"/>
        <v>542</v>
      </c>
    </row>
    <row r="1592" spans="1:3" hidden="1" x14ac:dyDescent="0.25">
      <c r="A1592" s="16" t="s">
        <v>2770</v>
      </c>
      <c r="B1592" s="16" t="s">
        <v>1197</v>
      </c>
      <c r="C1592">
        <f t="shared" si="48"/>
        <v>543</v>
      </c>
    </row>
    <row r="1593" spans="1:3" hidden="1" x14ac:dyDescent="0.25">
      <c r="A1593" s="16" t="s">
        <v>2770</v>
      </c>
      <c r="B1593" s="16" t="s">
        <v>1198</v>
      </c>
      <c r="C1593">
        <f t="shared" si="48"/>
        <v>544</v>
      </c>
    </row>
    <row r="1594" spans="1:3" hidden="1" x14ac:dyDescent="0.25">
      <c r="A1594" s="16" t="s">
        <v>2770</v>
      </c>
      <c r="B1594" s="16" t="s">
        <v>1199</v>
      </c>
      <c r="C1594">
        <f t="shared" si="48"/>
        <v>545</v>
      </c>
    </row>
    <row r="1595" spans="1:3" hidden="1" x14ac:dyDescent="0.25">
      <c r="A1595" s="16" t="s">
        <v>2770</v>
      </c>
      <c r="B1595" s="16" t="s">
        <v>1200</v>
      </c>
      <c r="C1595">
        <f t="shared" si="48"/>
        <v>546</v>
      </c>
    </row>
    <row r="1596" spans="1:3" hidden="1" x14ac:dyDescent="0.25">
      <c r="A1596" s="16" t="s">
        <v>2770</v>
      </c>
      <c r="B1596" s="16" t="s">
        <v>1201</v>
      </c>
      <c r="C1596">
        <f t="shared" si="48"/>
        <v>547</v>
      </c>
    </row>
    <row r="1597" spans="1:3" hidden="1" x14ac:dyDescent="0.25">
      <c r="A1597" s="16" t="s">
        <v>2770</v>
      </c>
      <c r="B1597" s="16" t="s">
        <v>1202</v>
      </c>
      <c r="C1597">
        <f t="shared" si="48"/>
        <v>548</v>
      </c>
    </row>
    <row r="1598" spans="1:3" hidden="1" x14ac:dyDescent="0.25">
      <c r="A1598" s="16" t="s">
        <v>2770</v>
      </c>
      <c r="B1598" s="16" t="s">
        <v>1203</v>
      </c>
      <c r="C1598">
        <f t="shared" si="48"/>
        <v>549</v>
      </c>
    </row>
    <row r="1599" spans="1:3" hidden="1" x14ac:dyDescent="0.25">
      <c r="A1599" s="16" t="s">
        <v>2770</v>
      </c>
      <c r="B1599" s="16" t="s">
        <v>1204</v>
      </c>
      <c r="C1599">
        <f t="shared" si="48"/>
        <v>550</v>
      </c>
    </row>
    <row r="1600" spans="1:3" hidden="1" x14ac:dyDescent="0.25">
      <c r="A1600" s="16" t="s">
        <v>2770</v>
      </c>
      <c r="B1600" s="16" t="s">
        <v>1205</v>
      </c>
      <c r="C1600">
        <f t="shared" si="48"/>
        <v>551</v>
      </c>
    </row>
    <row r="1601" spans="1:3" hidden="1" x14ac:dyDescent="0.25">
      <c r="A1601" s="16" t="s">
        <v>2770</v>
      </c>
      <c r="B1601" s="16" t="s">
        <v>1206</v>
      </c>
      <c r="C1601">
        <f t="shared" si="48"/>
        <v>552</v>
      </c>
    </row>
    <row r="1602" spans="1:3" hidden="1" x14ac:dyDescent="0.25">
      <c r="A1602" s="16" t="s">
        <v>2770</v>
      </c>
      <c r="B1602" s="16" t="s">
        <v>2778</v>
      </c>
      <c r="C1602">
        <f t="shared" si="48"/>
        <v>267</v>
      </c>
    </row>
    <row r="1603" spans="1:3" hidden="1" x14ac:dyDescent="0.25">
      <c r="A1603" s="16" t="s">
        <v>2770</v>
      </c>
      <c r="B1603" s="16" t="s">
        <v>2779</v>
      </c>
      <c r="C1603">
        <f t="shared" ref="C1603:C1666" si="50">MATCH(B1603,L:L,0)</f>
        <v>268</v>
      </c>
    </row>
    <row r="1604" spans="1:3" hidden="1" x14ac:dyDescent="0.25">
      <c r="A1604" s="16" t="s">
        <v>2770</v>
      </c>
      <c r="B1604" s="16" t="s">
        <v>2780</v>
      </c>
      <c r="C1604">
        <f t="shared" si="50"/>
        <v>269</v>
      </c>
    </row>
    <row r="1605" spans="1:3" hidden="1" x14ac:dyDescent="0.25">
      <c r="A1605" s="16" t="s">
        <v>2770</v>
      </c>
      <c r="B1605" s="16" t="s">
        <v>2781</v>
      </c>
      <c r="C1605">
        <f t="shared" si="50"/>
        <v>270</v>
      </c>
    </row>
    <row r="1606" spans="1:3" hidden="1" x14ac:dyDescent="0.25">
      <c r="A1606" s="16" t="s">
        <v>3023</v>
      </c>
      <c r="B1606" s="16" t="s">
        <v>2921</v>
      </c>
      <c r="C1606">
        <f t="shared" si="50"/>
        <v>1226</v>
      </c>
    </row>
    <row r="1607" spans="1:3" hidden="1" x14ac:dyDescent="0.25">
      <c r="A1607" s="16" t="s">
        <v>3023</v>
      </c>
      <c r="B1607" s="16" t="s">
        <v>2922</v>
      </c>
      <c r="C1607">
        <f t="shared" si="50"/>
        <v>1227</v>
      </c>
    </row>
    <row r="1608" spans="1:3" hidden="1" x14ac:dyDescent="0.25">
      <c r="A1608" s="16" t="s">
        <v>3023</v>
      </c>
      <c r="B1608" s="16" t="s">
        <v>2923</v>
      </c>
      <c r="C1608">
        <f t="shared" si="50"/>
        <v>1228</v>
      </c>
    </row>
    <row r="1609" spans="1:3" hidden="1" x14ac:dyDescent="0.25">
      <c r="A1609" s="16" t="s">
        <v>3023</v>
      </c>
      <c r="B1609" s="16" t="s">
        <v>2924</v>
      </c>
      <c r="C1609">
        <f t="shared" si="50"/>
        <v>1229</v>
      </c>
    </row>
    <row r="1610" spans="1:3" hidden="1" x14ac:dyDescent="0.25">
      <c r="A1610" s="16" t="s">
        <v>3023</v>
      </c>
      <c r="B1610" s="16" t="s">
        <v>2925</v>
      </c>
      <c r="C1610">
        <f t="shared" si="50"/>
        <v>1230</v>
      </c>
    </row>
    <row r="1611" spans="1:3" hidden="1" x14ac:dyDescent="0.25">
      <c r="A1611" s="16" t="s">
        <v>3023</v>
      </c>
      <c r="B1611" s="16" t="s">
        <v>2926</v>
      </c>
      <c r="C1611">
        <f t="shared" si="50"/>
        <v>1231</v>
      </c>
    </row>
    <row r="1612" spans="1:3" hidden="1" x14ac:dyDescent="0.25">
      <c r="A1612" s="16" t="s">
        <v>3023</v>
      </c>
      <c r="B1612" s="16" t="s">
        <v>2927</v>
      </c>
      <c r="C1612">
        <f t="shared" si="50"/>
        <v>1232</v>
      </c>
    </row>
    <row r="1613" spans="1:3" hidden="1" x14ac:dyDescent="0.25">
      <c r="A1613" s="16" t="s">
        <v>3023</v>
      </c>
      <c r="B1613" s="16" t="s">
        <v>2928</v>
      </c>
      <c r="C1613">
        <f t="shared" si="50"/>
        <v>1233</v>
      </c>
    </row>
    <row r="1614" spans="1:3" hidden="1" x14ac:dyDescent="0.25">
      <c r="A1614" s="16" t="s">
        <v>3023</v>
      </c>
      <c r="B1614" s="16" t="s">
        <v>2929</v>
      </c>
      <c r="C1614">
        <f t="shared" si="50"/>
        <v>1234</v>
      </c>
    </row>
    <row r="1615" spans="1:3" hidden="1" x14ac:dyDescent="0.25">
      <c r="A1615" s="16" t="s">
        <v>3023</v>
      </c>
      <c r="B1615" s="16" t="s">
        <v>2930</v>
      </c>
      <c r="C1615">
        <f t="shared" si="50"/>
        <v>1235</v>
      </c>
    </row>
    <row r="1616" spans="1:3" hidden="1" x14ac:dyDescent="0.25">
      <c r="A1616" s="16" t="s">
        <v>3023</v>
      </c>
      <c r="B1616" s="16" t="s">
        <v>2931</v>
      </c>
      <c r="C1616">
        <f t="shared" si="50"/>
        <v>1236</v>
      </c>
    </row>
    <row r="1617" spans="1:3" hidden="1" x14ac:dyDescent="0.25">
      <c r="A1617" s="16" t="s">
        <v>3023</v>
      </c>
      <c r="B1617" s="16" t="s">
        <v>2932</v>
      </c>
      <c r="C1617">
        <f t="shared" si="50"/>
        <v>1237</v>
      </c>
    </row>
    <row r="1618" spans="1:3" hidden="1" x14ac:dyDescent="0.25">
      <c r="A1618" s="16" t="s">
        <v>3023</v>
      </c>
      <c r="B1618" s="16" t="s">
        <v>2933</v>
      </c>
      <c r="C1618">
        <f t="shared" si="50"/>
        <v>1238</v>
      </c>
    </row>
    <row r="1619" spans="1:3" hidden="1" x14ac:dyDescent="0.25">
      <c r="A1619" s="16" t="s">
        <v>3023</v>
      </c>
      <c r="B1619" s="16" t="s">
        <v>2934</v>
      </c>
      <c r="C1619">
        <f t="shared" si="50"/>
        <v>1239</v>
      </c>
    </row>
    <row r="1620" spans="1:3" hidden="1" x14ac:dyDescent="0.25">
      <c r="A1620" s="16" t="s">
        <v>3023</v>
      </c>
      <c r="B1620" s="16" t="s">
        <v>2935</v>
      </c>
      <c r="C1620">
        <f t="shared" si="50"/>
        <v>1240</v>
      </c>
    </row>
    <row r="1621" spans="1:3" hidden="1" x14ac:dyDescent="0.25">
      <c r="A1621" s="16" t="s">
        <v>3023</v>
      </c>
      <c r="B1621" s="16" t="s">
        <v>2936</v>
      </c>
      <c r="C1621">
        <f t="shared" si="50"/>
        <v>1241</v>
      </c>
    </row>
    <row r="1622" spans="1:3" hidden="1" x14ac:dyDescent="0.25">
      <c r="A1622" s="16" t="s">
        <v>3023</v>
      </c>
      <c r="B1622" s="16" t="s">
        <v>2937</v>
      </c>
      <c r="C1622">
        <f t="shared" si="50"/>
        <v>1242</v>
      </c>
    </row>
    <row r="1623" spans="1:3" hidden="1" x14ac:dyDescent="0.25">
      <c r="A1623" s="16" t="s">
        <v>3023</v>
      </c>
      <c r="B1623" s="16" t="s">
        <v>2938</v>
      </c>
      <c r="C1623">
        <f t="shared" si="50"/>
        <v>1243</v>
      </c>
    </row>
    <row r="1624" spans="1:3" hidden="1" x14ac:dyDescent="0.25">
      <c r="A1624" s="16" t="s">
        <v>3023</v>
      </c>
      <c r="B1624" s="16" t="s">
        <v>2939</v>
      </c>
      <c r="C1624">
        <f t="shared" si="50"/>
        <v>1244</v>
      </c>
    </row>
    <row r="1625" spans="1:3" hidden="1" x14ac:dyDescent="0.25">
      <c r="A1625" s="16" t="s">
        <v>3023</v>
      </c>
      <c r="B1625" s="16" t="s">
        <v>2940</v>
      </c>
      <c r="C1625">
        <f t="shared" si="50"/>
        <v>1245</v>
      </c>
    </row>
    <row r="1626" spans="1:3" hidden="1" x14ac:dyDescent="0.25">
      <c r="A1626" s="16" t="s">
        <v>3023</v>
      </c>
      <c r="B1626" s="16" t="s">
        <v>2941</v>
      </c>
      <c r="C1626">
        <f t="shared" si="50"/>
        <v>1246</v>
      </c>
    </row>
    <row r="1627" spans="1:3" hidden="1" x14ac:dyDescent="0.25">
      <c r="A1627" s="16" t="s">
        <v>3023</v>
      </c>
      <c r="B1627" s="16" t="s">
        <v>2942</v>
      </c>
      <c r="C1627">
        <f t="shared" si="50"/>
        <v>1247</v>
      </c>
    </row>
    <row r="1628" spans="1:3" hidden="1" x14ac:dyDescent="0.25">
      <c r="A1628" s="16" t="s">
        <v>3023</v>
      </c>
      <c r="B1628" s="16" t="s">
        <v>2943</v>
      </c>
      <c r="C1628">
        <f t="shared" si="50"/>
        <v>1248</v>
      </c>
    </row>
    <row r="1629" spans="1:3" hidden="1" x14ac:dyDescent="0.25">
      <c r="A1629" s="16" t="s">
        <v>3023</v>
      </c>
      <c r="B1629" s="16" t="s">
        <v>2944</v>
      </c>
      <c r="C1629">
        <f t="shared" si="50"/>
        <v>1249</v>
      </c>
    </row>
    <row r="1630" spans="1:3" hidden="1" x14ac:dyDescent="0.25">
      <c r="A1630" s="16" t="s">
        <v>3023</v>
      </c>
      <c r="B1630" s="16" t="s">
        <v>2945</v>
      </c>
      <c r="C1630">
        <f t="shared" si="50"/>
        <v>1250</v>
      </c>
    </row>
    <row r="1631" spans="1:3" hidden="1" x14ac:dyDescent="0.25">
      <c r="A1631" s="16" t="s">
        <v>2770</v>
      </c>
      <c r="B1631" s="16" t="s">
        <v>1202</v>
      </c>
      <c r="C1631">
        <f t="shared" si="50"/>
        <v>548</v>
      </c>
    </row>
    <row r="1632" spans="1:3" hidden="1" x14ac:dyDescent="0.25">
      <c r="A1632" s="16" t="s">
        <v>2770</v>
      </c>
      <c r="B1632" s="16" t="s">
        <v>1203</v>
      </c>
      <c r="C1632">
        <f t="shared" si="50"/>
        <v>549</v>
      </c>
    </row>
    <row r="1633" spans="1:3" hidden="1" x14ac:dyDescent="0.25">
      <c r="A1633" s="16" t="s">
        <v>2770</v>
      </c>
      <c r="B1633" s="16" t="s">
        <v>1204</v>
      </c>
      <c r="C1633">
        <f t="shared" si="50"/>
        <v>550</v>
      </c>
    </row>
    <row r="1634" spans="1:3" hidden="1" x14ac:dyDescent="0.25">
      <c r="A1634" s="16" t="s">
        <v>2770</v>
      </c>
      <c r="B1634" s="16" t="s">
        <v>1205</v>
      </c>
      <c r="C1634">
        <f t="shared" si="50"/>
        <v>551</v>
      </c>
    </row>
    <row r="1635" spans="1:3" hidden="1" x14ac:dyDescent="0.25">
      <c r="A1635" s="16" t="s">
        <v>2770</v>
      </c>
      <c r="B1635" s="16" t="s">
        <v>1206</v>
      </c>
      <c r="C1635">
        <f t="shared" si="50"/>
        <v>552</v>
      </c>
    </row>
    <row r="1636" spans="1:3" hidden="1" x14ac:dyDescent="0.25">
      <c r="A1636" s="16" t="s">
        <v>3023</v>
      </c>
      <c r="B1636" s="16" t="s">
        <v>2921</v>
      </c>
      <c r="C1636">
        <f t="shared" si="50"/>
        <v>1226</v>
      </c>
    </row>
    <row r="1637" spans="1:3" hidden="1" x14ac:dyDescent="0.25">
      <c r="A1637" s="16" t="s">
        <v>3023</v>
      </c>
      <c r="B1637" s="16" t="s">
        <v>2922</v>
      </c>
      <c r="C1637">
        <f t="shared" si="50"/>
        <v>1227</v>
      </c>
    </row>
    <row r="1638" spans="1:3" hidden="1" x14ac:dyDescent="0.25">
      <c r="A1638" s="16" t="s">
        <v>3023</v>
      </c>
      <c r="B1638" s="16" t="s">
        <v>2923</v>
      </c>
      <c r="C1638">
        <f t="shared" si="50"/>
        <v>1228</v>
      </c>
    </row>
    <row r="1639" spans="1:3" hidden="1" x14ac:dyDescent="0.25">
      <c r="A1639" s="16" t="s">
        <v>3023</v>
      </c>
      <c r="B1639" s="16" t="s">
        <v>2924</v>
      </c>
      <c r="C1639">
        <f t="shared" si="50"/>
        <v>1229</v>
      </c>
    </row>
    <row r="1640" spans="1:3" hidden="1" x14ac:dyDescent="0.25">
      <c r="A1640" s="16" t="s">
        <v>3023</v>
      </c>
      <c r="B1640" s="16" t="s">
        <v>2925</v>
      </c>
      <c r="C1640">
        <f t="shared" si="50"/>
        <v>1230</v>
      </c>
    </row>
    <row r="1641" spans="1:3" hidden="1" x14ac:dyDescent="0.25">
      <c r="A1641" s="16" t="s">
        <v>3023</v>
      </c>
      <c r="B1641" s="16" t="s">
        <v>2926</v>
      </c>
      <c r="C1641">
        <f t="shared" si="50"/>
        <v>1231</v>
      </c>
    </row>
    <row r="1642" spans="1:3" hidden="1" x14ac:dyDescent="0.25">
      <c r="A1642" s="16" t="s">
        <v>3023</v>
      </c>
      <c r="B1642" s="16" t="s">
        <v>2927</v>
      </c>
      <c r="C1642">
        <f t="shared" si="50"/>
        <v>1232</v>
      </c>
    </row>
    <row r="1643" spans="1:3" hidden="1" x14ac:dyDescent="0.25">
      <c r="A1643" s="16" t="s">
        <v>3023</v>
      </c>
      <c r="B1643" s="16" t="s">
        <v>2928</v>
      </c>
      <c r="C1643">
        <f t="shared" si="50"/>
        <v>1233</v>
      </c>
    </row>
    <row r="1644" spans="1:3" hidden="1" x14ac:dyDescent="0.25">
      <c r="A1644" s="16" t="s">
        <v>3023</v>
      </c>
      <c r="B1644" s="16" t="s">
        <v>2929</v>
      </c>
      <c r="C1644">
        <f t="shared" si="50"/>
        <v>1234</v>
      </c>
    </row>
    <row r="1645" spans="1:3" hidden="1" x14ac:dyDescent="0.25">
      <c r="A1645" s="16" t="s">
        <v>3023</v>
      </c>
      <c r="B1645" s="16" t="s">
        <v>2930</v>
      </c>
      <c r="C1645">
        <f t="shared" si="50"/>
        <v>1235</v>
      </c>
    </row>
    <row r="1646" spans="1:3" hidden="1" x14ac:dyDescent="0.25">
      <c r="A1646" s="16" t="s">
        <v>3023</v>
      </c>
      <c r="B1646" s="16" t="s">
        <v>2931</v>
      </c>
      <c r="C1646">
        <f t="shared" si="50"/>
        <v>1236</v>
      </c>
    </row>
    <row r="1647" spans="1:3" hidden="1" x14ac:dyDescent="0.25">
      <c r="A1647" s="16" t="s">
        <v>3023</v>
      </c>
      <c r="B1647" s="16" t="s">
        <v>2932</v>
      </c>
      <c r="C1647">
        <f t="shared" si="50"/>
        <v>1237</v>
      </c>
    </row>
    <row r="1648" spans="1:3" hidden="1" x14ac:dyDescent="0.25">
      <c r="A1648" s="16" t="s">
        <v>3023</v>
      </c>
      <c r="B1648" s="16" t="s">
        <v>2933</v>
      </c>
      <c r="C1648">
        <f t="shared" si="50"/>
        <v>1238</v>
      </c>
    </row>
    <row r="1649" spans="1:3" hidden="1" x14ac:dyDescent="0.25">
      <c r="A1649" s="16" t="s">
        <v>3023</v>
      </c>
      <c r="B1649" s="16" t="s">
        <v>2934</v>
      </c>
      <c r="C1649">
        <f t="shared" si="50"/>
        <v>1239</v>
      </c>
    </row>
    <row r="1650" spans="1:3" hidden="1" x14ac:dyDescent="0.25">
      <c r="A1650" s="16" t="s">
        <v>3023</v>
      </c>
      <c r="B1650" s="16" t="s">
        <v>2935</v>
      </c>
      <c r="C1650">
        <f t="shared" si="50"/>
        <v>1240</v>
      </c>
    </row>
    <row r="1651" spans="1:3" hidden="1" x14ac:dyDescent="0.25">
      <c r="A1651" s="16" t="s">
        <v>3023</v>
      </c>
      <c r="B1651" s="16" t="s">
        <v>2936</v>
      </c>
      <c r="C1651">
        <f t="shared" si="50"/>
        <v>1241</v>
      </c>
    </row>
    <row r="1652" spans="1:3" hidden="1" x14ac:dyDescent="0.25">
      <c r="A1652" s="16" t="s">
        <v>3023</v>
      </c>
      <c r="B1652" s="16" t="s">
        <v>2937</v>
      </c>
      <c r="C1652">
        <f t="shared" si="50"/>
        <v>1242</v>
      </c>
    </row>
    <row r="1653" spans="1:3" hidden="1" x14ac:dyDescent="0.25">
      <c r="A1653" s="16" t="s">
        <v>3023</v>
      </c>
      <c r="B1653" s="16" t="s">
        <v>2938</v>
      </c>
      <c r="C1653">
        <f t="shared" si="50"/>
        <v>1243</v>
      </c>
    </row>
    <row r="1654" spans="1:3" hidden="1" x14ac:dyDescent="0.25">
      <c r="A1654" s="16" t="s">
        <v>3023</v>
      </c>
      <c r="B1654" s="16" t="s">
        <v>2939</v>
      </c>
      <c r="C1654">
        <f t="shared" si="50"/>
        <v>1244</v>
      </c>
    </row>
    <row r="1655" spans="1:3" hidden="1" x14ac:dyDescent="0.25">
      <c r="A1655" s="16" t="s">
        <v>3023</v>
      </c>
      <c r="B1655" s="16" t="s">
        <v>2940</v>
      </c>
      <c r="C1655">
        <f t="shared" si="50"/>
        <v>1245</v>
      </c>
    </row>
    <row r="1656" spans="1:3" hidden="1" x14ac:dyDescent="0.25">
      <c r="A1656" s="16" t="s">
        <v>3023</v>
      </c>
      <c r="B1656" s="16" t="s">
        <v>2941</v>
      </c>
      <c r="C1656">
        <f t="shared" si="50"/>
        <v>1246</v>
      </c>
    </row>
    <row r="1657" spans="1:3" hidden="1" x14ac:dyDescent="0.25">
      <c r="A1657" s="16" t="s">
        <v>3023</v>
      </c>
      <c r="B1657" s="16" t="s">
        <v>2942</v>
      </c>
      <c r="C1657">
        <f t="shared" si="50"/>
        <v>1247</v>
      </c>
    </row>
    <row r="1658" spans="1:3" hidden="1" x14ac:dyDescent="0.25">
      <c r="A1658" s="16" t="s">
        <v>3023</v>
      </c>
      <c r="B1658" s="16" t="s">
        <v>2943</v>
      </c>
      <c r="C1658">
        <f t="shared" si="50"/>
        <v>1248</v>
      </c>
    </row>
    <row r="1659" spans="1:3" hidden="1" x14ac:dyDescent="0.25">
      <c r="A1659" s="16" t="s">
        <v>3023</v>
      </c>
      <c r="B1659" s="16" t="s">
        <v>2944</v>
      </c>
      <c r="C1659">
        <f t="shared" si="50"/>
        <v>1249</v>
      </c>
    </row>
    <row r="1660" spans="1:3" hidden="1" x14ac:dyDescent="0.25">
      <c r="A1660" s="16" t="s">
        <v>3023</v>
      </c>
      <c r="B1660" s="16" t="s">
        <v>2945</v>
      </c>
      <c r="C1660">
        <f t="shared" si="50"/>
        <v>1250</v>
      </c>
    </row>
    <row r="1661" spans="1:3" hidden="1" x14ac:dyDescent="0.25">
      <c r="A1661" s="16"/>
      <c r="B1661" s="16"/>
    </row>
    <row r="1662" spans="1:3" hidden="1" x14ac:dyDescent="0.25">
      <c r="A1662" s="16"/>
      <c r="B1662" s="16"/>
    </row>
    <row r="1663" spans="1:3" hidden="1" x14ac:dyDescent="0.25">
      <c r="A1663" s="16"/>
      <c r="B1663" s="16"/>
    </row>
    <row r="1664" spans="1:3" hidden="1" x14ac:dyDescent="0.25">
      <c r="A1664" s="16"/>
      <c r="B1664" s="16"/>
    </row>
    <row r="1665" spans="1:2" hidden="1" x14ac:dyDescent="0.25">
      <c r="A1665" s="16"/>
      <c r="B1665" s="16"/>
    </row>
    <row r="1666" spans="1:2" hidden="1" x14ac:dyDescent="0.25">
      <c r="A1666" s="16"/>
      <c r="B1666" s="16"/>
    </row>
    <row r="1667" spans="1:2" hidden="1" x14ac:dyDescent="0.25">
      <c r="A1667" s="16"/>
      <c r="B1667" s="16"/>
    </row>
    <row r="1668" spans="1:2" hidden="1" x14ac:dyDescent="0.25">
      <c r="A1668" s="16"/>
      <c r="B1668" s="16"/>
    </row>
    <row r="1669" spans="1:2" hidden="1" x14ac:dyDescent="0.25">
      <c r="A1669" s="16"/>
      <c r="B1669" s="16"/>
    </row>
    <row r="1670" spans="1:2" hidden="1" x14ac:dyDescent="0.25">
      <c r="A1670" s="16"/>
      <c r="B1670" s="16"/>
    </row>
    <row r="1671" spans="1:2" hidden="1" x14ac:dyDescent="0.25">
      <c r="A1671" s="16"/>
      <c r="B1671" s="16"/>
    </row>
    <row r="1672" spans="1:2" hidden="1" x14ac:dyDescent="0.25">
      <c r="A1672" s="16"/>
      <c r="B1672" s="16"/>
    </row>
    <row r="1673" spans="1:2" hidden="1" x14ac:dyDescent="0.25">
      <c r="A1673" s="16"/>
      <c r="B1673" s="16"/>
    </row>
    <row r="1674" spans="1:2" hidden="1" x14ac:dyDescent="0.25">
      <c r="A1674" s="16"/>
      <c r="B1674" s="16"/>
    </row>
    <row r="1675" spans="1:2" hidden="1" x14ac:dyDescent="0.25">
      <c r="A1675" s="16"/>
      <c r="B1675" s="16"/>
    </row>
    <row r="1676" spans="1:2" hidden="1" x14ac:dyDescent="0.25">
      <c r="A1676" s="16"/>
      <c r="B1676" s="16"/>
    </row>
    <row r="1677" spans="1:2" hidden="1" x14ac:dyDescent="0.25">
      <c r="A1677" s="16"/>
      <c r="B1677" s="16"/>
    </row>
    <row r="1678" spans="1:2" hidden="1" x14ac:dyDescent="0.25">
      <c r="A1678" s="16"/>
      <c r="B1678" s="16"/>
    </row>
    <row r="1679" spans="1:2" hidden="1" x14ac:dyDescent="0.25">
      <c r="A1679" s="16"/>
      <c r="B1679" s="16"/>
    </row>
    <row r="1680" spans="1:2" hidden="1" x14ac:dyDescent="0.25">
      <c r="A1680" s="16"/>
      <c r="B1680" s="16"/>
    </row>
    <row r="1681" spans="1:2" hidden="1" x14ac:dyDescent="0.25">
      <c r="A1681" s="16"/>
      <c r="B1681" s="16"/>
    </row>
    <row r="1682" spans="1:2" hidden="1" x14ac:dyDescent="0.25">
      <c r="A1682" s="16"/>
      <c r="B1682" s="16"/>
    </row>
    <row r="1683" spans="1:2" hidden="1" x14ac:dyDescent="0.25">
      <c r="A1683" s="16"/>
      <c r="B1683" s="16"/>
    </row>
    <row r="1684" spans="1:2" hidden="1" x14ac:dyDescent="0.25">
      <c r="A1684" s="16"/>
      <c r="B1684" s="16"/>
    </row>
    <row r="1685" spans="1:2" hidden="1" x14ac:dyDescent="0.25">
      <c r="A1685" s="16"/>
      <c r="B1685" s="16"/>
    </row>
    <row r="1686" spans="1:2" hidden="1" x14ac:dyDescent="0.25">
      <c r="A1686" s="16"/>
      <c r="B1686" s="16"/>
    </row>
    <row r="1687" spans="1:2" hidden="1" x14ac:dyDescent="0.25">
      <c r="A1687" s="16"/>
      <c r="B1687" s="16"/>
    </row>
    <row r="1688" spans="1:2" hidden="1" x14ac:dyDescent="0.25">
      <c r="A1688" s="16"/>
      <c r="B1688" s="16"/>
    </row>
    <row r="1689" spans="1:2" hidden="1" x14ac:dyDescent="0.25">
      <c r="A1689" s="16"/>
      <c r="B1689" s="16"/>
    </row>
    <row r="1690" spans="1:2" hidden="1" x14ac:dyDescent="0.25">
      <c r="A1690" s="16"/>
      <c r="B1690" s="16"/>
    </row>
    <row r="1691" spans="1:2" hidden="1" x14ac:dyDescent="0.25">
      <c r="A1691" s="16"/>
      <c r="B1691" s="16"/>
    </row>
    <row r="1692" spans="1:2" hidden="1" x14ac:dyDescent="0.25">
      <c r="A1692" s="16"/>
      <c r="B1692" s="16"/>
    </row>
    <row r="1693" spans="1:2" hidden="1" x14ac:dyDescent="0.25">
      <c r="A1693" s="16"/>
      <c r="B1693" s="16"/>
    </row>
    <row r="1694" spans="1:2" hidden="1" x14ac:dyDescent="0.25">
      <c r="A1694" s="16"/>
      <c r="B1694" s="16"/>
    </row>
    <row r="1695" spans="1:2" hidden="1" x14ac:dyDescent="0.25">
      <c r="A1695" s="16"/>
      <c r="B1695" s="16"/>
    </row>
    <row r="1696" spans="1:2" hidden="1" x14ac:dyDescent="0.25">
      <c r="A1696" s="16"/>
      <c r="B1696" s="16"/>
    </row>
    <row r="1697" spans="1:2" hidden="1" x14ac:dyDescent="0.25">
      <c r="A1697" s="16"/>
      <c r="B1697" s="16"/>
    </row>
    <row r="1698" spans="1:2" hidden="1" x14ac:dyDescent="0.25">
      <c r="A1698" s="16"/>
      <c r="B1698" s="16"/>
    </row>
    <row r="1699" spans="1:2" hidden="1" x14ac:dyDescent="0.25">
      <c r="A1699" s="16"/>
      <c r="B1699" s="16"/>
    </row>
    <row r="1700" spans="1:2" hidden="1" x14ac:dyDescent="0.25">
      <c r="A1700" s="16"/>
      <c r="B1700" s="16"/>
    </row>
  </sheetData>
  <autoFilter ref="A1:M1700" xr:uid="{FF3115E2-B9C4-4D30-99C8-8CE6724D7131}">
    <filterColumn colId="12">
      <filters>
        <filter val="#N/A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CE5E9-E2C4-4FB1-9F2A-942F910D6A66}">
  <sheetPr codeName="Sheet8"/>
  <dimension ref="A1:S198"/>
  <sheetViews>
    <sheetView topLeftCell="L161" zoomScale="70" zoomScaleNormal="70" workbookViewId="0">
      <selection activeCell="P2" sqref="P2:P164"/>
    </sheetView>
  </sheetViews>
  <sheetFormatPr defaultRowHeight="15" x14ac:dyDescent="0.25"/>
  <cols>
    <col min="1" max="1" width="46.7109375" style="10" bestFit="1" customWidth="1"/>
    <col min="2" max="2" width="57.140625" style="10" customWidth="1"/>
    <col min="3" max="3" width="13" style="14" customWidth="1"/>
    <col min="4" max="4" width="16.42578125" style="14" customWidth="1"/>
    <col min="5" max="5" width="9.140625" style="14"/>
    <col min="6" max="6" width="13.5703125" style="14" customWidth="1"/>
    <col min="7" max="7" width="12.85546875" style="14" customWidth="1"/>
    <col min="8" max="9" width="17.28515625" style="10" customWidth="1"/>
    <col min="10" max="10" width="85" style="10" customWidth="1"/>
    <col min="11" max="11" width="24.7109375" style="10" customWidth="1"/>
    <col min="12" max="12" width="13.28515625" style="10" customWidth="1"/>
    <col min="13" max="13" width="9.140625" style="10"/>
    <col min="14" max="14" width="102.140625" style="10" customWidth="1"/>
    <col min="15" max="15" width="173.42578125" style="10" customWidth="1"/>
    <col min="16" max="16" width="37.85546875" style="10" customWidth="1"/>
    <col min="17" max="18" width="18.5703125" style="10" customWidth="1"/>
    <col min="19" max="16384" width="9.140625" style="10"/>
  </cols>
  <sheetData>
    <row r="1" spans="1:19" x14ac:dyDescent="0.25">
      <c r="A1" s="9" t="s">
        <v>1212</v>
      </c>
      <c r="B1" s="9" t="s">
        <v>1222</v>
      </c>
      <c r="C1" s="9" t="s">
        <v>1211</v>
      </c>
      <c r="D1" s="9" t="s">
        <v>1213</v>
      </c>
      <c r="E1" s="9" t="s">
        <v>1027</v>
      </c>
      <c r="F1" s="9" t="s">
        <v>1214</v>
      </c>
      <c r="G1" s="9" t="s">
        <v>1223</v>
      </c>
      <c r="H1" s="9" t="s">
        <v>1230</v>
      </c>
      <c r="I1" s="9" t="s">
        <v>1215</v>
      </c>
      <c r="J1" s="9" t="s">
        <v>1216</v>
      </c>
      <c r="K1" s="9" t="s">
        <v>1217</v>
      </c>
      <c r="L1" s="9" t="s">
        <v>1218</v>
      </c>
      <c r="M1" s="9" t="s">
        <v>1219</v>
      </c>
      <c r="N1" s="9" t="s">
        <v>1220</v>
      </c>
      <c r="O1" s="9" t="s">
        <v>1221</v>
      </c>
      <c r="P1" s="9" t="s">
        <v>1240</v>
      </c>
      <c r="Q1" s="9" t="s">
        <v>1241</v>
      </c>
      <c r="R1" s="9" t="s">
        <v>1242</v>
      </c>
    </row>
    <row r="2" spans="1:19" ht="150" x14ac:dyDescent="0.25">
      <c r="A2" s="11" t="s">
        <v>1040</v>
      </c>
      <c r="B2" s="11" t="str" cm="1">
        <f t="array" ref="B2">Addspaces(A2)</f>
        <v>Antenna Redundant Horizontal Grade</v>
      </c>
      <c r="C2" s="15" t="s">
        <v>1225</v>
      </c>
      <c r="D2" s="13" t="str">
        <f>VLOOKUP(C2,Sheet8!A:C,2,FALSE)</f>
        <v>decimal(18, 6)</v>
      </c>
      <c r="E2" s="15"/>
      <c r="F2" s="13" t="str">
        <f>VLOOKUP(C2,Sheet8!A:C,3,FALSE)</f>
        <v>Double?</v>
      </c>
      <c r="G2" s="15" t="b">
        <v>1</v>
      </c>
      <c r="H2" s="11" t="str">
        <f>"ADD " &amp; A2&amp;" "&amp;D2&amp;IF(E2="","","("&amp;E2&amp;")") &amp; ","</f>
        <v>ADD AntennaRedundantHorizontalGrade decimal(18, 6),</v>
      </c>
      <c r="I2" s="11" t="str">
        <f>"Private _"&amp;A2&amp;" As "&amp;F2&amp;" " &amp;IF(G2,"?","")</f>
        <v>Private _AntennaRedundantHorizontalGrade As Double? ?</v>
      </c>
      <c r="J2" s="12" t="str">
        <f>"     		&lt;Category(""TNX Antenna Record""), Description(""""), DisplayName("""&amp;B2&amp;""")&gt;
    		&lt;DataMember()&gt; Public Property "&amp;A2&amp;"() As "&amp;F2 &amp;IF(G2,"?","") &amp;"
        			Get
            				Return Me._"&amp;A2&amp;"
        			End Get
        			Set
            				Me._"&amp;A2&amp;" = Value
        			End Set
    		End Property"</f>
        <v xml:space="preserve">     		&lt;Category("TNX Antenna Record"), Description(""), DisplayName("Antenna Redundant Horizontal Grade")&gt;
    		&lt;DataMember()&gt; Public Property AntennaRedundantHorizontalGrade() As Double??
        			Get
            				Return Me._AntennaRedundantHorizontalGrade
        			End Get
        			Set
            				Me._AntennaRedundantHorizontalGrade = Value
        			End Set
    		End Property</v>
      </c>
      <c r="K2" s="11" t="str">
        <f>"Me."&amp;A2&amp; " = " &amp; VLOOKUP(C2,Sheet8!A:D,4,FALSE)&amp;"(recRow.Item("""&amp;A2 &amp;""")" &amp; IF(C2="Number",",6","")&amp;")"</f>
        <v>Me.AntennaRedundantHorizontalGrade = DBtoNullableDec(recRow.Item("AntennaRedundantHorizontalGrade"),6)</v>
      </c>
      <c r="L2" s="11" t="str">
        <f>"insertString = insertString.AddtoDBString(Me."&amp;A2&amp;".ToString)"</f>
        <v>insertString = insertString.AddtoDBString(Me.AntennaRedundantHorizontalGrade.ToString)</v>
      </c>
      <c r="M2" s="11" t="str">
        <f>"Equals = If(Me."&amp;A2&amp;".CheckChange(otherToCompare."&amp;A2&amp;", changes, categoryName, """&amp;B2&amp;"""), Equals, False)"</f>
        <v>Equals = If(Me.AntennaRedundantHorizontalGrade.CheckChange(otherToCompare.AntennaRedundantHorizontalGrade, changes, categoryName, "Antenna Redundant Horizontal Grade"), Equals, False)</v>
      </c>
      <c r="N2" s="12" t="str">
        <f>" 	Case tnxVar.Equals("""&amp;A2&amp;""")
                            Try
                                Me.geometry.upperStructure(recIndex)."&amp;A2&amp;" = tnxValue
                            Catch ex As Exception
                                Debug.Print(""Error parsing TNX variable: "" &amp; tnxVar)
                            End Try"</f>
        <v xml:space="preserve"> 	Case tnxVar.Equals("AntennaRedundantHorizontalGrade")
                            Try
                                Me.geometry.upperStructure(recIndex).AntennaRedundantHorizontalGrade = tnxValue
                            Catch ex As Exception
                                Debug.Print("Error parsing TNX variable: " &amp; tnxVar)
                            End Try</v>
      </c>
      <c r="O2" s="12" t="str">
        <f>IF(C2="String",
"If IsSomethingString(."&amp;A2&amp;") Then 'This field does not get saved when generated from CCIpole
newERIList.Add("""&amp;A2&amp;"="" &amp; ."&amp;A2&amp;")
End If",
IF(C2="Number",
"If Not IsNothing(Me.settings.USUnits.Strength.convertToERIUnits(."&amp;A2&amp;")) Then 'This field does not get saved when generated from CCIpole
                                newERIList.Add("""&amp;A2&amp;"="" &amp; Me.settings.USUnits.Strength.convertToERIUnits(."&amp;A2&amp;"))
                            End If",
"newERIList.Add("""&amp;A2&amp;"="" &amp; ."&amp;A2&amp;")"))</f>
        <v>If Not IsNothing(Me.settings.USUnits.Strength.convertToERIUnits(.AntennaRedundantHorizontalGrade)) Then 'This field does not get saved when generated from CCIpole
                                newERIList.Add("AntennaRedundantHorizontalGrade=" &amp; Me.settings.USUnits.Strength.convertToERIUnits(.AntennaRedundantHorizontalGrade))
                            End If</v>
      </c>
      <c r="P2" s="11" t="str">
        <f>"SQLInsertValues = SQLInsertValues.AddtoDBString(Me."&amp;A2&amp;".NullableToString.FormatDBValue)"</f>
        <v>SQLInsertValues = SQLInsertValues.AddtoDBString(Me.AntennaRedundantHorizontalGrade.NullableToString.FormatDBValue)</v>
      </c>
      <c r="Q2" s="11" t="str">
        <f>"SQLInsertFields = SQLInsertFields.AddtoDBString("""&amp;A2&amp;""")"</f>
        <v>SQLInsertFields = SQLInsertFields.AddtoDBString("AntennaRedundantHorizontalGrade")</v>
      </c>
      <c r="R2" s="11" t="str">
        <f>"SQLUpdateFieldsandValues = SQLUpdateFieldsandValues.AddtoDBString("""&amp;A2&amp;" = "" &amp; Me."&amp;A2&amp;".NullableToString.FormatDBValue)"</f>
        <v>SQLUpdateFieldsandValues = SQLUpdateFieldsandValues.AddtoDBString("AntennaRedundantHorizontalGrade = " &amp; Me.AntennaRedundantHorizontalGrade.NullableToString.FormatDBValue)</v>
      </c>
      <c r="S2" s="10" t="s">
        <v>286</v>
      </c>
    </row>
    <row r="3" spans="1:19" ht="150" x14ac:dyDescent="0.25">
      <c r="A3" s="11" t="s">
        <v>1041</v>
      </c>
      <c r="B3" s="11" t="str" cm="1">
        <f t="array" ref="B3">Addspaces(A3)</f>
        <v>Antenna Redundant Horizontal Matl Grade</v>
      </c>
      <c r="C3" s="15" t="s">
        <v>1224</v>
      </c>
      <c r="D3" s="13" t="str">
        <f>VLOOKUP(C3,Sheet8!A:C,2,FALSE)</f>
        <v>varchar</v>
      </c>
      <c r="E3" s="15">
        <v>100</v>
      </c>
      <c r="F3" s="13" t="str">
        <f>VLOOKUP(C3,Sheet8!A:C,3,FALSE)</f>
        <v>String</v>
      </c>
      <c r="G3" s="15"/>
      <c r="H3" s="11" t="str">
        <f t="shared" ref="H3:H66" si="0">"ADD " &amp; A3&amp;" "&amp;D3&amp;IF(E3="","","("&amp;E3&amp;")") &amp; ","</f>
        <v>ADD AntennaRedundantHorizontalMatlGrade varchar(100),</v>
      </c>
      <c r="I3" s="11" t="str">
        <f t="shared" ref="I3:I66" si="1">"Private _"&amp;A3&amp;" As "&amp;F3&amp;" " &amp;IF(G3,"?","")</f>
        <v xml:space="preserve">Private _AntennaRedundantHorizontalMatlGrade As String </v>
      </c>
      <c r="J3" s="12" t="str">
        <f t="shared" ref="J3:J66" si="2">"     		&lt;Category(""TNX Antenna Record""), Description(""""), DisplayName("""&amp;B3&amp;""")&gt;
    		&lt;DataMember()&gt; Public Property "&amp;A3&amp;"() As "&amp;F3 &amp;IF(G3,"?","") &amp;"
        			Get
            				Return Me._"&amp;A3&amp;"
        			End Get
        			Set
            				Me._"&amp;A3&amp;" = Value
        			End Set
    		End Property"</f>
        <v xml:space="preserve">     		&lt;Category("TNX Antenna Record"), Description(""), DisplayName("Antenna Redundant Horizontal Matl Grade")&gt;
    		&lt;DataMember()&gt; Public Property AntennaRedundantHorizontalMatlGrade() As String
        			Get
            				Return Me._AntennaRedundantHorizontalMatlGrade
        			End Get
        			Set
            				Me._AntennaRedundantHorizontalMatlGrade = Value
        			End Set
    		End Property</v>
      </c>
      <c r="K3" s="11" t="str">
        <f>"Me."&amp;A3&amp; " = " &amp; VLOOKUP(C3,Sheet8!A:D,4,FALSE)&amp;"(recRow.Item("""&amp;A3 &amp;""")" &amp; IF(C3="Number",",6","")&amp;")"</f>
        <v>Me.AntennaRedundantHorizontalMatlGrade = DBtoStr(recRow.Item("AntennaRedundantHorizontalMatlGrade"))</v>
      </c>
      <c r="L3" s="11" t="str">
        <f t="shared" ref="L3:L66" si="3">"insertString = insertString.AddtoDBString(Me."&amp;A3&amp;".ToString)"</f>
        <v>insertString = insertString.AddtoDBString(Me.AntennaRedundantHorizontalMatlGrade.ToString)</v>
      </c>
      <c r="M3" s="11" t="str">
        <f t="shared" ref="M3:M66" si="4">"Equals = If(Me."&amp;A3&amp;".CheckChange(otherToCompare."&amp;A3&amp;", changes, categoryName, """&amp;B3&amp;"""), Equals, False)"</f>
        <v>Equals = If(Me.AntennaRedundantHorizontalMatlGrade.CheckChange(otherToCompare.AntennaRedundantHorizontalMatlGrade, changes, categoryName, "Antenna Redundant Horizontal Matl Grade"), Equals, False)</v>
      </c>
      <c r="N3" s="12" t="str">
        <f t="shared" ref="N3:N66" si="5">" 	Case tnxVar.Equals("""&amp;A3&amp;""")
                            Try
                                Me.geometry.upperStructure(recIndex)."&amp;A3&amp;" = tnxValue
                            Catch ex As Exception
                                Debug.Print(""Error parsing TNX variable: "" &amp; tnxVar)
                            End Try"</f>
        <v xml:space="preserve"> 	Case tnxVar.Equals("AntennaRedundantHorizontalMatlGrade")
                            Try
                                Me.geometry.upperStructure(recIndex).AntennaRedundantHorizontalMatlGrade = tnxValue
                            Catch ex As Exception
                                Debug.Print("Error parsing TNX variable: " &amp; tnxVar)
                            End Try</v>
      </c>
      <c r="O3" s="12" t="str">
        <f t="shared" ref="O3:O66" si="6">IF(C3="String",
"If IsSomethingString(."&amp;A3&amp;") Then 'This field does not get saved when generated from CCIpole
newERIList.Add("""&amp;A3&amp;"="" &amp; ."&amp;A3&amp;")
End If",
IF(C3="Number",
"If Not IsNothing(Me.settings.USUnits.Strength.convertToERIUnits(."&amp;A3&amp;")) Then 'This field does not get saved when generated from CCIpole
                                newERIList.Add("""&amp;A3&amp;"="" &amp; Me.settings.USUnits.Strength.convertToERIUnits(."&amp;A3&amp;"))
                            End If",
"newERIList.Add("""&amp;A3&amp;"="" &amp; ."&amp;A3&amp;")"))</f>
        <v>If IsSomethingString(.AntennaRedundantHorizontalMatlGrade) Then 'This field does not get saved when generated from CCIpole
newERIList.Add("AntennaRedundantHorizontalMatlGrade=" &amp; .AntennaRedundantHorizontalMatlGrade)
End If</v>
      </c>
      <c r="P3" s="11" t="str">
        <f t="shared" ref="P3:P66" si="7">"SQLInsertValues = SQLInsertValues.AddtoDBString(Me."&amp;A3&amp;".NullableToString.FormatDBValue)"</f>
        <v>SQLInsertValues = SQLInsertValues.AddtoDBString(Me.AntennaRedundantHorizontalMatlGrade.NullableToString.FormatDBValue)</v>
      </c>
      <c r="Q3" s="11" t="str">
        <f t="shared" ref="Q3:Q66" si="8">"SQLInsertFields = SQLInsertFields.AddtoDBString("""&amp;A3&amp;""")"</f>
        <v>SQLInsertFields = SQLInsertFields.AddtoDBString("AntennaRedundantHorizontalMatlGrade")</v>
      </c>
      <c r="R3" s="11" t="str">
        <f t="shared" ref="R3:R66" si="9">"SQLUpdateFieldsandValues = SQLUpdateFieldsandValues.AddtoDBString("""&amp;A3&amp;" = "" &amp; Me."&amp;A3&amp;".NullableToString.FormatDBValue)"</f>
        <v>SQLUpdateFieldsandValues = SQLUpdateFieldsandValues.AddtoDBString("AntennaRedundantHorizontalMatlGrade = " &amp; Me.AntennaRedundantHorizontalMatlGrade.NullableToString.FormatDBValue)</v>
      </c>
      <c r="S3" s="10" t="s">
        <v>286</v>
      </c>
    </row>
    <row r="4" spans="1:19" ht="150" x14ac:dyDescent="0.25">
      <c r="A4" s="11" t="s">
        <v>1042</v>
      </c>
      <c r="B4" s="11" t="str" cm="1">
        <f t="array" ref="B4">Addspaces(A4)</f>
        <v>Antenna Redundant Horizontal Grade 2</v>
      </c>
      <c r="C4" s="15" t="s">
        <v>1225</v>
      </c>
      <c r="D4" s="13" t="str">
        <f>VLOOKUP(C4,Sheet8!A:C,2,FALSE)</f>
        <v>decimal(18, 6)</v>
      </c>
      <c r="E4" s="15"/>
      <c r="F4" s="13" t="str">
        <f>VLOOKUP(C4,Sheet8!A:C,3,FALSE)</f>
        <v>Double?</v>
      </c>
      <c r="G4" s="15" t="b">
        <v>1</v>
      </c>
      <c r="H4" s="11" t="str">
        <f t="shared" si="0"/>
        <v>ADD AntennaRedundantHorizontalGrade2 decimal(18, 6),</v>
      </c>
      <c r="I4" s="11" t="str">
        <f t="shared" si="1"/>
        <v>Private _AntennaRedundantHorizontalGrade2 As Double? ?</v>
      </c>
      <c r="J4" s="12" t="str">
        <f t="shared" si="2"/>
        <v xml:space="preserve">     		&lt;Category("TNX Antenna Record"), Description(""), DisplayName("Antenna Redundant Horizontal Grade 2")&gt;
    		&lt;DataMember()&gt; Public Property AntennaRedundantHorizontalGrade2() As Double??
        			Get
            				Return Me._AntennaRedundantHorizontalGrade2
        			End Get
        			Set
            				Me._AntennaRedundantHorizontalGrade2 = Value
        			End Set
    		End Property</v>
      </c>
      <c r="K4" s="11" t="str">
        <f>"Me."&amp;A4&amp; " = " &amp; VLOOKUP(C4,Sheet8!A:D,4,FALSE)&amp;"(recRow.Item("""&amp;A4 &amp;""")" &amp; IF(C4="Number",",6","")&amp;")"</f>
        <v>Me.AntennaRedundantHorizontalGrade2 = DBtoNullableDec(recRow.Item("AntennaRedundantHorizontalGrade2"),6)</v>
      </c>
      <c r="L4" s="11" t="str">
        <f t="shared" si="3"/>
        <v>insertString = insertString.AddtoDBString(Me.AntennaRedundantHorizontalGrade2.ToString)</v>
      </c>
      <c r="M4" s="11" t="str">
        <f t="shared" si="4"/>
        <v>Equals = If(Me.AntennaRedundantHorizontalGrade2.CheckChange(otherToCompare.AntennaRedundantHorizontalGrade2, changes, categoryName, "Antenna Redundant Horizontal Grade 2"), Equals, False)</v>
      </c>
      <c r="N4" s="12" t="str">
        <f t="shared" si="5"/>
        <v xml:space="preserve"> 	Case tnxVar.Equals("AntennaRedundantHorizontalGrade2")
                            Try
                                Me.geometry.upperStructure(recIndex).AntennaRedundantHorizontalGrade2 = tnxValue
                            Catch ex As Exception
                                Debug.Print("Error parsing TNX variable: " &amp; tnxVar)
                            End Try</v>
      </c>
      <c r="O4" s="12" t="str">
        <f t="shared" si="6"/>
        <v>If Not IsNothing(Me.settings.USUnits.Strength.convertToERIUnits(.AntennaRedundantHorizontalGrade2)) Then 'This field does not get saved when generated from CCIpole
                                newERIList.Add("AntennaRedundantHorizontalGrade2=" &amp; Me.settings.USUnits.Strength.convertToERIUnits(.AntennaRedundantHorizontalGrade2))
                            End If</v>
      </c>
      <c r="P4" s="11" t="str">
        <f t="shared" si="7"/>
        <v>SQLInsertValues = SQLInsertValues.AddtoDBString(Me.AntennaRedundantHorizontalGrade2.NullableToString.FormatDBValue)</v>
      </c>
      <c r="Q4" s="11" t="str">
        <f t="shared" si="8"/>
        <v>SQLInsertFields = SQLInsertFields.AddtoDBString("AntennaRedundantHorizontalGrade2")</v>
      </c>
      <c r="R4" s="11" t="str">
        <f t="shared" si="9"/>
        <v>SQLUpdateFieldsandValues = SQLUpdateFieldsandValues.AddtoDBString("AntennaRedundantHorizontalGrade2 = " &amp; Me.AntennaRedundantHorizontalGrade2.NullableToString.FormatDBValue)</v>
      </c>
      <c r="S4" s="10" t="s">
        <v>286</v>
      </c>
    </row>
    <row r="5" spans="1:19" ht="150" x14ac:dyDescent="0.25">
      <c r="A5" s="11" t="s">
        <v>1043</v>
      </c>
      <c r="B5" s="11" t="str" cm="1">
        <f t="array" ref="B5">Addspaces(A5)</f>
        <v>Antenna Redundant Horizontal Matl Grade 2</v>
      </c>
      <c r="C5" s="15" t="s">
        <v>1224</v>
      </c>
      <c r="D5" s="13" t="str">
        <f>VLOOKUP(C5,Sheet8!A:C,2,FALSE)</f>
        <v>varchar</v>
      </c>
      <c r="E5" s="15">
        <v>100</v>
      </c>
      <c r="F5" s="13" t="str">
        <f>VLOOKUP(C5,Sheet8!A:C,3,FALSE)</f>
        <v>String</v>
      </c>
      <c r="G5" s="15"/>
      <c r="H5" s="11" t="str">
        <f t="shared" si="0"/>
        <v>ADD AntennaRedundantHorizontalMatlGrade2 varchar(100),</v>
      </c>
      <c r="I5" s="11" t="str">
        <f t="shared" si="1"/>
        <v xml:space="preserve">Private _AntennaRedundantHorizontalMatlGrade2 As String </v>
      </c>
      <c r="J5" s="12" t="str">
        <f t="shared" si="2"/>
        <v xml:space="preserve">     		&lt;Category("TNX Antenna Record"), Description(""), DisplayName("Antenna Redundant Horizontal Matl Grade 2")&gt;
    		&lt;DataMember()&gt; Public Property AntennaRedundantHorizontalMatlGrade2() As String
        			Get
            				Return Me._AntennaRedundantHorizontalMatlGrade2
        			End Get
        			Set
            				Me._AntennaRedundantHorizontalMatlGrade2 = Value
        			End Set
    		End Property</v>
      </c>
      <c r="K5" s="11" t="str">
        <f>"Me."&amp;A5&amp; " = " &amp; VLOOKUP(C5,Sheet8!A:D,4,FALSE)&amp;"(recRow.Item("""&amp;A5 &amp;""")" &amp; IF(C5="Number",",6","")&amp;")"</f>
        <v>Me.AntennaRedundantHorizontalMatlGrade2 = DBtoStr(recRow.Item("AntennaRedundantHorizontalMatlGrade2"))</v>
      </c>
      <c r="L5" s="11" t="str">
        <f t="shared" si="3"/>
        <v>insertString = insertString.AddtoDBString(Me.AntennaRedundantHorizontalMatlGrade2.ToString)</v>
      </c>
      <c r="M5" s="11" t="str">
        <f t="shared" si="4"/>
        <v>Equals = If(Me.AntennaRedundantHorizontalMatlGrade2.CheckChange(otherToCompare.AntennaRedundantHorizontalMatlGrade2, changes, categoryName, "Antenna Redundant Horizontal Matl Grade 2"), Equals, False)</v>
      </c>
      <c r="N5" s="12" t="str">
        <f t="shared" si="5"/>
        <v xml:space="preserve"> 	Case tnxVar.Equals("AntennaRedundantHorizontalMatlGrade2")
                            Try
                                Me.geometry.upperStructure(recIndex).AntennaRedundantHorizontalMatlGrade2 = tnxValue
                            Catch ex As Exception
                                Debug.Print("Error parsing TNX variable: " &amp; tnxVar)
                            End Try</v>
      </c>
      <c r="O5" s="12" t="str">
        <f t="shared" si="6"/>
        <v>If IsSomethingString(.AntennaRedundantHorizontalMatlGrade2) Then 'This field does not get saved when generated from CCIpole
newERIList.Add("AntennaRedundantHorizontalMatlGrade2=" &amp; .AntennaRedundantHorizontalMatlGrade2)
End If</v>
      </c>
      <c r="P5" s="11" t="str">
        <f t="shared" si="7"/>
        <v>SQLInsertValues = SQLInsertValues.AddtoDBString(Me.AntennaRedundantHorizontalMatlGrade2.NullableToString.FormatDBValue)</v>
      </c>
      <c r="Q5" s="11" t="str">
        <f t="shared" si="8"/>
        <v>SQLInsertFields = SQLInsertFields.AddtoDBString("AntennaRedundantHorizontalMatlGrade2")</v>
      </c>
      <c r="R5" s="11" t="str">
        <f t="shared" si="9"/>
        <v>SQLUpdateFieldsandValues = SQLUpdateFieldsandValues.AddtoDBString("AntennaRedundantHorizontalMatlGrade2 = " &amp; Me.AntennaRedundantHorizontalMatlGrade2.NullableToString.FormatDBValue)</v>
      </c>
      <c r="S5" s="10" t="s">
        <v>286</v>
      </c>
    </row>
    <row r="6" spans="1:19" ht="150" x14ac:dyDescent="0.25">
      <c r="A6" s="11" t="s">
        <v>1044</v>
      </c>
      <c r="B6" s="11" t="str" cm="1">
        <f t="array" ref="B6">Addspaces(A6)</f>
        <v>Antenna Redundant Horizontal Grade 3</v>
      </c>
      <c r="C6" s="15" t="s">
        <v>1225</v>
      </c>
      <c r="D6" s="13" t="str">
        <f>VLOOKUP(C6,Sheet8!A:C,2,FALSE)</f>
        <v>decimal(18, 6)</v>
      </c>
      <c r="E6" s="15"/>
      <c r="F6" s="13" t="str">
        <f>VLOOKUP(C6,Sheet8!A:C,3,FALSE)</f>
        <v>Double?</v>
      </c>
      <c r="G6" s="15" t="b">
        <v>1</v>
      </c>
      <c r="H6" s="11" t="str">
        <f t="shared" si="0"/>
        <v>ADD AntennaRedundantHorizontalGrade3 decimal(18, 6),</v>
      </c>
      <c r="I6" s="11" t="str">
        <f t="shared" si="1"/>
        <v>Private _AntennaRedundantHorizontalGrade3 As Double? ?</v>
      </c>
      <c r="J6" s="12" t="str">
        <f t="shared" si="2"/>
        <v xml:space="preserve">     		&lt;Category("TNX Antenna Record"), Description(""), DisplayName("Antenna Redundant Horizontal Grade 3")&gt;
    		&lt;DataMember()&gt; Public Property AntennaRedundantHorizontalGrade3() As Double??
        			Get
            				Return Me._AntennaRedundantHorizontalGrade3
        			End Get
        			Set
            				Me._AntennaRedundantHorizontalGrade3 = Value
        			End Set
    		End Property</v>
      </c>
      <c r="K6" s="11" t="str">
        <f>"Me."&amp;A6&amp; " = " &amp; VLOOKUP(C6,Sheet8!A:D,4,FALSE)&amp;"(recRow.Item("""&amp;A6 &amp;""")" &amp; IF(C6="Number",",6","")&amp;")"</f>
        <v>Me.AntennaRedundantHorizontalGrade3 = DBtoNullableDec(recRow.Item("AntennaRedundantHorizontalGrade3"),6)</v>
      </c>
      <c r="L6" s="11" t="str">
        <f t="shared" si="3"/>
        <v>insertString = insertString.AddtoDBString(Me.AntennaRedundantHorizontalGrade3.ToString)</v>
      </c>
      <c r="M6" s="11" t="str">
        <f t="shared" si="4"/>
        <v>Equals = If(Me.AntennaRedundantHorizontalGrade3.CheckChange(otherToCompare.AntennaRedundantHorizontalGrade3, changes, categoryName, "Antenna Redundant Horizontal Grade 3"), Equals, False)</v>
      </c>
      <c r="N6" s="12" t="str">
        <f t="shared" si="5"/>
        <v xml:space="preserve"> 	Case tnxVar.Equals("AntennaRedundantHorizontalGrade3")
                            Try
                                Me.geometry.upperStructure(recIndex).AntennaRedundantHorizontalGrade3 = tnxValue
                            Catch ex As Exception
                                Debug.Print("Error parsing TNX variable: " &amp; tnxVar)
                            End Try</v>
      </c>
      <c r="O6" s="12" t="str">
        <f t="shared" si="6"/>
        <v>If Not IsNothing(Me.settings.USUnits.Strength.convertToERIUnits(.AntennaRedundantHorizontalGrade3)) Then 'This field does not get saved when generated from CCIpole
                                newERIList.Add("AntennaRedundantHorizontalGrade3=" &amp; Me.settings.USUnits.Strength.convertToERIUnits(.AntennaRedundantHorizontalGrade3))
                            End If</v>
      </c>
      <c r="P6" s="11" t="str">
        <f t="shared" si="7"/>
        <v>SQLInsertValues = SQLInsertValues.AddtoDBString(Me.AntennaRedundantHorizontalGrade3.NullableToString.FormatDBValue)</v>
      </c>
      <c r="Q6" s="11" t="str">
        <f t="shared" si="8"/>
        <v>SQLInsertFields = SQLInsertFields.AddtoDBString("AntennaRedundantHorizontalGrade3")</v>
      </c>
      <c r="R6" s="11" t="str">
        <f t="shared" si="9"/>
        <v>SQLUpdateFieldsandValues = SQLUpdateFieldsandValues.AddtoDBString("AntennaRedundantHorizontalGrade3 = " &amp; Me.AntennaRedundantHorizontalGrade3.NullableToString.FormatDBValue)</v>
      </c>
      <c r="S6" s="10" t="s">
        <v>286</v>
      </c>
    </row>
    <row r="7" spans="1:19" ht="150" x14ac:dyDescent="0.25">
      <c r="A7" s="11" t="s">
        <v>1045</v>
      </c>
      <c r="B7" s="11" t="str" cm="1">
        <f t="array" ref="B7">Addspaces(A7)</f>
        <v>Antenna Redundant Horizontal Matl Grade 3</v>
      </c>
      <c r="C7" s="15" t="s">
        <v>1224</v>
      </c>
      <c r="D7" s="13" t="str">
        <f>VLOOKUP(C7,Sheet8!A:C,2,FALSE)</f>
        <v>varchar</v>
      </c>
      <c r="E7" s="15">
        <v>100</v>
      </c>
      <c r="F7" s="13" t="str">
        <f>VLOOKUP(C7,Sheet8!A:C,3,FALSE)</f>
        <v>String</v>
      </c>
      <c r="G7" s="15"/>
      <c r="H7" s="11" t="str">
        <f t="shared" si="0"/>
        <v>ADD AntennaRedundantHorizontalMatlGrade3 varchar(100),</v>
      </c>
      <c r="I7" s="11" t="str">
        <f t="shared" si="1"/>
        <v xml:space="preserve">Private _AntennaRedundantHorizontalMatlGrade3 As String </v>
      </c>
      <c r="J7" s="12" t="str">
        <f t="shared" si="2"/>
        <v xml:space="preserve">     		&lt;Category("TNX Antenna Record"), Description(""), DisplayName("Antenna Redundant Horizontal Matl Grade 3")&gt;
    		&lt;DataMember()&gt; Public Property AntennaRedundantHorizontalMatlGrade3() As String
        			Get
            				Return Me._AntennaRedundantHorizontalMatlGrade3
        			End Get
        			Set
            				Me._AntennaRedundantHorizontalMatlGrade3 = Value
        			End Set
    		End Property</v>
      </c>
      <c r="K7" s="11" t="str">
        <f>"Me."&amp;A7&amp; " = " &amp; VLOOKUP(C7,Sheet8!A:D,4,FALSE)&amp;"(recRow.Item("""&amp;A7 &amp;""")" &amp; IF(C7="Number",",6","")&amp;")"</f>
        <v>Me.AntennaRedundantHorizontalMatlGrade3 = DBtoStr(recRow.Item("AntennaRedundantHorizontalMatlGrade3"))</v>
      </c>
      <c r="L7" s="11" t="str">
        <f t="shared" si="3"/>
        <v>insertString = insertString.AddtoDBString(Me.AntennaRedundantHorizontalMatlGrade3.ToString)</v>
      </c>
      <c r="M7" s="11" t="str">
        <f t="shared" si="4"/>
        <v>Equals = If(Me.AntennaRedundantHorizontalMatlGrade3.CheckChange(otherToCompare.AntennaRedundantHorizontalMatlGrade3, changes, categoryName, "Antenna Redundant Horizontal Matl Grade 3"), Equals, False)</v>
      </c>
      <c r="N7" s="12" t="str">
        <f t="shared" si="5"/>
        <v xml:space="preserve"> 	Case tnxVar.Equals("AntennaRedundantHorizontalMatlGrade3")
                            Try
                                Me.geometry.upperStructure(recIndex).AntennaRedundantHorizontalMatlGrade3 = tnxValue
                            Catch ex As Exception
                                Debug.Print("Error parsing TNX variable: " &amp; tnxVar)
                            End Try</v>
      </c>
      <c r="O7" s="12" t="str">
        <f t="shared" si="6"/>
        <v>If IsSomethingString(.AntennaRedundantHorizontalMatlGrade3) Then 'This field does not get saved when generated from CCIpole
newERIList.Add("AntennaRedundantHorizontalMatlGrade3=" &amp; .AntennaRedundantHorizontalMatlGrade3)
End If</v>
      </c>
      <c r="P7" s="11" t="str">
        <f t="shared" si="7"/>
        <v>SQLInsertValues = SQLInsertValues.AddtoDBString(Me.AntennaRedundantHorizontalMatlGrade3.NullableToString.FormatDBValue)</v>
      </c>
      <c r="Q7" s="11" t="str">
        <f t="shared" si="8"/>
        <v>SQLInsertFields = SQLInsertFields.AddtoDBString("AntennaRedundantHorizontalMatlGrade3")</v>
      </c>
      <c r="R7" s="11" t="str">
        <f t="shared" si="9"/>
        <v>SQLUpdateFieldsandValues = SQLUpdateFieldsandValues.AddtoDBString("AntennaRedundantHorizontalMatlGrade3 = " &amp; Me.AntennaRedundantHorizontalMatlGrade3.NullableToString.FormatDBValue)</v>
      </c>
      <c r="S7" s="10" t="s">
        <v>286</v>
      </c>
    </row>
    <row r="8" spans="1:19" ht="150" x14ac:dyDescent="0.25">
      <c r="A8" s="11" t="s">
        <v>1046</v>
      </c>
      <c r="B8" s="11" t="str" cm="1">
        <f t="array" ref="B8">Addspaces(A8)</f>
        <v>Antenna Redundant Horizontal Grade 4</v>
      </c>
      <c r="C8" s="15" t="s">
        <v>1225</v>
      </c>
      <c r="D8" s="13" t="str">
        <f>VLOOKUP(C8,Sheet8!A:C,2,FALSE)</f>
        <v>decimal(18, 6)</v>
      </c>
      <c r="E8" s="15"/>
      <c r="F8" s="13" t="str">
        <f>VLOOKUP(C8,Sheet8!A:C,3,FALSE)</f>
        <v>Double?</v>
      </c>
      <c r="G8" s="15" t="b">
        <v>1</v>
      </c>
      <c r="H8" s="11" t="str">
        <f t="shared" si="0"/>
        <v>ADD AntennaRedundantHorizontalGrade4 decimal(18, 6),</v>
      </c>
      <c r="I8" s="11" t="str">
        <f t="shared" si="1"/>
        <v>Private _AntennaRedundantHorizontalGrade4 As Double? ?</v>
      </c>
      <c r="J8" s="12" t="str">
        <f t="shared" si="2"/>
        <v xml:space="preserve">     		&lt;Category("TNX Antenna Record"), Description(""), DisplayName("Antenna Redundant Horizontal Grade 4")&gt;
    		&lt;DataMember()&gt; Public Property AntennaRedundantHorizontalGrade4() As Double??
        			Get
            				Return Me._AntennaRedundantHorizontalGrade4
        			End Get
        			Set
            				Me._AntennaRedundantHorizontalGrade4 = Value
        			End Set
    		End Property</v>
      </c>
      <c r="K8" s="11" t="str">
        <f>"Me."&amp;A8&amp; " = " &amp; VLOOKUP(C8,Sheet8!A:D,4,FALSE)&amp;"(recRow.Item("""&amp;A8 &amp;""")" &amp; IF(C8="Number",",6","")&amp;")"</f>
        <v>Me.AntennaRedundantHorizontalGrade4 = DBtoNullableDec(recRow.Item("AntennaRedundantHorizontalGrade4"),6)</v>
      </c>
      <c r="L8" s="11" t="str">
        <f t="shared" si="3"/>
        <v>insertString = insertString.AddtoDBString(Me.AntennaRedundantHorizontalGrade4.ToString)</v>
      </c>
      <c r="M8" s="11" t="str">
        <f t="shared" si="4"/>
        <v>Equals = If(Me.AntennaRedundantHorizontalGrade4.CheckChange(otherToCompare.AntennaRedundantHorizontalGrade4, changes, categoryName, "Antenna Redundant Horizontal Grade 4"), Equals, False)</v>
      </c>
      <c r="N8" s="12" t="str">
        <f t="shared" si="5"/>
        <v xml:space="preserve"> 	Case tnxVar.Equals("AntennaRedundantHorizontalGrade4")
                            Try
                                Me.geometry.upperStructure(recIndex).AntennaRedundantHorizontalGrade4 = tnxValue
                            Catch ex As Exception
                                Debug.Print("Error parsing TNX variable: " &amp; tnxVar)
                            End Try</v>
      </c>
      <c r="O8" s="12" t="str">
        <f t="shared" si="6"/>
        <v>If Not IsNothing(Me.settings.USUnits.Strength.convertToERIUnits(.AntennaRedundantHorizontalGrade4)) Then 'This field does not get saved when generated from CCIpole
                                newERIList.Add("AntennaRedundantHorizontalGrade4=" &amp; Me.settings.USUnits.Strength.convertToERIUnits(.AntennaRedundantHorizontalGrade4))
                            End If</v>
      </c>
      <c r="P8" s="11" t="str">
        <f t="shared" si="7"/>
        <v>SQLInsertValues = SQLInsertValues.AddtoDBString(Me.AntennaRedundantHorizontalGrade4.NullableToString.FormatDBValue)</v>
      </c>
      <c r="Q8" s="11" t="str">
        <f t="shared" si="8"/>
        <v>SQLInsertFields = SQLInsertFields.AddtoDBString("AntennaRedundantHorizontalGrade4")</v>
      </c>
      <c r="R8" s="11" t="str">
        <f t="shared" si="9"/>
        <v>SQLUpdateFieldsandValues = SQLUpdateFieldsandValues.AddtoDBString("AntennaRedundantHorizontalGrade4 = " &amp; Me.AntennaRedundantHorizontalGrade4.NullableToString.FormatDBValue)</v>
      </c>
      <c r="S8" s="10" t="s">
        <v>286</v>
      </c>
    </row>
    <row r="9" spans="1:19" ht="150" x14ac:dyDescent="0.25">
      <c r="A9" s="11" t="s">
        <v>1047</v>
      </c>
      <c r="B9" s="11" t="str" cm="1">
        <f t="array" ref="B9">Addspaces(A9)</f>
        <v>Antenna Redundant Horizontal Matl Grade 4</v>
      </c>
      <c r="C9" s="15" t="s">
        <v>1224</v>
      </c>
      <c r="D9" s="13" t="str">
        <f>VLOOKUP(C9,Sheet8!A:C,2,FALSE)</f>
        <v>varchar</v>
      </c>
      <c r="E9" s="15">
        <v>100</v>
      </c>
      <c r="F9" s="13" t="str">
        <f>VLOOKUP(C9,Sheet8!A:C,3,FALSE)</f>
        <v>String</v>
      </c>
      <c r="G9" s="15"/>
      <c r="H9" s="11" t="str">
        <f t="shared" si="0"/>
        <v>ADD AntennaRedundantHorizontalMatlGrade4 varchar(100),</v>
      </c>
      <c r="I9" s="11" t="str">
        <f t="shared" si="1"/>
        <v xml:space="preserve">Private _AntennaRedundantHorizontalMatlGrade4 As String </v>
      </c>
      <c r="J9" s="12" t="str">
        <f t="shared" si="2"/>
        <v xml:space="preserve">     		&lt;Category("TNX Antenna Record"), Description(""), DisplayName("Antenna Redundant Horizontal Matl Grade 4")&gt;
    		&lt;DataMember()&gt; Public Property AntennaRedundantHorizontalMatlGrade4() As String
        			Get
            				Return Me._AntennaRedundantHorizontalMatlGrade4
        			End Get
        			Set
            				Me._AntennaRedundantHorizontalMatlGrade4 = Value
        			End Set
    		End Property</v>
      </c>
      <c r="K9" s="11" t="str">
        <f>"Me."&amp;A9&amp; " = " &amp; VLOOKUP(C9,Sheet8!A:D,4,FALSE)&amp;"(recRow.Item("""&amp;A9 &amp;""")" &amp; IF(C9="Number",",6","")&amp;")"</f>
        <v>Me.AntennaRedundantHorizontalMatlGrade4 = DBtoStr(recRow.Item("AntennaRedundantHorizontalMatlGrade4"))</v>
      </c>
      <c r="L9" s="11" t="str">
        <f t="shared" si="3"/>
        <v>insertString = insertString.AddtoDBString(Me.AntennaRedundantHorizontalMatlGrade4.ToString)</v>
      </c>
      <c r="M9" s="11" t="str">
        <f t="shared" si="4"/>
        <v>Equals = If(Me.AntennaRedundantHorizontalMatlGrade4.CheckChange(otherToCompare.AntennaRedundantHorizontalMatlGrade4, changes, categoryName, "Antenna Redundant Horizontal Matl Grade 4"), Equals, False)</v>
      </c>
      <c r="N9" s="12" t="str">
        <f t="shared" si="5"/>
        <v xml:space="preserve"> 	Case tnxVar.Equals("AntennaRedundantHorizontalMatlGrade4")
                            Try
                                Me.geometry.upperStructure(recIndex).AntennaRedundantHorizontalMatlGrade4 = tnxValue
                            Catch ex As Exception
                                Debug.Print("Error parsing TNX variable: " &amp; tnxVar)
                            End Try</v>
      </c>
      <c r="O9" s="12" t="str">
        <f t="shared" si="6"/>
        <v>If IsSomethingString(.AntennaRedundantHorizontalMatlGrade4) Then 'This field does not get saved when generated from CCIpole
newERIList.Add("AntennaRedundantHorizontalMatlGrade4=" &amp; .AntennaRedundantHorizontalMatlGrade4)
End If</v>
      </c>
      <c r="P9" s="11" t="str">
        <f t="shared" si="7"/>
        <v>SQLInsertValues = SQLInsertValues.AddtoDBString(Me.AntennaRedundantHorizontalMatlGrade4.NullableToString.FormatDBValue)</v>
      </c>
      <c r="Q9" s="11" t="str">
        <f t="shared" si="8"/>
        <v>SQLInsertFields = SQLInsertFields.AddtoDBString("AntennaRedundantHorizontalMatlGrade4")</v>
      </c>
      <c r="R9" s="11" t="str">
        <f t="shared" si="9"/>
        <v>SQLUpdateFieldsandValues = SQLUpdateFieldsandValues.AddtoDBString("AntennaRedundantHorizontalMatlGrade4 = " &amp; Me.AntennaRedundantHorizontalMatlGrade4.NullableToString.FormatDBValue)</v>
      </c>
      <c r="S9" s="10" t="s">
        <v>286</v>
      </c>
    </row>
    <row r="10" spans="1:19" ht="150" x14ac:dyDescent="0.25">
      <c r="A10" s="11" t="s">
        <v>1048</v>
      </c>
      <c r="B10" s="11" t="str" cm="1">
        <f t="array" ref="B10">Addspaces(A10)</f>
        <v>Antenna Redundant Diagonal Grade</v>
      </c>
      <c r="C10" s="15" t="s">
        <v>1225</v>
      </c>
      <c r="D10" s="13" t="str">
        <f>VLOOKUP(C10,Sheet8!A:C,2,FALSE)</f>
        <v>decimal(18, 6)</v>
      </c>
      <c r="E10" s="15"/>
      <c r="F10" s="13" t="str">
        <f>VLOOKUP(C10,Sheet8!A:C,3,FALSE)</f>
        <v>Double?</v>
      </c>
      <c r="G10" s="15" t="b">
        <v>1</v>
      </c>
      <c r="H10" s="11" t="str">
        <f t="shared" si="0"/>
        <v>ADD AntennaRedundantDiagonalGrade decimal(18, 6),</v>
      </c>
      <c r="I10" s="11" t="str">
        <f t="shared" si="1"/>
        <v>Private _AntennaRedundantDiagonalGrade As Double? ?</v>
      </c>
      <c r="J10" s="12" t="str">
        <f t="shared" si="2"/>
        <v xml:space="preserve">     		&lt;Category("TNX Antenna Record"), Description(""), DisplayName("Antenna Redundant Diagonal Grade")&gt;
    		&lt;DataMember()&gt; Public Property AntennaRedundantDiagonalGrade() As Double??
        			Get
            				Return Me._AntennaRedundantDiagonalGrade
        			End Get
        			Set
            				Me._AntennaRedundantDiagonalGrade = Value
        			End Set
    		End Property</v>
      </c>
      <c r="K10" s="11" t="str">
        <f>"Me."&amp;A10&amp; " = " &amp; VLOOKUP(C10,Sheet8!A:D,4,FALSE)&amp;"(recRow.Item("""&amp;A10 &amp;""")" &amp; IF(C10="Number",",6","")&amp;")"</f>
        <v>Me.AntennaRedundantDiagonalGrade = DBtoNullableDec(recRow.Item("AntennaRedundantDiagonalGrade"),6)</v>
      </c>
      <c r="L10" s="11" t="str">
        <f t="shared" si="3"/>
        <v>insertString = insertString.AddtoDBString(Me.AntennaRedundantDiagonalGrade.ToString)</v>
      </c>
      <c r="M10" s="11" t="str">
        <f t="shared" si="4"/>
        <v>Equals = If(Me.AntennaRedundantDiagonalGrade.CheckChange(otherToCompare.AntennaRedundantDiagonalGrade, changes, categoryName, "Antenna Redundant Diagonal Grade"), Equals, False)</v>
      </c>
      <c r="N10" s="12" t="str">
        <f t="shared" si="5"/>
        <v xml:space="preserve"> 	Case tnxVar.Equals("AntennaRedundantDiagonalGrade")
                            Try
                                Me.geometry.upperStructure(recIndex).AntennaRedundantDiagonalGrade = tnxValue
                            Catch ex As Exception
                                Debug.Print("Error parsing TNX variable: " &amp; tnxVar)
                            End Try</v>
      </c>
      <c r="O10" s="12" t="str">
        <f t="shared" si="6"/>
        <v>If Not IsNothing(Me.settings.USUnits.Strength.convertToERIUnits(.AntennaRedundantDiagonalGrade)) Then 'This field does not get saved when generated from CCIpole
                                newERIList.Add("AntennaRedundantDiagonalGrade=" &amp; Me.settings.USUnits.Strength.convertToERIUnits(.AntennaRedundantDiagonalGrade))
                            End If</v>
      </c>
      <c r="P10" s="11" t="str">
        <f t="shared" si="7"/>
        <v>SQLInsertValues = SQLInsertValues.AddtoDBString(Me.AntennaRedundantDiagonalGrade.NullableToString.FormatDBValue)</v>
      </c>
      <c r="Q10" s="11" t="str">
        <f t="shared" si="8"/>
        <v>SQLInsertFields = SQLInsertFields.AddtoDBString("AntennaRedundantDiagonalGrade")</v>
      </c>
      <c r="R10" s="11" t="str">
        <f t="shared" si="9"/>
        <v>SQLUpdateFieldsandValues = SQLUpdateFieldsandValues.AddtoDBString("AntennaRedundantDiagonalGrade = " &amp; Me.AntennaRedundantDiagonalGrade.NullableToString.FormatDBValue)</v>
      </c>
      <c r="S10" s="10" t="s">
        <v>286</v>
      </c>
    </row>
    <row r="11" spans="1:19" ht="150" x14ac:dyDescent="0.25">
      <c r="A11" s="11" t="s">
        <v>1049</v>
      </c>
      <c r="B11" s="11" t="str" cm="1">
        <f t="array" ref="B11">Addspaces(A11)</f>
        <v>Antenna Redundant Diagonal Matl Grade</v>
      </c>
      <c r="C11" s="15" t="s">
        <v>1224</v>
      </c>
      <c r="D11" s="13" t="str">
        <f>VLOOKUP(C11,Sheet8!A:C,2,FALSE)</f>
        <v>varchar</v>
      </c>
      <c r="E11" s="15">
        <v>100</v>
      </c>
      <c r="F11" s="13" t="str">
        <f>VLOOKUP(C11,Sheet8!A:C,3,FALSE)</f>
        <v>String</v>
      </c>
      <c r="G11" s="15"/>
      <c r="H11" s="11" t="str">
        <f t="shared" si="0"/>
        <v>ADD AntennaRedundantDiagonalMatlGrade varchar(100),</v>
      </c>
      <c r="I11" s="11" t="str">
        <f t="shared" si="1"/>
        <v xml:space="preserve">Private _AntennaRedundantDiagonalMatlGrade As String </v>
      </c>
      <c r="J11" s="12" t="str">
        <f t="shared" si="2"/>
        <v xml:space="preserve">     		&lt;Category("TNX Antenna Record"), Description(""), DisplayName("Antenna Redundant Diagonal Matl Grade")&gt;
    		&lt;DataMember()&gt; Public Property AntennaRedundantDiagonalMatlGrade() As String
        			Get
            				Return Me._AntennaRedundantDiagonalMatlGrade
        			End Get
        			Set
            				Me._AntennaRedundantDiagonalMatlGrade = Value
        			End Set
    		End Property</v>
      </c>
      <c r="K11" s="11" t="str">
        <f>"Me."&amp;A11&amp; " = " &amp; VLOOKUP(C11,Sheet8!A:D,4,FALSE)&amp;"(recRow.Item("""&amp;A11 &amp;""")" &amp; IF(C11="Number",",6","")&amp;")"</f>
        <v>Me.AntennaRedundantDiagonalMatlGrade = DBtoStr(recRow.Item("AntennaRedundantDiagonalMatlGrade"))</v>
      </c>
      <c r="L11" s="11" t="str">
        <f t="shared" si="3"/>
        <v>insertString = insertString.AddtoDBString(Me.AntennaRedundantDiagonalMatlGrade.ToString)</v>
      </c>
      <c r="M11" s="11" t="str">
        <f t="shared" si="4"/>
        <v>Equals = If(Me.AntennaRedundantDiagonalMatlGrade.CheckChange(otherToCompare.AntennaRedundantDiagonalMatlGrade, changes, categoryName, "Antenna Redundant Diagonal Matl Grade"), Equals, False)</v>
      </c>
      <c r="N11" s="12" t="str">
        <f t="shared" si="5"/>
        <v xml:space="preserve"> 	Case tnxVar.Equals("AntennaRedundantDiagonalMatlGrade")
                            Try
                                Me.geometry.upperStructure(recIndex).AntennaRedundantDiagonalMatlGrade = tnxValue
                            Catch ex As Exception
                                Debug.Print("Error parsing TNX variable: " &amp; tnxVar)
                            End Try</v>
      </c>
      <c r="O11" s="12" t="str">
        <f t="shared" si="6"/>
        <v>If IsSomethingString(.AntennaRedundantDiagonalMatlGrade) Then 'This field does not get saved when generated from CCIpole
newERIList.Add("AntennaRedundantDiagonalMatlGrade=" &amp; .AntennaRedundantDiagonalMatlGrade)
End If</v>
      </c>
      <c r="P11" s="11" t="str">
        <f t="shared" si="7"/>
        <v>SQLInsertValues = SQLInsertValues.AddtoDBString(Me.AntennaRedundantDiagonalMatlGrade.NullableToString.FormatDBValue)</v>
      </c>
      <c r="Q11" s="11" t="str">
        <f t="shared" si="8"/>
        <v>SQLInsertFields = SQLInsertFields.AddtoDBString("AntennaRedundantDiagonalMatlGrade")</v>
      </c>
      <c r="R11" s="11" t="str">
        <f t="shared" si="9"/>
        <v>SQLUpdateFieldsandValues = SQLUpdateFieldsandValues.AddtoDBString("AntennaRedundantDiagonalMatlGrade = " &amp; Me.AntennaRedundantDiagonalMatlGrade.NullableToString.FormatDBValue)</v>
      </c>
      <c r="S11" s="10" t="s">
        <v>286</v>
      </c>
    </row>
    <row r="12" spans="1:19" ht="150" x14ac:dyDescent="0.25">
      <c r="A12" s="11" t="s">
        <v>1050</v>
      </c>
      <c r="B12" s="11" t="str" cm="1">
        <f t="array" ref="B12">Addspaces(A12)</f>
        <v>Antenna Redundant Diagonal Grade 2</v>
      </c>
      <c r="C12" s="15" t="s">
        <v>1225</v>
      </c>
      <c r="D12" s="13" t="str">
        <f>VLOOKUP(C12,Sheet8!A:C,2,FALSE)</f>
        <v>decimal(18, 6)</v>
      </c>
      <c r="E12" s="15"/>
      <c r="F12" s="13" t="str">
        <f>VLOOKUP(C12,Sheet8!A:C,3,FALSE)</f>
        <v>Double?</v>
      </c>
      <c r="G12" s="15" t="b">
        <v>1</v>
      </c>
      <c r="H12" s="11" t="str">
        <f t="shared" si="0"/>
        <v>ADD AntennaRedundantDiagonalGrade2 decimal(18, 6),</v>
      </c>
      <c r="I12" s="11" t="str">
        <f t="shared" si="1"/>
        <v>Private _AntennaRedundantDiagonalGrade2 As Double? ?</v>
      </c>
      <c r="J12" s="12" t="str">
        <f t="shared" si="2"/>
        <v xml:space="preserve">     		&lt;Category("TNX Antenna Record"), Description(""), DisplayName("Antenna Redundant Diagonal Grade 2")&gt;
    		&lt;DataMember()&gt; Public Property AntennaRedundantDiagonalGrade2() As Double??
        			Get
            				Return Me._AntennaRedundantDiagonalGrade2
        			End Get
        			Set
            				Me._AntennaRedundantDiagonalGrade2 = Value
        			End Set
    		End Property</v>
      </c>
      <c r="K12" s="11" t="str">
        <f>"Me."&amp;A12&amp; " = " &amp; VLOOKUP(C12,Sheet8!A:D,4,FALSE)&amp;"(recRow.Item("""&amp;A12 &amp;""")" &amp; IF(C12="Number",",6","")&amp;")"</f>
        <v>Me.AntennaRedundantDiagonalGrade2 = DBtoNullableDec(recRow.Item("AntennaRedundantDiagonalGrade2"),6)</v>
      </c>
      <c r="L12" s="11" t="str">
        <f t="shared" si="3"/>
        <v>insertString = insertString.AddtoDBString(Me.AntennaRedundantDiagonalGrade2.ToString)</v>
      </c>
      <c r="M12" s="11" t="str">
        <f t="shared" si="4"/>
        <v>Equals = If(Me.AntennaRedundantDiagonalGrade2.CheckChange(otherToCompare.AntennaRedundantDiagonalGrade2, changes, categoryName, "Antenna Redundant Diagonal Grade 2"), Equals, False)</v>
      </c>
      <c r="N12" s="12" t="str">
        <f t="shared" si="5"/>
        <v xml:space="preserve"> 	Case tnxVar.Equals("AntennaRedundantDiagonalGrade2")
                            Try
                                Me.geometry.upperStructure(recIndex).AntennaRedundantDiagonalGrade2 = tnxValue
                            Catch ex As Exception
                                Debug.Print("Error parsing TNX variable: " &amp; tnxVar)
                            End Try</v>
      </c>
      <c r="O12" s="12" t="str">
        <f t="shared" si="6"/>
        <v>If Not IsNothing(Me.settings.USUnits.Strength.convertToERIUnits(.AntennaRedundantDiagonalGrade2)) Then 'This field does not get saved when generated from CCIpole
                                newERIList.Add("AntennaRedundantDiagonalGrade2=" &amp; Me.settings.USUnits.Strength.convertToERIUnits(.AntennaRedundantDiagonalGrade2))
                            End If</v>
      </c>
      <c r="P12" s="11" t="str">
        <f t="shared" si="7"/>
        <v>SQLInsertValues = SQLInsertValues.AddtoDBString(Me.AntennaRedundantDiagonalGrade2.NullableToString.FormatDBValue)</v>
      </c>
      <c r="Q12" s="11" t="str">
        <f t="shared" si="8"/>
        <v>SQLInsertFields = SQLInsertFields.AddtoDBString("AntennaRedundantDiagonalGrade2")</v>
      </c>
      <c r="R12" s="11" t="str">
        <f t="shared" si="9"/>
        <v>SQLUpdateFieldsandValues = SQLUpdateFieldsandValues.AddtoDBString("AntennaRedundantDiagonalGrade2 = " &amp; Me.AntennaRedundantDiagonalGrade2.NullableToString.FormatDBValue)</v>
      </c>
      <c r="S12" s="10" t="s">
        <v>286</v>
      </c>
    </row>
    <row r="13" spans="1:19" ht="150" x14ac:dyDescent="0.25">
      <c r="A13" s="11" t="s">
        <v>1051</v>
      </c>
      <c r="B13" s="11" t="str" cm="1">
        <f t="array" ref="B13">Addspaces(A13)</f>
        <v>Antenna Redundant Diagonal Matl Grade 2</v>
      </c>
      <c r="C13" s="15" t="s">
        <v>1224</v>
      </c>
      <c r="D13" s="13" t="str">
        <f>VLOOKUP(C13,Sheet8!A:C,2,FALSE)</f>
        <v>varchar</v>
      </c>
      <c r="E13" s="15">
        <v>100</v>
      </c>
      <c r="F13" s="13" t="str">
        <f>VLOOKUP(C13,Sheet8!A:C,3,FALSE)</f>
        <v>String</v>
      </c>
      <c r="G13" s="15"/>
      <c r="H13" s="11" t="str">
        <f t="shared" si="0"/>
        <v>ADD AntennaRedundantDiagonalMatlGrade2 varchar(100),</v>
      </c>
      <c r="I13" s="11" t="str">
        <f t="shared" si="1"/>
        <v xml:space="preserve">Private _AntennaRedundantDiagonalMatlGrade2 As String </v>
      </c>
      <c r="J13" s="12" t="str">
        <f t="shared" si="2"/>
        <v xml:space="preserve">     		&lt;Category("TNX Antenna Record"), Description(""), DisplayName("Antenna Redundant Diagonal Matl Grade 2")&gt;
    		&lt;DataMember()&gt; Public Property AntennaRedundantDiagonalMatlGrade2() As String
        			Get
            				Return Me._AntennaRedundantDiagonalMatlGrade2
        			End Get
        			Set
            				Me._AntennaRedundantDiagonalMatlGrade2 = Value
        			End Set
    		End Property</v>
      </c>
      <c r="K13" s="11" t="str">
        <f>"Me."&amp;A13&amp; " = " &amp; VLOOKUP(C13,Sheet8!A:D,4,FALSE)&amp;"(recRow.Item("""&amp;A13 &amp;""")" &amp; IF(C13="Number",",6","")&amp;")"</f>
        <v>Me.AntennaRedundantDiagonalMatlGrade2 = DBtoStr(recRow.Item("AntennaRedundantDiagonalMatlGrade2"))</v>
      </c>
      <c r="L13" s="11" t="str">
        <f t="shared" si="3"/>
        <v>insertString = insertString.AddtoDBString(Me.AntennaRedundantDiagonalMatlGrade2.ToString)</v>
      </c>
      <c r="M13" s="11" t="str">
        <f t="shared" si="4"/>
        <v>Equals = If(Me.AntennaRedundantDiagonalMatlGrade2.CheckChange(otherToCompare.AntennaRedundantDiagonalMatlGrade2, changes, categoryName, "Antenna Redundant Diagonal Matl Grade 2"), Equals, False)</v>
      </c>
      <c r="N13" s="12" t="str">
        <f t="shared" si="5"/>
        <v xml:space="preserve"> 	Case tnxVar.Equals("AntennaRedundantDiagonalMatlGrade2")
                            Try
                                Me.geometry.upperStructure(recIndex).AntennaRedundantDiagonalMatlGrade2 = tnxValue
                            Catch ex As Exception
                                Debug.Print("Error parsing TNX variable: " &amp; tnxVar)
                            End Try</v>
      </c>
      <c r="O13" s="12" t="str">
        <f t="shared" si="6"/>
        <v>If IsSomethingString(.AntennaRedundantDiagonalMatlGrade2) Then 'This field does not get saved when generated from CCIpole
newERIList.Add("AntennaRedundantDiagonalMatlGrade2=" &amp; .AntennaRedundantDiagonalMatlGrade2)
End If</v>
      </c>
      <c r="P13" s="11" t="str">
        <f t="shared" si="7"/>
        <v>SQLInsertValues = SQLInsertValues.AddtoDBString(Me.AntennaRedundantDiagonalMatlGrade2.NullableToString.FormatDBValue)</v>
      </c>
      <c r="Q13" s="11" t="str">
        <f t="shared" si="8"/>
        <v>SQLInsertFields = SQLInsertFields.AddtoDBString("AntennaRedundantDiagonalMatlGrade2")</v>
      </c>
      <c r="R13" s="11" t="str">
        <f t="shared" si="9"/>
        <v>SQLUpdateFieldsandValues = SQLUpdateFieldsandValues.AddtoDBString("AntennaRedundantDiagonalMatlGrade2 = " &amp; Me.AntennaRedundantDiagonalMatlGrade2.NullableToString.FormatDBValue)</v>
      </c>
      <c r="S13" s="10" t="s">
        <v>286</v>
      </c>
    </row>
    <row r="14" spans="1:19" ht="150" x14ac:dyDescent="0.25">
      <c r="A14" s="11" t="s">
        <v>1052</v>
      </c>
      <c r="B14" s="11" t="str" cm="1">
        <f t="array" ref="B14">Addspaces(A14)</f>
        <v>Antenna Redundant Diagonal Grade 3</v>
      </c>
      <c r="C14" s="15" t="s">
        <v>1225</v>
      </c>
      <c r="D14" s="13" t="str">
        <f>VLOOKUP(C14,Sheet8!A:C,2,FALSE)</f>
        <v>decimal(18, 6)</v>
      </c>
      <c r="E14" s="15"/>
      <c r="F14" s="13" t="str">
        <f>VLOOKUP(C14,Sheet8!A:C,3,FALSE)</f>
        <v>Double?</v>
      </c>
      <c r="G14" s="15" t="b">
        <v>1</v>
      </c>
      <c r="H14" s="11" t="str">
        <f t="shared" si="0"/>
        <v>ADD AntennaRedundantDiagonalGrade3 decimal(18, 6),</v>
      </c>
      <c r="I14" s="11" t="str">
        <f t="shared" si="1"/>
        <v>Private _AntennaRedundantDiagonalGrade3 As Double? ?</v>
      </c>
      <c r="J14" s="12" t="str">
        <f t="shared" si="2"/>
        <v xml:space="preserve">     		&lt;Category("TNX Antenna Record"), Description(""), DisplayName("Antenna Redundant Diagonal Grade 3")&gt;
    		&lt;DataMember()&gt; Public Property AntennaRedundantDiagonalGrade3() As Double??
        			Get
            				Return Me._AntennaRedundantDiagonalGrade3
        			End Get
        			Set
            				Me._AntennaRedundantDiagonalGrade3 = Value
        			End Set
    		End Property</v>
      </c>
      <c r="K14" s="11" t="str">
        <f>"Me."&amp;A14&amp; " = " &amp; VLOOKUP(C14,Sheet8!A:D,4,FALSE)&amp;"(recRow.Item("""&amp;A14 &amp;""")" &amp; IF(C14="Number",",6","")&amp;")"</f>
        <v>Me.AntennaRedundantDiagonalGrade3 = DBtoNullableDec(recRow.Item("AntennaRedundantDiagonalGrade3"),6)</v>
      </c>
      <c r="L14" s="11" t="str">
        <f t="shared" si="3"/>
        <v>insertString = insertString.AddtoDBString(Me.AntennaRedundantDiagonalGrade3.ToString)</v>
      </c>
      <c r="M14" s="11" t="str">
        <f t="shared" si="4"/>
        <v>Equals = If(Me.AntennaRedundantDiagonalGrade3.CheckChange(otherToCompare.AntennaRedundantDiagonalGrade3, changes, categoryName, "Antenna Redundant Diagonal Grade 3"), Equals, False)</v>
      </c>
      <c r="N14" s="12" t="str">
        <f t="shared" si="5"/>
        <v xml:space="preserve"> 	Case tnxVar.Equals("AntennaRedundantDiagonalGrade3")
                            Try
                                Me.geometry.upperStructure(recIndex).AntennaRedundantDiagonalGrade3 = tnxValue
                            Catch ex As Exception
                                Debug.Print("Error parsing TNX variable: " &amp; tnxVar)
                            End Try</v>
      </c>
      <c r="O14" s="12" t="str">
        <f t="shared" si="6"/>
        <v>If Not IsNothing(Me.settings.USUnits.Strength.convertToERIUnits(.AntennaRedundantDiagonalGrade3)) Then 'This field does not get saved when generated from CCIpole
                                newERIList.Add("AntennaRedundantDiagonalGrade3=" &amp; Me.settings.USUnits.Strength.convertToERIUnits(.AntennaRedundantDiagonalGrade3))
                            End If</v>
      </c>
      <c r="P14" s="11" t="str">
        <f t="shared" si="7"/>
        <v>SQLInsertValues = SQLInsertValues.AddtoDBString(Me.AntennaRedundantDiagonalGrade3.NullableToString.FormatDBValue)</v>
      </c>
      <c r="Q14" s="11" t="str">
        <f t="shared" si="8"/>
        <v>SQLInsertFields = SQLInsertFields.AddtoDBString("AntennaRedundantDiagonalGrade3")</v>
      </c>
      <c r="R14" s="11" t="str">
        <f t="shared" si="9"/>
        <v>SQLUpdateFieldsandValues = SQLUpdateFieldsandValues.AddtoDBString("AntennaRedundantDiagonalGrade3 = " &amp; Me.AntennaRedundantDiagonalGrade3.NullableToString.FormatDBValue)</v>
      </c>
      <c r="S14" s="10" t="s">
        <v>286</v>
      </c>
    </row>
    <row r="15" spans="1:19" ht="150" x14ac:dyDescent="0.25">
      <c r="A15" s="11" t="s">
        <v>1053</v>
      </c>
      <c r="B15" s="11" t="str" cm="1">
        <f t="array" ref="B15">Addspaces(A15)</f>
        <v>Antenna Redundant Diagonal Matl Grade 3</v>
      </c>
      <c r="C15" s="15" t="s">
        <v>1224</v>
      </c>
      <c r="D15" s="13" t="str">
        <f>VLOOKUP(C15,Sheet8!A:C,2,FALSE)</f>
        <v>varchar</v>
      </c>
      <c r="E15" s="15">
        <v>100</v>
      </c>
      <c r="F15" s="13" t="str">
        <f>VLOOKUP(C15,Sheet8!A:C,3,FALSE)</f>
        <v>String</v>
      </c>
      <c r="G15" s="15"/>
      <c r="H15" s="11" t="str">
        <f t="shared" si="0"/>
        <v>ADD AntennaRedundantDiagonalMatlGrade3 varchar(100),</v>
      </c>
      <c r="I15" s="11" t="str">
        <f t="shared" si="1"/>
        <v xml:space="preserve">Private _AntennaRedundantDiagonalMatlGrade3 As String </v>
      </c>
      <c r="J15" s="12" t="str">
        <f t="shared" si="2"/>
        <v xml:space="preserve">     		&lt;Category("TNX Antenna Record"), Description(""), DisplayName("Antenna Redundant Diagonal Matl Grade 3")&gt;
    		&lt;DataMember()&gt; Public Property AntennaRedundantDiagonalMatlGrade3() As String
        			Get
            				Return Me._AntennaRedundantDiagonalMatlGrade3
        			End Get
        			Set
            				Me._AntennaRedundantDiagonalMatlGrade3 = Value
        			End Set
    		End Property</v>
      </c>
      <c r="K15" s="11" t="str">
        <f>"Me."&amp;A15&amp; " = " &amp; VLOOKUP(C15,Sheet8!A:D,4,FALSE)&amp;"(recRow.Item("""&amp;A15 &amp;""")" &amp; IF(C15="Number",",6","")&amp;")"</f>
        <v>Me.AntennaRedundantDiagonalMatlGrade3 = DBtoStr(recRow.Item("AntennaRedundantDiagonalMatlGrade3"))</v>
      </c>
      <c r="L15" s="11" t="str">
        <f t="shared" si="3"/>
        <v>insertString = insertString.AddtoDBString(Me.AntennaRedundantDiagonalMatlGrade3.ToString)</v>
      </c>
      <c r="M15" s="11" t="str">
        <f t="shared" si="4"/>
        <v>Equals = If(Me.AntennaRedundantDiagonalMatlGrade3.CheckChange(otherToCompare.AntennaRedundantDiagonalMatlGrade3, changes, categoryName, "Antenna Redundant Diagonal Matl Grade 3"), Equals, False)</v>
      </c>
      <c r="N15" s="12" t="str">
        <f t="shared" si="5"/>
        <v xml:space="preserve"> 	Case tnxVar.Equals("AntennaRedundantDiagonalMatlGrade3")
                            Try
                                Me.geometry.upperStructure(recIndex).AntennaRedundantDiagonalMatlGrade3 = tnxValue
                            Catch ex As Exception
                                Debug.Print("Error parsing TNX variable: " &amp; tnxVar)
                            End Try</v>
      </c>
      <c r="O15" s="12" t="str">
        <f t="shared" si="6"/>
        <v>If IsSomethingString(.AntennaRedundantDiagonalMatlGrade3) Then 'This field does not get saved when generated from CCIpole
newERIList.Add("AntennaRedundantDiagonalMatlGrade3=" &amp; .AntennaRedundantDiagonalMatlGrade3)
End If</v>
      </c>
      <c r="P15" s="11" t="str">
        <f t="shared" si="7"/>
        <v>SQLInsertValues = SQLInsertValues.AddtoDBString(Me.AntennaRedundantDiagonalMatlGrade3.NullableToString.FormatDBValue)</v>
      </c>
      <c r="Q15" s="11" t="str">
        <f t="shared" si="8"/>
        <v>SQLInsertFields = SQLInsertFields.AddtoDBString("AntennaRedundantDiagonalMatlGrade3")</v>
      </c>
      <c r="R15" s="11" t="str">
        <f t="shared" si="9"/>
        <v>SQLUpdateFieldsandValues = SQLUpdateFieldsandValues.AddtoDBString("AntennaRedundantDiagonalMatlGrade3 = " &amp; Me.AntennaRedundantDiagonalMatlGrade3.NullableToString.FormatDBValue)</v>
      </c>
      <c r="S15" s="10" t="s">
        <v>286</v>
      </c>
    </row>
    <row r="16" spans="1:19" ht="150" x14ac:dyDescent="0.25">
      <c r="A16" s="11" t="s">
        <v>1054</v>
      </c>
      <c r="B16" s="11" t="str" cm="1">
        <f t="array" ref="B16">Addspaces(A16)</f>
        <v>Antenna Redundant Diagonal Grade 4</v>
      </c>
      <c r="C16" s="15" t="s">
        <v>1225</v>
      </c>
      <c r="D16" s="13" t="str">
        <f>VLOOKUP(C16,Sheet8!A:C,2,FALSE)</f>
        <v>decimal(18, 6)</v>
      </c>
      <c r="E16" s="15"/>
      <c r="F16" s="13" t="str">
        <f>VLOOKUP(C16,Sheet8!A:C,3,FALSE)</f>
        <v>Double?</v>
      </c>
      <c r="G16" s="15" t="b">
        <v>1</v>
      </c>
      <c r="H16" s="11" t="str">
        <f t="shared" si="0"/>
        <v>ADD AntennaRedundantDiagonalGrade4 decimal(18, 6),</v>
      </c>
      <c r="I16" s="11" t="str">
        <f t="shared" si="1"/>
        <v>Private _AntennaRedundantDiagonalGrade4 As Double? ?</v>
      </c>
      <c r="J16" s="12" t="str">
        <f t="shared" si="2"/>
        <v xml:space="preserve">     		&lt;Category("TNX Antenna Record"), Description(""), DisplayName("Antenna Redundant Diagonal Grade 4")&gt;
    		&lt;DataMember()&gt; Public Property AntennaRedundantDiagonalGrade4() As Double??
        			Get
            				Return Me._AntennaRedundantDiagonalGrade4
        			End Get
        			Set
            				Me._AntennaRedundantDiagonalGrade4 = Value
        			End Set
    		End Property</v>
      </c>
      <c r="K16" s="11" t="str">
        <f>"Me."&amp;A16&amp; " = " &amp; VLOOKUP(C16,Sheet8!A:D,4,FALSE)&amp;"(recRow.Item("""&amp;A16 &amp;""")" &amp; IF(C16="Number",",6","")&amp;")"</f>
        <v>Me.AntennaRedundantDiagonalGrade4 = DBtoNullableDec(recRow.Item("AntennaRedundantDiagonalGrade4"),6)</v>
      </c>
      <c r="L16" s="11" t="str">
        <f t="shared" si="3"/>
        <v>insertString = insertString.AddtoDBString(Me.AntennaRedundantDiagonalGrade4.ToString)</v>
      </c>
      <c r="M16" s="11" t="str">
        <f t="shared" si="4"/>
        <v>Equals = If(Me.AntennaRedundantDiagonalGrade4.CheckChange(otherToCompare.AntennaRedundantDiagonalGrade4, changes, categoryName, "Antenna Redundant Diagonal Grade 4"), Equals, False)</v>
      </c>
      <c r="N16" s="12" t="str">
        <f t="shared" si="5"/>
        <v xml:space="preserve"> 	Case tnxVar.Equals("AntennaRedundantDiagonalGrade4")
                            Try
                                Me.geometry.upperStructure(recIndex).AntennaRedundantDiagonalGrade4 = tnxValue
                            Catch ex As Exception
                                Debug.Print("Error parsing TNX variable: " &amp; tnxVar)
                            End Try</v>
      </c>
      <c r="O16" s="12" t="str">
        <f t="shared" si="6"/>
        <v>If Not IsNothing(Me.settings.USUnits.Strength.convertToERIUnits(.AntennaRedundantDiagonalGrade4)) Then 'This field does not get saved when generated from CCIpole
                                newERIList.Add("AntennaRedundantDiagonalGrade4=" &amp; Me.settings.USUnits.Strength.convertToERIUnits(.AntennaRedundantDiagonalGrade4))
                            End If</v>
      </c>
      <c r="P16" s="11" t="str">
        <f t="shared" si="7"/>
        <v>SQLInsertValues = SQLInsertValues.AddtoDBString(Me.AntennaRedundantDiagonalGrade4.NullableToString.FormatDBValue)</v>
      </c>
      <c r="Q16" s="11" t="str">
        <f t="shared" si="8"/>
        <v>SQLInsertFields = SQLInsertFields.AddtoDBString("AntennaRedundantDiagonalGrade4")</v>
      </c>
      <c r="R16" s="11" t="str">
        <f t="shared" si="9"/>
        <v>SQLUpdateFieldsandValues = SQLUpdateFieldsandValues.AddtoDBString("AntennaRedundantDiagonalGrade4 = " &amp; Me.AntennaRedundantDiagonalGrade4.NullableToString.FormatDBValue)</v>
      </c>
      <c r="S16" s="10" t="s">
        <v>286</v>
      </c>
    </row>
    <row r="17" spans="1:19" ht="150" x14ac:dyDescent="0.25">
      <c r="A17" s="11" t="s">
        <v>1055</v>
      </c>
      <c r="B17" s="11" t="str" cm="1">
        <f t="array" ref="B17">Addspaces(A17)</f>
        <v>Antenna Redundant Diagonal Matl Grade 4</v>
      </c>
      <c r="C17" s="15" t="s">
        <v>1224</v>
      </c>
      <c r="D17" s="13" t="str">
        <f>VLOOKUP(C17,Sheet8!A:C,2,FALSE)</f>
        <v>varchar</v>
      </c>
      <c r="E17" s="15">
        <v>100</v>
      </c>
      <c r="F17" s="13" t="str">
        <f>VLOOKUP(C17,Sheet8!A:C,3,FALSE)</f>
        <v>String</v>
      </c>
      <c r="G17" s="15"/>
      <c r="H17" s="11" t="str">
        <f t="shared" si="0"/>
        <v>ADD AntennaRedundantDiagonalMatlGrade4 varchar(100),</v>
      </c>
      <c r="I17" s="11" t="str">
        <f t="shared" si="1"/>
        <v xml:space="preserve">Private _AntennaRedundantDiagonalMatlGrade4 As String </v>
      </c>
      <c r="J17" s="12" t="str">
        <f t="shared" si="2"/>
        <v xml:space="preserve">     		&lt;Category("TNX Antenna Record"), Description(""), DisplayName("Antenna Redundant Diagonal Matl Grade 4")&gt;
    		&lt;DataMember()&gt; Public Property AntennaRedundantDiagonalMatlGrade4() As String
        			Get
            				Return Me._AntennaRedundantDiagonalMatlGrade4
        			End Get
        			Set
            				Me._AntennaRedundantDiagonalMatlGrade4 = Value
        			End Set
    		End Property</v>
      </c>
      <c r="K17" s="11" t="str">
        <f>"Me."&amp;A17&amp; " = " &amp; VLOOKUP(C17,Sheet8!A:D,4,FALSE)&amp;"(recRow.Item("""&amp;A17 &amp;""")" &amp; IF(C17="Number",",6","")&amp;")"</f>
        <v>Me.AntennaRedundantDiagonalMatlGrade4 = DBtoStr(recRow.Item("AntennaRedundantDiagonalMatlGrade4"))</v>
      </c>
      <c r="L17" s="11" t="str">
        <f t="shared" si="3"/>
        <v>insertString = insertString.AddtoDBString(Me.AntennaRedundantDiagonalMatlGrade4.ToString)</v>
      </c>
      <c r="M17" s="11" t="str">
        <f t="shared" si="4"/>
        <v>Equals = If(Me.AntennaRedundantDiagonalMatlGrade4.CheckChange(otherToCompare.AntennaRedundantDiagonalMatlGrade4, changes, categoryName, "Antenna Redundant Diagonal Matl Grade 4"), Equals, False)</v>
      </c>
      <c r="N17" s="12" t="str">
        <f t="shared" si="5"/>
        <v xml:space="preserve"> 	Case tnxVar.Equals("AntennaRedundantDiagonalMatlGrade4")
                            Try
                                Me.geometry.upperStructure(recIndex).AntennaRedundantDiagonalMatlGrade4 = tnxValue
                            Catch ex As Exception
                                Debug.Print("Error parsing TNX variable: " &amp; tnxVar)
                            End Try</v>
      </c>
      <c r="O17" s="12" t="str">
        <f t="shared" si="6"/>
        <v>If IsSomethingString(.AntennaRedundantDiagonalMatlGrade4) Then 'This field does not get saved when generated from CCIpole
newERIList.Add("AntennaRedundantDiagonalMatlGrade4=" &amp; .AntennaRedundantDiagonalMatlGrade4)
End If</v>
      </c>
      <c r="P17" s="11" t="str">
        <f t="shared" si="7"/>
        <v>SQLInsertValues = SQLInsertValues.AddtoDBString(Me.AntennaRedundantDiagonalMatlGrade4.NullableToString.FormatDBValue)</v>
      </c>
      <c r="Q17" s="11" t="str">
        <f t="shared" si="8"/>
        <v>SQLInsertFields = SQLInsertFields.AddtoDBString("AntennaRedundantDiagonalMatlGrade4")</v>
      </c>
      <c r="R17" s="11" t="str">
        <f t="shared" si="9"/>
        <v>SQLUpdateFieldsandValues = SQLUpdateFieldsandValues.AddtoDBString("AntennaRedundantDiagonalMatlGrade4 = " &amp; Me.AntennaRedundantDiagonalMatlGrade4.NullableToString.FormatDBValue)</v>
      </c>
      <c r="S17" s="10" t="s">
        <v>286</v>
      </c>
    </row>
    <row r="18" spans="1:19" ht="150" x14ac:dyDescent="0.25">
      <c r="A18" s="11" t="s">
        <v>1056</v>
      </c>
      <c r="B18" s="11" t="str" cm="1">
        <f t="array" ref="B18">Addspaces(A18)</f>
        <v>Antenna Redundant Sub Horizontal Grade</v>
      </c>
      <c r="C18" s="15" t="s">
        <v>1225</v>
      </c>
      <c r="D18" s="13" t="str">
        <f>VLOOKUP(C18,Sheet8!A:C,2,FALSE)</f>
        <v>decimal(18, 6)</v>
      </c>
      <c r="E18" s="15"/>
      <c r="F18" s="13" t="str">
        <f>VLOOKUP(C18,Sheet8!A:C,3,FALSE)</f>
        <v>Double?</v>
      </c>
      <c r="G18" s="15" t="b">
        <v>1</v>
      </c>
      <c r="H18" s="11" t="str">
        <f t="shared" si="0"/>
        <v>ADD AntennaRedundantSubHorizontalGrade decimal(18, 6),</v>
      </c>
      <c r="I18" s="11" t="str">
        <f t="shared" si="1"/>
        <v>Private _AntennaRedundantSubHorizontalGrade As Double? ?</v>
      </c>
      <c r="J18" s="12" t="str">
        <f t="shared" si="2"/>
        <v xml:space="preserve">     		&lt;Category("TNX Antenna Record"), Description(""), DisplayName("Antenna Redundant Sub Horizontal Grade")&gt;
    		&lt;DataMember()&gt; Public Property AntennaRedundantSubHorizontalGrade() As Double??
        			Get
            				Return Me._AntennaRedundantSubHorizontalGrade
        			End Get
        			Set
            				Me._AntennaRedundantSubHorizontalGrade = Value
        			End Set
    		End Property</v>
      </c>
      <c r="K18" s="11" t="str">
        <f>"Me."&amp;A18&amp; " = " &amp; VLOOKUP(C18,Sheet8!A:D,4,FALSE)&amp;"(recRow.Item("""&amp;A18 &amp;""")" &amp; IF(C18="Number",",6","")&amp;")"</f>
        <v>Me.AntennaRedundantSubHorizontalGrade = DBtoNullableDec(recRow.Item("AntennaRedundantSubHorizontalGrade"),6)</v>
      </c>
      <c r="L18" s="11" t="str">
        <f t="shared" si="3"/>
        <v>insertString = insertString.AddtoDBString(Me.AntennaRedundantSubHorizontalGrade.ToString)</v>
      </c>
      <c r="M18" s="11" t="str">
        <f t="shared" si="4"/>
        <v>Equals = If(Me.AntennaRedundantSubHorizontalGrade.CheckChange(otherToCompare.AntennaRedundantSubHorizontalGrade, changes, categoryName, "Antenna Redundant Sub Horizontal Grade"), Equals, False)</v>
      </c>
      <c r="N18" s="12" t="str">
        <f t="shared" si="5"/>
        <v xml:space="preserve"> 	Case tnxVar.Equals("AntennaRedundantSubHorizontalGrade")
                            Try
                                Me.geometry.upperStructure(recIndex).AntennaRedundantSubHorizontalGrade = tnxValue
                            Catch ex As Exception
                                Debug.Print("Error parsing TNX variable: " &amp; tnxVar)
                            End Try</v>
      </c>
      <c r="O18" s="12" t="str">
        <f t="shared" si="6"/>
        <v>If Not IsNothing(Me.settings.USUnits.Strength.convertToERIUnits(.AntennaRedundantSubHorizontalGrade)) Then 'This field does not get saved when generated from CCIpole
                                newERIList.Add("AntennaRedundantSubHorizontalGrade=" &amp; Me.settings.USUnits.Strength.convertToERIUnits(.AntennaRedundantSubHorizontalGrade))
                            End If</v>
      </c>
      <c r="P18" s="11" t="str">
        <f t="shared" si="7"/>
        <v>SQLInsertValues = SQLInsertValues.AddtoDBString(Me.AntennaRedundantSubHorizontalGrade.NullableToString.FormatDBValue)</v>
      </c>
      <c r="Q18" s="11" t="str">
        <f t="shared" si="8"/>
        <v>SQLInsertFields = SQLInsertFields.AddtoDBString("AntennaRedundantSubHorizontalGrade")</v>
      </c>
      <c r="R18" s="11" t="str">
        <f t="shared" si="9"/>
        <v>SQLUpdateFieldsandValues = SQLUpdateFieldsandValues.AddtoDBString("AntennaRedundantSubHorizontalGrade = " &amp; Me.AntennaRedundantSubHorizontalGrade.NullableToString.FormatDBValue)</v>
      </c>
      <c r="S18" s="10" t="s">
        <v>286</v>
      </c>
    </row>
    <row r="19" spans="1:19" ht="165" x14ac:dyDescent="0.25">
      <c r="A19" s="11" t="s">
        <v>1057</v>
      </c>
      <c r="B19" s="11" t="str" cm="1">
        <f t="array" ref="B19">Addspaces(A19)</f>
        <v>Antenna Redundant Sub Horizontal Matl Grade</v>
      </c>
      <c r="C19" s="15" t="s">
        <v>1224</v>
      </c>
      <c r="D19" s="13" t="str">
        <f>VLOOKUP(C19,Sheet8!A:C,2,FALSE)</f>
        <v>varchar</v>
      </c>
      <c r="E19" s="15">
        <v>100</v>
      </c>
      <c r="F19" s="13" t="str">
        <f>VLOOKUP(C19,Sheet8!A:C,3,FALSE)</f>
        <v>String</v>
      </c>
      <c r="G19" s="15"/>
      <c r="H19" s="11" t="str">
        <f t="shared" si="0"/>
        <v>ADD AntennaRedundantSubHorizontalMatlGrade varchar(100),</v>
      </c>
      <c r="I19" s="11" t="str">
        <f t="shared" si="1"/>
        <v xml:space="preserve">Private _AntennaRedundantSubHorizontalMatlGrade As String </v>
      </c>
      <c r="J19" s="12" t="str">
        <f t="shared" si="2"/>
        <v xml:space="preserve">     		&lt;Category("TNX Antenna Record"), Description(""), DisplayName("Antenna Redundant Sub Horizontal Matl Grade")&gt;
    		&lt;DataMember()&gt; Public Property AntennaRedundantSubHorizontalMatlGrade() As String
        			Get
            				Return Me._AntennaRedundantSubHorizontalMatlGrade
        			End Get
        			Set
            				Me._AntennaRedundantSubHorizontalMatlGrade = Value
        			End Set
    		End Property</v>
      </c>
      <c r="K19" s="11" t="str">
        <f>"Me."&amp;A19&amp; " = " &amp; VLOOKUP(C19,Sheet8!A:D,4,FALSE)&amp;"(recRow.Item("""&amp;A19 &amp;""")" &amp; IF(C19="Number",",6","")&amp;")"</f>
        <v>Me.AntennaRedundantSubHorizontalMatlGrade = DBtoStr(recRow.Item("AntennaRedundantSubHorizontalMatlGrade"))</v>
      </c>
      <c r="L19" s="11" t="str">
        <f t="shared" si="3"/>
        <v>insertString = insertString.AddtoDBString(Me.AntennaRedundantSubHorizontalMatlGrade.ToString)</v>
      </c>
      <c r="M19" s="11" t="str">
        <f t="shared" si="4"/>
        <v>Equals = If(Me.AntennaRedundantSubHorizontalMatlGrade.CheckChange(otherToCompare.AntennaRedundantSubHorizontalMatlGrade, changes, categoryName, "Antenna Redundant Sub Horizontal Matl Grade"), Equals, False)</v>
      </c>
      <c r="N19" s="12" t="str">
        <f t="shared" si="5"/>
        <v xml:space="preserve"> 	Case tnxVar.Equals("AntennaRedundantSubHorizontalMatlGrade")
                            Try
                                Me.geometry.upperStructure(recIndex).AntennaRedundantSubHorizontalMatlGrade = tnxValue
                            Catch ex As Exception
                                Debug.Print("Error parsing TNX variable: " &amp; tnxVar)
                            End Try</v>
      </c>
      <c r="O19" s="12" t="str">
        <f t="shared" si="6"/>
        <v>If IsSomethingString(.AntennaRedundantSubHorizontalMatlGrade) Then 'This field does not get saved when generated from CCIpole
newERIList.Add("AntennaRedundantSubHorizontalMatlGrade=" &amp; .AntennaRedundantSubHorizontalMatlGrade)
End If</v>
      </c>
      <c r="P19" s="11" t="str">
        <f t="shared" si="7"/>
        <v>SQLInsertValues = SQLInsertValues.AddtoDBString(Me.AntennaRedundantSubHorizontalMatlGrade.NullableToString.FormatDBValue)</v>
      </c>
      <c r="Q19" s="11" t="str">
        <f t="shared" si="8"/>
        <v>SQLInsertFields = SQLInsertFields.AddtoDBString("AntennaRedundantSubHorizontalMatlGrade")</v>
      </c>
      <c r="R19" s="11" t="str">
        <f t="shared" si="9"/>
        <v>SQLUpdateFieldsandValues = SQLUpdateFieldsandValues.AddtoDBString("AntennaRedundantSubHorizontalMatlGrade = " &amp; Me.AntennaRedundantSubHorizontalMatlGrade.NullableToString.FormatDBValue)</v>
      </c>
      <c r="S19" s="10" t="s">
        <v>286</v>
      </c>
    </row>
    <row r="20" spans="1:19" ht="150" x14ac:dyDescent="0.25">
      <c r="A20" s="11" t="s">
        <v>1058</v>
      </c>
      <c r="B20" s="11" t="str" cm="1">
        <f t="array" ref="B20">Addspaces(A20)</f>
        <v>Antenna Redundant Sub Diagonal Grade</v>
      </c>
      <c r="C20" s="15" t="s">
        <v>1225</v>
      </c>
      <c r="D20" s="13" t="str">
        <f>VLOOKUP(C20,Sheet8!A:C,2,FALSE)</f>
        <v>decimal(18, 6)</v>
      </c>
      <c r="E20" s="15"/>
      <c r="F20" s="13" t="str">
        <f>VLOOKUP(C20,Sheet8!A:C,3,FALSE)</f>
        <v>Double?</v>
      </c>
      <c r="G20" s="15" t="b">
        <v>1</v>
      </c>
      <c r="H20" s="11" t="str">
        <f t="shared" si="0"/>
        <v>ADD AntennaRedundantSubDiagonalGrade decimal(18, 6),</v>
      </c>
      <c r="I20" s="11" t="str">
        <f t="shared" si="1"/>
        <v>Private _AntennaRedundantSubDiagonalGrade As Double? ?</v>
      </c>
      <c r="J20" s="12" t="str">
        <f t="shared" si="2"/>
        <v xml:space="preserve">     		&lt;Category("TNX Antenna Record"), Description(""), DisplayName("Antenna Redundant Sub Diagonal Grade")&gt;
    		&lt;DataMember()&gt; Public Property AntennaRedundantSubDiagonalGrade() As Double??
        			Get
            				Return Me._AntennaRedundantSubDiagonalGrade
        			End Get
        			Set
            				Me._AntennaRedundantSubDiagonalGrade = Value
        			End Set
    		End Property</v>
      </c>
      <c r="K20" s="11" t="str">
        <f>"Me."&amp;A20&amp; " = " &amp; VLOOKUP(C20,Sheet8!A:D,4,FALSE)&amp;"(recRow.Item("""&amp;A20 &amp;""")" &amp; IF(C20="Number",",6","")&amp;")"</f>
        <v>Me.AntennaRedundantSubDiagonalGrade = DBtoNullableDec(recRow.Item("AntennaRedundantSubDiagonalGrade"),6)</v>
      </c>
      <c r="L20" s="11" t="str">
        <f t="shared" si="3"/>
        <v>insertString = insertString.AddtoDBString(Me.AntennaRedundantSubDiagonalGrade.ToString)</v>
      </c>
      <c r="M20" s="11" t="str">
        <f t="shared" si="4"/>
        <v>Equals = If(Me.AntennaRedundantSubDiagonalGrade.CheckChange(otherToCompare.AntennaRedundantSubDiagonalGrade, changes, categoryName, "Antenna Redundant Sub Diagonal Grade"), Equals, False)</v>
      </c>
      <c r="N20" s="12" t="str">
        <f t="shared" si="5"/>
        <v xml:space="preserve"> 	Case tnxVar.Equals("AntennaRedundantSubDiagonalGrade")
                            Try
                                Me.geometry.upperStructure(recIndex).AntennaRedundantSubDiagonalGrade = tnxValue
                            Catch ex As Exception
                                Debug.Print("Error parsing TNX variable: " &amp; tnxVar)
                            End Try</v>
      </c>
      <c r="O20" s="12" t="str">
        <f t="shared" si="6"/>
        <v>If Not IsNothing(Me.settings.USUnits.Strength.convertToERIUnits(.AntennaRedundantSubDiagonalGrade)) Then 'This field does not get saved when generated from CCIpole
                                newERIList.Add("AntennaRedundantSubDiagonalGrade=" &amp; Me.settings.USUnits.Strength.convertToERIUnits(.AntennaRedundantSubDiagonalGrade))
                            End If</v>
      </c>
      <c r="P20" s="11" t="str">
        <f t="shared" si="7"/>
        <v>SQLInsertValues = SQLInsertValues.AddtoDBString(Me.AntennaRedundantSubDiagonalGrade.NullableToString.FormatDBValue)</v>
      </c>
      <c r="Q20" s="11" t="str">
        <f t="shared" si="8"/>
        <v>SQLInsertFields = SQLInsertFields.AddtoDBString("AntennaRedundantSubDiagonalGrade")</v>
      </c>
      <c r="R20" s="11" t="str">
        <f t="shared" si="9"/>
        <v>SQLUpdateFieldsandValues = SQLUpdateFieldsandValues.AddtoDBString("AntennaRedundantSubDiagonalGrade = " &amp; Me.AntennaRedundantSubDiagonalGrade.NullableToString.FormatDBValue)</v>
      </c>
      <c r="S20" s="10" t="s">
        <v>286</v>
      </c>
    </row>
    <row r="21" spans="1:19" ht="150" x14ac:dyDescent="0.25">
      <c r="A21" s="11" t="s">
        <v>1059</v>
      </c>
      <c r="B21" s="11" t="str" cm="1">
        <f t="array" ref="B21">Addspaces(A21)</f>
        <v>Antenna Redundant Sub Diagonal Matl Grade</v>
      </c>
      <c r="C21" s="15" t="s">
        <v>1224</v>
      </c>
      <c r="D21" s="13" t="str">
        <f>VLOOKUP(C21,Sheet8!A:C,2,FALSE)</f>
        <v>varchar</v>
      </c>
      <c r="E21" s="15">
        <v>100</v>
      </c>
      <c r="F21" s="13" t="str">
        <f>VLOOKUP(C21,Sheet8!A:C,3,FALSE)</f>
        <v>String</v>
      </c>
      <c r="G21" s="15"/>
      <c r="H21" s="11" t="str">
        <f t="shared" si="0"/>
        <v>ADD AntennaRedundantSubDiagonalMatlGrade varchar(100),</v>
      </c>
      <c r="I21" s="11" t="str">
        <f t="shared" si="1"/>
        <v xml:space="preserve">Private _AntennaRedundantSubDiagonalMatlGrade As String </v>
      </c>
      <c r="J21" s="12" t="str">
        <f t="shared" si="2"/>
        <v xml:space="preserve">     		&lt;Category("TNX Antenna Record"), Description(""), DisplayName("Antenna Redundant Sub Diagonal Matl Grade")&gt;
    		&lt;DataMember()&gt; Public Property AntennaRedundantSubDiagonalMatlGrade() As String
        			Get
            				Return Me._AntennaRedundantSubDiagonalMatlGrade
        			End Get
        			Set
            				Me._AntennaRedundantSubDiagonalMatlGrade = Value
        			End Set
    		End Property</v>
      </c>
      <c r="K21" s="11" t="str">
        <f>"Me."&amp;A21&amp; " = " &amp; VLOOKUP(C21,Sheet8!A:D,4,FALSE)&amp;"(recRow.Item("""&amp;A21 &amp;""")" &amp; IF(C21="Number",",6","")&amp;")"</f>
        <v>Me.AntennaRedundantSubDiagonalMatlGrade = DBtoStr(recRow.Item("AntennaRedundantSubDiagonalMatlGrade"))</v>
      </c>
      <c r="L21" s="11" t="str">
        <f t="shared" si="3"/>
        <v>insertString = insertString.AddtoDBString(Me.AntennaRedundantSubDiagonalMatlGrade.ToString)</v>
      </c>
      <c r="M21" s="11" t="str">
        <f t="shared" si="4"/>
        <v>Equals = If(Me.AntennaRedundantSubDiagonalMatlGrade.CheckChange(otherToCompare.AntennaRedundantSubDiagonalMatlGrade, changes, categoryName, "Antenna Redundant Sub Diagonal Matl Grade"), Equals, False)</v>
      </c>
      <c r="N21" s="12" t="str">
        <f t="shared" si="5"/>
        <v xml:space="preserve"> 	Case tnxVar.Equals("AntennaRedundantSubDiagonalMatlGrade")
                            Try
                                Me.geometry.upperStructure(recIndex).AntennaRedundantSubDiagonalMatlGrade = tnxValue
                            Catch ex As Exception
                                Debug.Print("Error parsing TNX variable: " &amp; tnxVar)
                            End Try</v>
      </c>
      <c r="O21" s="12" t="str">
        <f t="shared" si="6"/>
        <v>If IsSomethingString(.AntennaRedundantSubDiagonalMatlGrade) Then 'This field does not get saved when generated from CCIpole
newERIList.Add("AntennaRedundantSubDiagonalMatlGrade=" &amp; .AntennaRedundantSubDiagonalMatlGrade)
End If</v>
      </c>
      <c r="P21" s="11" t="str">
        <f t="shared" si="7"/>
        <v>SQLInsertValues = SQLInsertValues.AddtoDBString(Me.AntennaRedundantSubDiagonalMatlGrade.NullableToString.FormatDBValue)</v>
      </c>
      <c r="Q21" s="11" t="str">
        <f t="shared" si="8"/>
        <v>SQLInsertFields = SQLInsertFields.AddtoDBString("AntennaRedundantSubDiagonalMatlGrade")</v>
      </c>
      <c r="R21" s="11" t="str">
        <f t="shared" si="9"/>
        <v>SQLUpdateFieldsandValues = SQLUpdateFieldsandValues.AddtoDBString("AntennaRedundantSubDiagonalMatlGrade = " &amp; Me.AntennaRedundantSubDiagonalMatlGrade.NullableToString.FormatDBValue)</v>
      </c>
      <c r="S21" s="10" t="s">
        <v>286</v>
      </c>
    </row>
    <row r="22" spans="1:19" ht="150" x14ac:dyDescent="0.25">
      <c r="A22" s="11" t="s">
        <v>1060</v>
      </c>
      <c r="B22" s="11" t="str" cm="1">
        <f t="array" ref="B22">Addspaces(A22)</f>
        <v>Antenna Redundant Vertical Grade</v>
      </c>
      <c r="C22" s="15" t="s">
        <v>1225</v>
      </c>
      <c r="D22" s="13" t="str">
        <f>VLOOKUP(C22,Sheet8!A:C,2,FALSE)</f>
        <v>decimal(18, 6)</v>
      </c>
      <c r="E22" s="15"/>
      <c r="F22" s="13" t="str">
        <f>VLOOKUP(C22,Sheet8!A:C,3,FALSE)</f>
        <v>Double?</v>
      </c>
      <c r="G22" s="15" t="b">
        <v>1</v>
      </c>
      <c r="H22" s="11" t="str">
        <f t="shared" si="0"/>
        <v>ADD AntennaRedundantVerticalGrade decimal(18, 6),</v>
      </c>
      <c r="I22" s="11" t="str">
        <f t="shared" si="1"/>
        <v>Private _AntennaRedundantVerticalGrade As Double? ?</v>
      </c>
      <c r="J22" s="12" t="str">
        <f t="shared" si="2"/>
        <v xml:space="preserve">     		&lt;Category("TNX Antenna Record"), Description(""), DisplayName("Antenna Redundant Vertical Grade")&gt;
    		&lt;DataMember()&gt; Public Property AntennaRedundantVerticalGrade() As Double??
        			Get
            				Return Me._AntennaRedundantVerticalGrade
        			End Get
        			Set
            				Me._AntennaRedundantVerticalGrade = Value
        			End Set
    		End Property</v>
      </c>
      <c r="K22" s="11" t="str">
        <f>"Me."&amp;A22&amp; " = " &amp; VLOOKUP(C22,Sheet8!A:D,4,FALSE)&amp;"(recRow.Item("""&amp;A22 &amp;""")" &amp; IF(C22="Number",",6","")&amp;")"</f>
        <v>Me.AntennaRedundantVerticalGrade = DBtoNullableDec(recRow.Item("AntennaRedundantVerticalGrade"),6)</v>
      </c>
      <c r="L22" s="11" t="str">
        <f t="shared" si="3"/>
        <v>insertString = insertString.AddtoDBString(Me.AntennaRedundantVerticalGrade.ToString)</v>
      </c>
      <c r="M22" s="11" t="str">
        <f t="shared" si="4"/>
        <v>Equals = If(Me.AntennaRedundantVerticalGrade.CheckChange(otherToCompare.AntennaRedundantVerticalGrade, changes, categoryName, "Antenna Redundant Vertical Grade"), Equals, False)</v>
      </c>
      <c r="N22" s="12" t="str">
        <f t="shared" si="5"/>
        <v xml:space="preserve"> 	Case tnxVar.Equals("AntennaRedundantVerticalGrade")
                            Try
                                Me.geometry.upperStructure(recIndex).AntennaRedundantVerticalGrade = tnxValue
                            Catch ex As Exception
                                Debug.Print("Error parsing TNX variable: " &amp; tnxVar)
                            End Try</v>
      </c>
      <c r="O22" s="12" t="str">
        <f t="shared" si="6"/>
        <v>If Not IsNothing(Me.settings.USUnits.Strength.convertToERIUnits(.AntennaRedundantVerticalGrade)) Then 'This field does not get saved when generated from CCIpole
                                newERIList.Add("AntennaRedundantVerticalGrade=" &amp; Me.settings.USUnits.Strength.convertToERIUnits(.AntennaRedundantVerticalGrade))
                            End If</v>
      </c>
      <c r="P22" s="11" t="str">
        <f t="shared" si="7"/>
        <v>SQLInsertValues = SQLInsertValues.AddtoDBString(Me.AntennaRedundantVerticalGrade.NullableToString.FormatDBValue)</v>
      </c>
      <c r="Q22" s="11" t="str">
        <f t="shared" si="8"/>
        <v>SQLInsertFields = SQLInsertFields.AddtoDBString("AntennaRedundantVerticalGrade")</v>
      </c>
      <c r="R22" s="11" t="str">
        <f t="shared" si="9"/>
        <v>SQLUpdateFieldsandValues = SQLUpdateFieldsandValues.AddtoDBString("AntennaRedundantVerticalGrade = " &amp; Me.AntennaRedundantVerticalGrade.NullableToString.FormatDBValue)</v>
      </c>
      <c r="S22" s="10" t="s">
        <v>286</v>
      </c>
    </row>
    <row r="23" spans="1:19" ht="150" x14ac:dyDescent="0.25">
      <c r="A23" s="11" t="s">
        <v>1061</v>
      </c>
      <c r="B23" s="11" t="str" cm="1">
        <f t="array" ref="B23">Addspaces(A23)</f>
        <v>Antenna Redundant Vertical Matl Grade 3</v>
      </c>
      <c r="C23" s="15" t="s">
        <v>1224</v>
      </c>
      <c r="D23" s="13" t="str">
        <f>VLOOKUP(C23,Sheet8!A:C,2,FALSE)</f>
        <v>varchar</v>
      </c>
      <c r="E23" s="15">
        <v>100</v>
      </c>
      <c r="F23" s="13" t="str">
        <f>VLOOKUP(C23,Sheet8!A:C,3,FALSE)</f>
        <v>String</v>
      </c>
      <c r="G23" s="15"/>
      <c r="H23" s="11" t="str">
        <f t="shared" si="0"/>
        <v>ADD AntennaRedundantVerticalMatlGrade3 varchar(100),</v>
      </c>
      <c r="I23" s="11" t="str">
        <f t="shared" si="1"/>
        <v xml:space="preserve">Private _AntennaRedundantVerticalMatlGrade3 As String </v>
      </c>
      <c r="J23" s="12" t="str">
        <f t="shared" si="2"/>
        <v xml:space="preserve">     		&lt;Category("TNX Antenna Record"), Description(""), DisplayName("Antenna Redundant Vertical Matl Grade 3")&gt;
    		&lt;DataMember()&gt; Public Property AntennaRedundantVerticalMatlGrade3() As String
        			Get
            				Return Me._AntennaRedundantVerticalMatlGrade3
        			End Get
        			Set
            				Me._AntennaRedundantVerticalMatlGrade3 = Value
        			End Set
    		End Property</v>
      </c>
      <c r="K23" s="11" t="str">
        <f>"Me."&amp;A23&amp; " = " &amp; VLOOKUP(C23,Sheet8!A:D,4,FALSE)&amp;"(recRow.Item("""&amp;A23 &amp;""")" &amp; IF(C23="Number",",6","")&amp;")"</f>
        <v>Me.AntennaRedundantVerticalMatlGrade3 = DBtoStr(recRow.Item("AntennaRedundantVerticalMatlGrade3"))</v>
      </c>
      <c r="L23" s="11" t="str">
        <f t="shared" si="3"/>
        <v>insertString = insertString.AddtoDBString(Me.AntennaRedundantVerticalMatlGrade3.ToString)</v>
      </c>
      <c r="M23" s="11" t="str">
        <f t="shared" si="4"/>
        <v>Equals = If(Me.AntennaRedundantVerticalMatlGrade3.CheckChange(otherToCompare.AntennaRedundantVerticalMatlGrade3, changes, categoryName, "Antenna Redundant Vertical Matl Grade 3"), Equals, False)</v>
      </c>
      <c r="N23" s="12" t="str">
        <f t="shared" si="5"/>
        <v xml:space="preserve"> 	Case tnxVar.Equals("AntennaRedundantVerticalMatlGrade3")
                            Try
                                Me.geometry.upperStructure(recIndex).AntennaRedundantVerticalMatlGrade3 = tnxValue
                            Catch ex As Exception
                                Debug.Print("Error parsing TNX variable: " &amp; tnxVar)
                            End Try</v>
      </c>
      <c r="O23" s="12" t="str">
        <f t="shared" si="6"/>
        <v>If IsSomethingString(.AntennaRedundantVerticalMatlGrade3) Then 'This field does not get saved when generated from CCIpole
newERIList.Add("AntennaRedundantVerticalMatlGrade3=" &amp; .AntennaRedundantVerticalMatlGrade3)
End If</v>
      </c>
      <c r="P23" s="11" t="str">
        <f t="shared" si="7"/>
        <v>SQLInsertValues = SQLInsertValues.AddtoDBString(Me.AntennaRedundantVerticalMatlGrade3.NullableToString.FormatDBValue)</v>
      </c>
      <c r="Q23" s="11" t="str">
        <f t="shared" si="8"/>
        <v>SQLInsertFields = SQLInsertFields.AddtoDBString("AntennaRedundantVerticalMatlGrade3")</v>
      </c>
      <c r="R23" s="11" t="str">
        <f t="shared" si="9"/>
        <v>SQLUpdateFieldsandValues = SQLUpdateFieldsandValues.AddtoDBString("AntennaRedundantVerticalMatlGrade3 = " &amp; Me.AntennaRedundantVerticalMatlGrade3.NullableToString.FormatDBValue)</v>
      </c>
      <c r="S23" s="10" t="s">
        <v>286</v>
      </c>
    </row>
    <row r="24" spans="1:19" ht="150" x14ac:dyDescent="0.25">
      <c r="A24" s="11" t="s">
        <v>1062</v>
      </c>
      <c r="B24" s="11" t="str" cm="1">
        <f t="array" ref="B24">Addspaces(A24)</f>
        <v>Antenna Redundant Hip Grade</v>
      </c>
      <c r="C24" s="15" t="s">
        <v>1225</v>
      </c>
      <c r="D24" s="13" t="str">
        <f>VLOOKUP(C24,Sheet8!A:C,2,FALSE)</f>
        <v>decimal(18, 6)</v>
      </c>
      <c r="E24" s="15"/>
      <c r="F24" s="13" t="str">
        <f>VLOOKUP(C24,Sheet8!A:C,3,FALSE)</f>
        <v>Double?</v>
      </c>
      <c r="G24" s="15" t="b">
        <v>1</v>
      </c>
      <c r="H24" s="11" t="str">
        <f t="shared" si="0"/>
        <v>ADD AntennaRedundantHipGrade decimal(18, 6),</v>
      </c>
      <c r="I24" s="11" t="str">
        <f t="shared" si="1"/>
        <v>Private _AntennaRedundantHipGrade As Double? ?</v>
      </c>
      <c r="J24" s="12" t="str">
        <f t="shared" si="2"/>
        <v xml:space="preserve">     		&lt;Category("TNX Antenna Record"), Description(""), DisplayName("Antenna Redundant Hip Grade")&gt;
    		&lt;DataMember()&gt; Public Property AntennaRedundantHipGrade() As Double??
        			Get
            				Return Me._AntennaRedundantHipGrade
        			End Get
        			Set
            				Me._AntennaRedundantHipGrade = Value
        			End Set
    		End Property</v>
      </c>
      <c r="K24" s="11" t="str">
        <f>"Me."&amp;A24&amp; " = " &amp; VLOOKUP(C24,Sheet8!A:D,4,FALSE)&amp;"(recRow.Item("""&amp;A24 &amp;""")" &amp; IF(C24="Number",",6","")&amp;")"</f>
        <v>Me.AntennaRedundantHipGrade = DBtoNullableDec(recRow.Item("AntennaRedundantHipGrade"),6)</v>
      </c>
      <c r="L24" s="11" t="str">
        <f t="shared" si="3"/>
        <v>insertString = insertString.AddtoDBString(Me.AntennaRedundantHipGrade.ToString)</v>
      </c>
      <c r="M24" s="11" t="str">
        <f t="shared" si="4"/>
        <v>Equals = If(Me.AntennaRedundantHipGrade.CheckChange(otherToCompare.AntennaRedundantHipGrade, changes, categoryName, "Antenna Redundant Hip Grade"), Equals, False)</v>
      </c>
      <c r="N24" s="12" t="str">
        <f t="shared" si="5"/>
        <v xml:space="preserve"> 	Case tnxVar.Equals("AntennaRedundantHipGrade")
                            Try
                                Me.geometry.upperStructure(recIndex).AntennaRedundantHipGrade = tnxValue
                            Catch ex As Exception
                                Debug.Print("Error parsing TNX variable: " &amp; tnxVar)
                            End Try</v>
      </c>
      <c r="O24" s="12" t="str">
        <f t="shared" si="6"/>
        <v>If Not IsNothing(Me.settings.USUnits.Strength.convertToERIUnits(.AntennaRedundantHipGrade)) Then 'This field does not get saved when generated from CCIpole
                                newERIList.Add("AntennaRedundantHipGrade=" &amp; Me.settings.USUnits.Strength.convertToERIUnits(.AntennaRedundantHipGrade))
                            End If</v>
      </c>
      <c r="P24" s="11" t="str">
        <f t="shared" si="7"/>
        <v>SQLInsertValues = SQLInsertValues.AddtoDBString(Me.AntennaRedundantHipGrade.NullableToString.FormatDBValue)</v>
      </c>
      <c r="Q24" s="11" t="str">
        <f t="shared" si="8"/>
        <v>SQLInsertFields = SQLInsertFields.AddtoDBString("AntennaRedundantHipGrade")</v>
      </c>
      <c r="R24" s="11" t="str">
        <f t="shared" si="9"/>
        <v>SQLUpdateFieldsandValues = SQLUpdateFieldsandValues.AddtoDBString("AntennaRedundantHipGrade = " &amp; Me.AntennaRedundantHipGrade.NullableToString.FormatDBValue)</v>
      </c>
      <c r="S24" s="10" t="s">
        <v>286</v>
      </c>
    </row>
    <row r="25" spans="1:19" ht="150" x14ac:dyDescent="0.25">
      <c r="A25" s="11" t="s">
        <v>1063</v>
      </c>
      <c r="B25" s="11" t="str" cm="1">
        <f t="array" ref="B25">Addspaces(A25)</f>
        <v>Antenna Redundant Hip Matl Grade</v>
      </c>
      <c r="C25" s="15" t="s">
        <v>1224</v>
      </c>
      <c r="D25" s="13" t="str">
        <f>VLOOKUP(C25,Sheet8!A:C,2,FALSE)</f>
        <v>varchar</v>
      </c>
      <c r="E25" s="15">
        <v>100</v>
      </c>
      <c r="F25" s="13" t="str">
        <f>VLOOKUP(C25,Sheet8!A:C,3,FALSE)</f>
        <v>String</v>
      </c>
      <c r="G25" s="15"/>
      <c r="H25" s="11" t="str">
        <f t="shared" si="0"/>
        <v>ADD AntennaRedundantHipMatlGrade varchar(100),</v>
      </c>
      <c r="I25" s="11" t="str">
        <f t="shared" si="1"/>
        <v xml:space="preserve">Private _AntennaRedundantHipMatlGrade As String </v>
      </c>
      <c r="J25" s="12" t="str">
        <f t="shared" si="2"/>
        <v xml:space="preserve">     		&lt;Category("TNX Antenna Record"), Description(""), DisplayName("Antenna Redundant Hip Matl Grade")&gt;
    		&lt;DataMember()&gt; Public Property AntennaRedundantHipMatlGrade() As String
        			Get
            				Return Me._AntennaRedundantHipMatlGrade
        			End Get
        			Set
            				Me._AntennaRedundantHipMatlGrade = Value
        			End Set
    		End Property</v>
      </c>
      <c r="K25" s="11" t="str">
        <f>"Me."&amp;A25&amp; " = " &amp; VLOOKUP(C25,Sheet8!A:D,4,FALSE)&amp;"(recRow.Item("""&amp;A25 &amp;""")" &amp; IF(C25="Number",",6","")&amp;")"</f>
        <v>Me.AntennaRedundantHipMatlGrade = DBtoStr(recRow.Item("AntennaRedundantHipMatlGrade"))</v>
      </c>
      <c r="L25" s="11" t="str">
        <f t="shared" si="3"/>
        <v>insertString = insertString.AddtoDBString(Me.AntennaRedundantHipMatlGrade.ToString)</v>
      </c>
      <c r="M25" s="11" t="str">
        <f t="shared" si="4"/>
        <v>Equals = If(Me.AntennaRedundantHipMatlGrade.CheckChange(otherToCompare.AntennaRedundantHipMatlGrade, changes, categoryName, "Antenna Redundant Hip Matl Grade"), Equals, False)</v>
      </c>
      <c r="N25" s="12" t="str">
        <f t="shared" si="5"/>
        <v xml:space="preserve"> 	Case tnxVar.Equals("AntennaRedundantHipMatlGrade")
                            Try
                                Me.geometry.upperStructure(recIndex).AntennaRedundantHipMatlGrade = tnxValue
                            Catch ex As Exception
                                Debug.Print("Error parsing TNX variable: " &amp; tnxVar)
                            End Try</v>
      </c>
      <c r="O25" s="12" t="str">
        <f t="shared" si="6"/>
        <v>If IsSomethingString(.AntennaRedundantHipMatlGrade) Then 'This field does not get saved when generated from CCIpole
newERIList.Add("AntennaRedundantHipMatlGrade=" &amp; .AntennaRedundantHipMatlGrade)
End If</v>
      </c>
      <c r="P25" s="11" t="str">
        <f t="shared" si="7"/>
        <v>SQLInsertValues = SQLInsertValues.AddtoDBString(Me.AntennaRedundantHipMatlGrade.NullableToString.FormatDBValue)</v>
      </c>
      <c r="Q25" s="11" t="str">
        <f t="shared" si="8"/>
        <v>SQLInsertFields = SQLInsertFields.AddtoDBString("AntennaRedundantHipMatlGrade")</v>
      </c>
      <c r="R25" s="11" t="str">
        <f t="shared" si="9"/>
        <v>SQLUpdateFieldsandValues = SQLUpdateFieldsandValues.AddtoDBString("AntennaRedundantHipMatlGrade = " &amp; Me.AntennaRedundantHipMatlGrade.NullableToString.FormatDBValue)</v>
      </c>
      <c r="S25" s="10" t="s">
        <v>286</v>
      </c>
    </row>
    <row r="26" spans="1:19" ht="150" x14ac:dyDescent="0.25">
      <c r="A26" s="11" t="s">
        <v>1064</v>
      </c>
      <c r="B26" s="11" t="str" cm="1">
        <f t="array" ref="B26">Addspaces(A26)</f>
        <v>Antenna Redundant Hip Grade 2</v>
      </c>
      <c r="C26" s="15" t="s">
        <v>1225</v>
      </c>
      <c r="D26" s="13" t="str">
        <f>VLOOKUP(C26,Sheet8!A:C,2,FALSE)</f>
        <v>decimal(18, 6)</v>
      </c>
      <c r="E26" s="15"/>
      <c r="F26" s="13" t="str">
        <f>VLOOKUP(C26,Sheet8!A:C,3,FALSE)</f>
        <v>Double?</v>
      </c>
      <c r="G26" s="15" t="b">
        <v>1</v>
      </c>
      <c r="H26" s="11" t="str">
        <f t="shared" si="0"/>
        <v>ADD AntennaRedundantHipGrade2 decimal(18, 6),</v>
      </c>
      <c r="I26" s="11" t="str">
        <f t="shared" si="1"/>
        <v>Private _AntennaRedundantHipGrade2 As Double? ?</v>
      </c>
      <c r="J26" s="12" t="str">
        <f t="shared" si="2"/>
        <v xml:space="preserve">     		&lt;Category("TNX Antenna Record"), Description(""), DisplayName("Antenna Redundant Hip Grade 2")&gt;
    		&lt;DataMember()&gt; Public Property AntennaRedundantHipGrade2() As Double??
        			Get
            				Return Me._AntennaRedundantHipGrade2
        			End Get
        			Set
            				Me._AntennaRedundantHipGrade2 = Value
        			End Set
    		End Property</v>
      </c>
      <c r="K26" s="11" t="str">
        <f>"Me."&amp;A26&amp; " = " &amp; VLOOKUP(C26,Sheet8!A:D,4,FALSE)&amp;"(recRow.Item("""&amp;A26 &amp;""")" &amp; IF(C26="Number",",6","")&amp;")"</f>
        <v>Me.AntennaRedundantHipGrade2 = DBtoNullableDec(recRow.Item("AntennaRedundantHipGrade2"),6)</v>
      </c>
      <c r="L26" s="11" t="str">
        <f t="shared" si="3"/>
        <v>insertString = insertString.AddtoDBString(Me.AntennaRedundantHipGrade2.ToString)</v>
      </c>
      <c r="M26" s="11" t="str">
        <f t="shared" si="4"/>
        <v>Equals = If(Me.AntennaRedundantHipGrade2.CheckChange(otherToCompare.AntennaRedundantHipGrade2, changes, categoryName, "Antenna Redundant Hip Grade 2"), Equals, False)</v>
      </c>
      <c r="N26" s="12" t="str">
        <f t="shared" si="5"/>
        <v xml:space="preserve"> 	Case tnxVar.Equals("AntennaRedundantHipGrade2")
                            Try
                                Me.geometry.upperStructure(recIndex).AntennaRedundantHipGrade2 = tnxValue
                            Catch ex As Exception
                                Debug.Print("Error parsing TNX variable: " &amp; tnxVar)
                            End Try</v>
      </c>
      <c r="O26" s="12" t="str">
        <f t="shared" si="6"/>
        <v>If Not IsNothing(Me.settings.USUnits.Strength.convertToERIUnits(.AntennaRedundantHipGrade2)) Then 'This field does not get saved when generated from CCIpole
                                newERIList.Add("AntennaRedundantHipGrade2=" &amp; Me.settings.USUnits.Strength.convertToERIUnits(.AntennaRedundantHipGrade2))
                            End If</v>
      </c>
      <c r="P26" s="11" t="str">
        <f t="shared" si="7"/>
        <v>SQLInsertValues = SQLInsertValues.AddtoDBString(Me.AntennaRedundantHipGrade2.NullableToString.FormatDBValue)</v>
      </c>
      <c r="Q26" s="11" t="str">
        <f t="shared" si="8"/>
        <v>SQLInsertFields = SQLInsertFields.AddtoDBString("AntennaRedundantHipGrade2")</v>
      </c>
      <c r="R26" s="11" t="str">
        <f t="shared" si="9"/>
        <v>SQLUpdateFieldsandValues = SQLUpdateFieldsandValues.AddtoDBString("AntennaRedundantHipGrade2 = " &amp; Me.AntennaRedundantHipGrade2.NullableToString.FormatDBValue)</v>
      </c>
      <c r="S26" s="10" t="s">
        <v>286</v>
      </c>
    </row>
    <row r="27" spans="1:19" ht="150" x14ac:dyDescent="0.25">
      <c r="A27" s="11" t="s">
        <v>1065</v>
      </c>
      <c r="B27" s="11" t="str" cm="1">
        <f t="array" ref="B27">Addspaces(A27)</f>
        <v>Antenna Redundant Hip Matl Grade 2</v>
      </c>
      <c r="C27" s="15" t="s">
        <v>1224</v>
      </c>
      <c r="D27" s="13" t="str">
        <f>VLOOKUP(C27,Sheet8!A:C,2,FALSE)</f>
        <v>varchar</v>
      </c>
      <c r="E27" s="15">
        <v>100</v>
      </c>
      <c r="F27" s="13" t="str">
        <f>VLOOKUP(C27,Sheet8!A:C,3,FALSE)</f>
        <v>String</v>
      </c>
      <c r="G27" s="15"/>
      <c r="H27" s="11" t="str">
        <f t="shared" si="0"/>
        <v>ADD AntennaRedundantHipMatlGrade2 varchar(100),</v>
      </c>
      <c r="I27" s="11" t="str">
        <f t="shared" si="1"/>
        <v xml:space="preserve">Private _AntennaRedundantHipMatlGrade2 As String </v>
      </c>
      <c r="J27" s="12" t="str">
        <f t="shared" si="2"/>
        <v xml:space="preserve">     		&lt;Category("TNX Antenna Record"), Description(""), DisplayName("Antenna Redundant Hip Matl Grade 2")&gt;
    		&lt;DataMember()&gt; Public Property AntennaRedundantHipMatlGrade2() As String
        			Get
            				Return Me._AntennaRedundantHipMatlGrade2
        			End Get
        			Set
            				Me._AntennaRedundantHipMatlGrade2 = Value
        			End Set
    		End Property</v>
      </c>
      <c r="K27" s="11" t="str">
        <f>"Me."&amp;A27&amp; " = " &amp; VLOOKUP(C27,Sheet8!A:D,4,FALSE)&amp;"(recRow.Item("""&amp;A27 &amp;""")" &amp; IF(C27="Number",",6","")&amp;")"</f>
        <v>Me.AntennaRedundantHipMatlGrade2 = DBtoStr(recRow.Item("AntennaRedundantHipMatlGrade2"))</v>
      </c>
      <c r="L27" s="11" t="str">
        <f t="shared" si="3"/>
        <v>insertString = insertString.AddtoDBString(Me.AntennaRedundantHipMatlGrade2.ToString)</v>
      </c>
      <c r="M27" s="11" t="str">
        <f t="shared" si="4"/>
        <v>Equals = If(Me.AntennaRedundantHipMatlGrade2.CheckChange(otherToCompare.AntennaRedundantHipMatlGrade2, changes, categoryName, "Antenna Redundant Hip Matl Grade 2"), Equals, False)</v>
      </c>
      <c r="N27" s="12" t="str">
        <f t="shared" si="5"/>
        <v xml:space="preserve"> 	Case tnxVar.Equals("AntennaRedundantHipMatlGrade2")
                            Try
                                Me.geometry.upperStructure(recIndex).AntennaRedundantHipMatlGrade2 = tnxValue
                            Catch ex As Exception
                                Debug.Print("Error parsing TNX variable: " &amp; tnxVar)
                            End Try</v>
      </c>
      <c r="O27" s="12" t="str">
        <f t="shared" si="6"/>
        <v>If IsSomethingString(.AntennaRedundantHipMatlGrade2) Then 'This field does not get saved when generated from CCIpole
newERIList.Add("AntennaRedundantHipMatlGrade2=" &amp; .AntennaRedundantHipMatlGrade2)
End If</v>
      </c>
      <c r="P27" s="11" t="str">
        <f t="shared" si="7"/>
        <v>SQLInsertValues = SQLInsertValues.AddtoDBString(Me.AntennaRedundantHipMatlGrade2.NullableToString.FormatDBValue)</v>
      </c>
      <c r="Q27" s="11" t="str">
        <f t="shared" si="8"/>
        <v>SQLInsertFields = SQLInsertFields.AddtoDBString("AntennaRedundantHipMatlGrade2")</v>
      </c>
      <c r="R27" s="11" t="str">
        <f t="shared" si="9"/>
        <v>SQLUpdateFieldsandValues = SQLUpdateFieldsandValues.AddtoDBString("AntennaRedundantHipMatlGrade2 = " &amp; Me.AntennaRedundantHipMatlGrade2.NullableToString.FormatDBValue)</v>
      </c>
      <c r="S27" s="10" t="s">
        <v>286</v>
      </c>
    </row>
    <row r="28" spans="1:19" ht="150" x14ac:dyDescent="0.25">
      <c r="A28" s="11" t="s">
        <v>1066</v>
      </c>
      <c r="B28" s="11" t="str" cm="1">
        <f t="array" ref="B28">Addspaces(A28)</f>
        <v>Antenna Redundant Hip Grade 3</v>
      </c>
      <c r="C28" s="15" t="s">
        <v>1225</v>
      </c>
      <c r="D28" s="13" t="str">
        <f>VLOOKUP(C28,Sheet8!A:C,2,FALSE)</f>
        <v>decimal(18, 6)</v>
      </c>
      <c r="E28" s="15"/>
      <c r="F28" s="13" t="str">
        <f>VLOOKUP(C28,Sheet8!A:C,3,FALSE)</f>
        <v>Double?</v>
      </c>
      <c r="G28" s="15" t="b">
        <v>1</v>
      </c>
      <c r="H28" s="11" t="str">
        <f t="shared" si="0"/>
        <v>ADD AntennaRedundantHipGrade3 decimal(18, 6),</v>
      </c>
      <c r="I28" s="11" t="str">
        <f t="shared" si="1"/>
        <v>Private _AntennaRedundantHipGrade3 As Double? ?</v>
      </c>
      <c r="J28" s="12" t="str">
        <f t="shared" si="2"/>
        <v xml:space="preserve">     		&lt;Category("TNX Antenna Record"), Description(""), DisplayName("Antenna Redundant Hip Grade 3")&gt;
    		&lt;DataMember()&gt; Public Property AntennaRedundantHipGrade3() As Double??
        			Get
            				Return Me._AntennaRedundantHipGrade3
        			End Get
        			Set
            				Me._AntennaRedundantHipGrade3 = Value
        			End Set
    		End Property</v>
      </c>
      <c r="K28" s="11" t="str">
        <f>"Me."&amp;A28&amp; " = " &amp; VLOOKUP(C28,Sheet8!A:D,4,FALSE)&amp;"(recRow.Item("""&amp;A28 &amp;""")" &amp; IF(C28="Number",",6","")&amp;")"</f>
        <v>Me.AntennaRedundantHipGrade3 = DBtoNullableDec(recRow.Item("AntennaRedundantHipGrade3"),6)</v>
      </c>
      <c r="L28" s="11" t="str">
        <f t="shared" si="3"/>
        <v>insertString = insertString.AddtoDBString(Me.AntennaRedundantHipGrade3.ToString)</v>
      </c>
      <c r="M28" s="11" t="str">
        <f t="shared" si="4"/>
        <v>Equals = If(Me.AntennaRedundantHipGrade3.CheckChange(otherToCompare.AntennaRedundantHipGrade3, changes, categoryName, "Antenna Redundant Hip Grade 3"), Equals, False)</v>
      </c>
      <c r="N28" s="12" t="str">
        <f t="shared" si="5"/>
        <v xml:space="preserve"> 	Case tnxVar.Equals("AntennaRedundantHipGrade3")
                            Try
                                Me.geometry.upperStructure(recIndex).AntennaRedundantHipGrade3 = tnxValue
                            Catch ex As Exception
                                Debug.Print("Error parsing TNX variable: " &amp; tnxVar)
                            End Try</v>
      </c>
      <c r="O28" s="12" t="str">
        <f t="shared" si="6"/>
        <v>If Not IsNothing(Me.settings.USUnits.Strength.convertToERIUnits(.AntennaRedundantHipGrade3)) Then 'This field does not get saved when generated from CCIpole
                                newERIList.Add("AntennaRedundantHipGrade3=" &amp; Me.settings.USUnits.Strength.convertToERIUnits(.AntennaRedundantHipGrade3))
                            End If</v>
      </c>
      <c r="P28" s="11" t="str">
        <f t="shared" si="7"/>
        <v>SQLInsertValues = SQLInsertValues.AddtoDBString(Me.AntennaRedundantHipGrade3.NullableToString.FormatDBValue)</v>
      </c>
      <c r="Q28" s="11" t="str">
        <f t="shared" si="8"/>
        <v>SQLInsertFields = SQLInsertFields.AddtoDBString("AntennaRedundantHipGrade3")</v>
      </c>
      <c r="R28" s="11" t="str">
        <f t="shared" si="9"/>
        <v>SQLUpdateFieldsandValues = SQLUpdateFieldsandValues.AddtoDBString("AntennaRedundantHipGrade3 = " &amp; Me.AntennaRedundantHipGrade3.NullableToString.FormatDBValue)</v>
      </c>
      <c r="S28" s="10" t="s">
        <v>286</v>
      </c>
    </row>
    <row r="29" spans="1:19" ht="150" x14ac:dyDescent="0.25">
      <c r="A29" s="11" t="s">
        <v>1067</v>
      </c>
      <c r="B29" s="11" t="str" cm="1">
        <f t="array" ref="B29">Addspaces(A29)</f>
        <v>Antenna Redundant Hip Matl Grade 3</v>
      </c>
      <c r="C29" s="15" t="s">
        <v>1224</v>
      </c>
      <c r="D29" s="13" t="str">
        <f>VLOOKUP(C29,Sheet8!A:C,2,FALSE)</f>
        <v>varchar</v>
      </c>
      <c r="E29" s="15">
        <v>100</v>
      </c>
      <c r="F29" s="13" t="str">
        <f>VLOOKUP(C29,Sheet8!A:C,3,FALSE)</f>
        <v>String</v>
      </c>
      <c r="G29" s="15"/>
      <c r="H29" s="11" t="str">
        <f t="shared" si="0"/>
        <v>ADD AntennaRedundantHipMatlGrade3 varchar(100),</v>
      </c>
      <c r="I29" s="11" t="str">
        <f t="shared" si="1"/>
        <v xml:space="preserve">Private _AntennaRedundantHipMatlGrade3 As String </v>
      </c>
      <c r="J29" s="12" t="str">
        <f t="shared" si="2"/>
        <v xml:space="preserve">     		&lt;Category("TNX Antenna Record"), Description(""), DisplayName("Antenna Redundant Hip Matl Grade 3")&gt;
    		&lt;DataMember()&gt; Public Property AntennaRedundantHipMatlGrade3() As String
        			Get
            				Return Me._AntennaRedundantHipMatlGrade3
        			End Get
        			Set
            				Me._AntennaRedundantHipMatlGrade3 = Value
        			End Set
    		End Property</v>
      </c>
      <c r="K29" s="11" t="str">
        <f>"Me."&amp;A29&amp; " = " &amp; VLOOKUP(C29,Sheet8!A:D,4,FALSE)&amp;"(recRow.Item("""&amp;A29 &amp;""")" &amp; IF(C29="Number",",6","")&amp;")"</f>
        <v>Me.AntennaRedundantHipMatlGrade3 = DBtoStr(recRow.Item("AntennaRedundantHipMatlGrade3"))</v>
      </c>
      <c r="L29" s="11" t="str">
        <f t="shared" si="3"/>
        <v>insertString = insertString.AddtoDBString(Me.AntennaRedundantHipMatlGrade3.ToString)</v>
      </c>
      <c r="M29" s="11" t="str">
        <f t="shared" si="4"/>
        <v>Equals = If(Me.AntennaRedundantHipMatlGrade3.CheckChange(otherToCompare.AntennaRedundantHipMatlGrade3, changes, categoryName, "Antenna Redundant Hip Matl Grade 3"), Equals, False)</v>
      </c>
      <c r="N29" s="12" t="str">
        <f t="shared" si="5"/>
        <v xml:space="preserve"> 	Case tnxVar.Equals("AntennaRedundantHipMatlGrade3")
                            Try
                                Me.geometry.upperStructure(recIndex).AntennaRedundantHipMatlGrade3 = tnxValue
                            Catch ex As Exception
                                Debug.Print("Error parsing TNX variable: " &amp; tnxVar)
                            End Try</v>
      </c>
      <c r="O29" s="12" t="str">
        <f t="shared" si="6"/>
        <v>If IsSomethingString(.AntennaRedundantHipMatlGrade3) Then 'This field does not get saved when generated from CCIpole
newERIList.Add("AntennaRedundantHipMatlGrade3=" &amp; .AntennaRedundantHipMatlGrade3)
End If</v>
      </c>
      <c r="P29" s="11" t="str">
        <f t="shared" si="7"/>
        <v>SQLInsertValues = SQLInsertValues.AddtoDBString(Me.AntennaRedundantHipMatlGrade3.NullableToString.FormatDBValue)</v>
      </c>
      <c r="Q29" s="11" t="str">
        <f t="shared" si="8"/>
        <v>SQLInsertFields = SQLInsertFields.AddtoDBString("AntennaRedundantHipMatlGrade3")</v>
      </c>
      <c r="R29" s="11" t="str">
        <f t="shared" si="9"/>
        <v>SQLUpdateFieldsandValues = SQLUpdateFieldsandValues.AddtoDBString("AntennaRedundantHipMatlGrade3 = " &amp; Me.AntennaRedundantHipMatlGrade3.NullableToString.FormatDBValue)</v>
      </c>
      <c r="S29" s="10" t="s">
        <v>286</v>
      </c>
    </row>
    <row r="30" spans="1:19" ht="150" x14ac:dyDescent="0.25">
      <c r="A30" s="11" t="s">
        <v>1068</v>
      </c>
      <c r="B30" s="11" t="str" cm="1">
        <f t="array" ref="B30">Addspaces(A30)</f>
        <v>Antenna Redundant Hip Grade 4</v>
      </c>
      <c r="C30" s="15" t="s">
        <v>1225</v>
      </c>
      <c r="D30" s="13" t="str">
        <f>VLOOKUP(C30,Sheet8!A:C,2,FALSE)</f>
        <v>decimal(18, 6)</v>
      </c>
      <c r="E30" s="15"/>
      <c r="F30" s="13" t="str">
        <f>VLOOKUP(C30,Sheet8!A:C,3,FALSE)</f>
        <v>Double?</v>
      </c>
      <c r="G30" s="15" t="b">
        <v>1</v>
      </c>
      <c r="H30" s="11" t="str">
        <f t="shared" si="0"/>
        <v>ADD AntennaRedundantHipGrade4 decimal(18, 6),</v>
      </c>
      <c r="I30" s="11" t="str">
        <f t="shared" si="1"/>
        <v>Private _AntennaRedundantHipGrade4 As Double? ?</v>
      </c>
      <c r="J30" s="12" t="str">
        <f t="shared" si="2"/>
        <v xml:space="preserve">     		&lt;Category("TNX Antenna Record"), Description(""), DisplayName("Antenna Redundant Hip Grade 4")&gt;
    		&lt;DataMember()&gt; Public Property AntennaRedundantHipGrade4() As Double??
        			Get
            				Return Me._AntennaRedundantHipGrade4
        			End Get
        			Set
            				Me._AntennaRedundantHipGrade4 = Value
        			End Set
    		End Property</v>
      </c>
      <c r="K30" s="11" t="str">
        <f>"Me."&amp;A30&amp; " = " &amp; VLOOKUP(C30,Sheet8!A:D,4,FALSE)&amp;"(recRow.Item("""&amp;A30 &amp;""")" &amp; IF(C30="Number",",6","")&amp;")"</f>
        <v>Me.AntennaRedundantHipGrade4 = DBtoNullableDec(recRow.Item("AntennaRedundantHipGrade4"),6)</v>
      </c>
      <c r="L30" s="11" t="str">
        <f t="shared" si="3"/>
        <v>insertString = insertString.AddtoDBString(Me.AntennaRedundantHipGrade4.ToString)</v>
      </c>
      <c r="M30" s="11" t="str">
        <f t="shared" si="4"/>
        <v>Equals = If(Me.AntennaRedundantHipGrade4.CheckChange(otherToCompare.AntennaRedundantHipGrade4, changes, categoryName, "Antenna Redundant Hip Grade 4"), Equals, False)</v>
      </c>
      <c r="N30" s="12" t="str">
        <f t="shared" si="5"/>
        <v xml:space="preserve"> 	Case tnxVar.Equals("AntennaRedundantHipGrade4")
                            Try
                                Me.geometry.upperStructure(recIndex).AntennaRedundantHipGrade4 = tnxValue
                            Catch ex As Exception
                                Debug.Print("Error parsing TNX variable: " &amp; tnxVar)
                            End Try</v>
      </c>
      <c r="O30" s="12" t="str">
        <f t="shared" si="6"/>
        <v>If Not IsNothing(Me.settings.USUnits.Strength.convertToERIUnits(.AntennaRedundantHipGrade4)) Then 'This field does not get saved when generated from CCIpole
                                newERIList.Add("AntennaRedundantHipGrade4=" &amp; Me.settings.USUnits.Strength.convertToERIUnits(.AntennaRedundantHipGrade4))
                            End If</v>
      </c>
      <c r="P30" s="11" t="str">
        <f t="shared" si="7"/>
        <v>SQLInsertValues = SQLInsertValues.AddtoDBString(Me.AntennaRedundantHipGrade4.NullableToString.FormatDBValue)</v>
      </c>
      <c r="Q30" s="11" t="str">
        <f t="shared" si="8"/>
        <v>SQLInsertFields = SQLInsertFields.AddtoDBString("AntennaRedundantHipGrade4")</v>
      </c>
      <c r="R30" s="11" t="str">
        <f t="shared" si="9"/>
        <v>SQLUpdateFieldsandValues = SQLUpdateFieldsandValues.AddtoDBString("AntennaRedundantHipGrade4 = " &amp; Me.AntennaRedundantHipGrade4.NullableToString.FormatDBValue)</v>
      </c>
      <c r="S30" s="10" t="s">
        <v>286</v>
      </c>
    </row>
    <row r="31" spans="1:19" ht="150" x14ac:dyDescent="0.25">
      <c r="A31" s="11" t="s">
        <v>1069</v>
      </c>
      <c r="B31" s="11" t="str" cm="1">
        <f t="array" ref="B31">Addspaces(A31)</f>
        <v>Antenna Redundant Hip Matl Grade 4</v>
      </c>
      <c r="C31" s="15" t="s">
        <v>1224</v>
      </c>
      <c r="D31" s="13" t="str">
        <f>VLOOKUP(C31,Sheet8!A:C,2,FALSE)</f>
        <v>varchar</v>
      </c>
      <c r="E31" s="15">
        <v>100</v>
      </c>
      <c r="F31" s="13" t="str">
        <f>VLOOKUP(C31,Sheet8!A:C,3,FALSE)</f>
        <v>String</v>
      </c>
      <c r="G31" s="15"/>
      <c r="H31" s="11" t="str">
        <f t="shared" si="0"/>
        <v>ADD AntennaRedundantHipMatlGrade4 varchar(100),</v>
      </c>
      <c r="I31" s="11" t="str">
        <f t="shared" si="1"/>
        <v xml:space="preserve">Private _AntennaRedundantHipMatlGrade4 As String </v>
      </c>
      <c r="J31" s="12" t="str">
        <f t="shared" si="2"/>
        <v xml:space="preserve">     		&lt;Category("TNX Antenna Record"), Description(""), DisplayName("Antenna Redundant Hip Matl Grade 4")&gt;
    		&lt;DataMember()&gt; Public Property AntennaRedundantHipMatlGrade4() As String
        			Get
            				Return Me._AntennaRedundantHipMatlGrade4
        			End Get
        			Set
            				Me._AntennaRedundantHipMatlGrade4 = Value
        			End Set
    		End Property</v>
      </c>
      <c r="K31" s="11" t="str">
        <f>"Me."&amp;A31&amp; " = " &amp; VLOOKUP(C31,Sheet8!A:D,4,FALSE)&amp;"(recRow.Item("""&amp;A31 &amp;""")" &amp; IF(C31="Number",",6","")&amp;")"</f>
        <v>Me.AntennaRedundantHipMatlGrade4 = DBtoStr(recRow.Item("AntennaRedundantHipMatlGrade4"))</v>
      </c>
      <c r="L31" s="11" t="str">
        <f t="shared" si="3"/>
        <v>insertString = insertString.AddtoDBString(Me.AntennaRedundantHipMatlGrade4.ToString)</v>
      </c>
      <c r="M31" s="11" t="str">
        <f t="shared" si="4"/>
        <v>Equals = If(Me.AntennaRedundantHipMatlGrade4.CheckChange(otherToCompare.AntennaRedundantHipMatlGrade4, changes, categoryName, "Antenna Redundant Hip Matl Grade 4"), Equals, False)</v>
      </c>
      <c r="N31" s="12" t="str">
        <f t="shared" si="5"/>
        <v xml:space="preserve"> 	Case tnxVar.Equals("AntennaRedundantHipMatlGrade4")
                            Try
                                Me.geometry.upperStructure(recIndex).AntennaRedundantHipMatlGrade4 = tnxValue
                            Catch ex As Exception
                                Debug.Print("Error parsing TNX variable: " &amp; tnxVar)
                            End Try</v>
      </c>
      <c r="O31" s="12" t="str">
        <f t="shared" si="6"/>
        <v>If IsSomethingString(.AntennaRedundantHipMatlGrade4) Then 'This field does not get saved when generated from CCIpole
newERIList.Add("AntennaRedundantHipMatlGrade4=" &amp; .AntennaRedundantHipMatlGrade4)
End If</v>
      </c>
      <c r="P31" s="11" t="str">
        <f t="shared" si="7"/>
        <v>SQLInsertValues = SQLInsertValues.AddtoDBString(Me.AntennaRedundantHipMatlGrade4.NullableToString.FormatDBValue)</v>
      </c>
      <c r="Q31" s="11" t="str">
        <f t="shared" si="8"/>
        <v>SQLInsertFields = SQLInsertFields.AddtoDBString("AntennaRedundantHipMatlGrade4")</v>
      </c>
      <c r="R31" s="11" t="str">
        <f t="shared" si="9"/>
        <v>SQLUpdateFieldsandValues = SQLUpdateFieldsandValues.AddtoDBString("AntennaRedundantHipMatlGrade4 = " &amp; Me.AntennaRedundantHipMatlGrade4.NullableToString.FormatDBValue)</v>
      </c>
      <c r="S31" s="10" t="s">
        <v>286</v>
      </c>
    </row>
    <row r="32" spans="1:19" ht="150" x14ac:dyDescent="0.25">
      <c r="A32" s="11" t="s">
        <v>1070</v>
      </c>
      <c r="B32" s="11" t="str" cm="1">
        <f t="array" ref="B32">Addspaces(A32)</f>
        <v>Antenna Redundant Hip Diagonal Grade</v>
      </c>
      <c r="C32" s="15" t="s">
        <v>1225</v>
      </c>
      <c r="D32" s="13" t="str">
        <f>VLOOKUP(C32,Sheet8!A:C,2,FALSE)</f>
        <v>decimal(18, 6)</v>
      </c>
      <c r="E32" s="15"/>
      <c r="F32" s="13" t="str">
        <f>VLOOKUP(C32,Sheet8!A:C,3,FALSE)</f>
        <v>Double?</v>
      </c>
      <c r="G32" s="15" t="b">
        <v>1</v>
      </c>
      <c r="H32" s="11" t="str">
        <f t="shared" si="0"/>
        <v>ADD AntennaRedundantHipDiagonalGrade decimal(18, 6),</v>
      </c>
      <c r="I32" s="11" t="str">
        <f t="shared" si="1"/>
        <v>Private _AntennaRedundantHipDiagonalGrade As Double? ?</v>
      </c>
      <c r="J32" s="12" t="str">
        <f t="shared" si="2"/>
        <v xml:space="preserve">     		&lt;Category("TNX Antenna Record"), Description(""), DisplayName("Antenna Redundant Hip Diagonal Grade")&gt;
    		&lt;DataMember()&gt; Public Property AntennaRedundantHipDiagonalGrade() As Double??
        			Get
            				Return Me._AntennaRedundantHipDiagonalGrade
        			End Get
        			Set
            				Me._AntennaRedundantHipDiagonalGrade = Value
        			End Set
    		End Property</v>
      </c>
      <c r="K32" s="11" t="str">
        <f>"Me."&amp;A32&amp; " = " &amp; VLOOKUP(C32,Sheet8!A:D,4,FALSE)&amp;"(recRow.Item("""&amp;A32 &amp;""")" &amp; IF(C32="Number",",6","")&amp;")"</f>
        <v>Me.AntennaRedundantHipDiagonalGrade = DBtoNullableDec(recRow.Item("AntennaRedundantHipDiagonalGrade"),6)</v>
      </c>
      <c r="L32" s="11" t="str">
        <f t="shared" si="3"/>
        <v>insertString = insertString.AddtoDBString(Me.AntennaRedundantHipDiagonalGrade.ToString)</v>
      </c>
      <c r="M32" s="11" t="str">
        <f t="shared" si="4"/>
        <v>Equals = If(Me.AntennaRedundantHipDiagonalGrade.CheckChange(otherToCompare.AntennaRedundantHipDiagonalGrade, changes, categoryName, "Antenna Redundant Hip Diagonal Grade"), Equals, False)</v>
      </c>
      <c r="N32" s="12" t="str">
        <f t="shared" si="5"/>
        <v xml:space="preserve"> 	Case tnxVar.Equals("AntennaRedundantHipDiagonalGrade")
                            Try
                                Me.geometry.upperStructure(recIndex).AntennaRedundantHipDiagonalGrade = tnxValue
                            Catch ex As Exception
                                Debug.Print("Error parsing TNX variable: " &amp; tnxVar)
                            End Try</v>
      </c>
      <c r="O32" s="12" t="str">
        <f t="shared" si="6"/>
        <v>If Not IsNothing(Me.settings.USUnits.Strength.convertToERIUnits(.AntennaRedundantHipDiagonalGrade)) Then 'This field does not get saved when generated from CCIpole
                                newERIList.Add("AntennaRedundantHipDiagonalGrade=" &amp; Me.settings.USUnits.Strength.convertToERIUnits(.AntennaRedundantHipDiagonalGrade))
                            End If</v>
      </c>
      <c r="P32" s="11" t="str">
        <f t="shared" si="7"/>
        <v>SQLInsertValues = SQLInsertValues.AddtoDBString(Me.AntennaRedundantHipDiagonalGrade.NullableToString.FormatDBValue)</v>
      </c>
      <c r="Q32" s="11" t="str">
        <f t="shared" si="8"/>
        <v>SQLInsertFields = SQLInsertFields.AddtoDBString("AntennaRedundantHipDiagonalGrade")</v>
      </c>
      <c r="R32" s="11" t="str">
        <f t="shared" si="9"/>
        <v>SQLUpdateFieldsandValues = SQLUpdateFieldsandValues.AddtoDBString("AntennaRedundantHipDiagonalGrade = " &amp; Me.AntennaRedundantHipDiagonalGrade.NullableToString.FormatDBValue)</v>
      </c>
      <c r="S32" s="10" t="s">
        <v>286</v>
      </c>
    </row>
    <row r="33" spans="1:19" ht="150" x14ac:dyDescent="0.25">
      <c r="A33" s="11" t="s">
        <v>1071</v>
      </c>
      <c r="B33" s="11" t="str" cm="1">
        <f t="array" ref="B33">Addspaces(A33)</f>
        <v>Antenna Redundant Hip Diagonal Matl Grade</v>
      </c>
      <c r="C33" s="15" t="s">
        <v>1224</v>
      </c>
      <c r="D33" s="13" t="str">
        <f>VLOOKUP(C33,Sheet8!A:C,2,FALSE)</f>
        <v>varchar</v>
      </c>
      <c r="E33" s="15">
        <v>100</v>
      </c>
      <c r="F33" s="13" t="str">
        <f>VLOOKUP(C33,Sheet8!A:C,3,FALSE)</f>
        <v>String</v>
      </c>
      <c r="G33" s="15"/>
      <c r="H33" s="11" t="str">
        <f t="shared" si="0"/>
        <v>ADD AntennaRedundantHipDiagonalMatlGrade varchar(100),</v>
      </c>
      <c r="I33" s="11" t="str">
        <f t="shared" si="1"/>
        <v xml:space="preserve">Private _AntennaRedundantHipDiagonalMatlGrade As String </v>
      </c>
      <c r="J33" s="12" t="str">
        <f t="shared" si="2"/>
        <v xml:space="preserve">     		&lt;Category("TNX Antenna Record"), Description(""), DisplayName("Antenna Redundant Hip Diagonal Matl Grade")&gt;
    		&lt;DataMember()&gt; Public Property AntennaRedundantHipDiagonalMatlGrade() As String
        			Get
            				Return Me._AntennaRedundantHipDiagonalMatlGrade
        			End Get
        			Set
            				Me._AntennaRedundantHipDiagonalMatlGrade = Value
        			End Set
    		End Property</v>
      </c>
      <c r="K33" s="11" t="str">
        <f>"Me."&amp;A33&amp; " = " &amp; VLOOKUP(C33,Sheet8!A:D,4,FALSE)&amp;"(recRow.Item("""&amp;A33 &amp;""")" &amp; IF(C33="Number",",6","")&amp;")"</f>
        <v>Me.AntennaRedundantHipDiagonalMatlGrade = DBtoStr(recRow.Item("AntennaRedundantHipDiagonalMatlGrade"))</v>
      </c>
      <c r="L33" s="11" t="str">
        <f t="shared" si="3"/>
        <v>insertString = insertString.AddtoDBString(Me.AntennaRedundantHipDiagonalMatlGrade.ToString)</v>
      </c>
      <c r="M33" s="11" t="str">
        <f t="shared" si="4"/>
        <v>Equals = If(Me.AntennaRedundantHipDiagonalMatlGrade.CheckChange(otherToCompare.AntennaRedundantHipDiagonalMatlGrade, changes, categoryName, "Antenna Redundant Hip Diagonal Matl Grade"), Equals, False)</v>
      </c>
      <c r="N33" s="12" t="str">
        <f t="shared" si="5"/>
        <v xml:space="preserve"> 	Case tnxVar.Equals("AntennaRedundantHipDiagonalMatlGrade")
                            Try
                                Me.geometry.upperStructure(recIndex).AntennaRedundantHipDiagonalMatlGrade = tnxValue
                            Catch ex As Exception
                                Debug.Print("Error parsing TNX variable: " &amp; tnxVar)
                            End Try</v>
      </c>
      <c r="O33" s="12" t="str">
        <f t="shared" si="6"/>
        <v>If IsSomethingString(.AntennaRedundantHipDiagonalMatlGrade) Then 'This field does not get saved when generated from CCIpole
newERIList.Add("AntennaRedundantHipDiagonalMatlGrade=" &amp; .AntennaRedundantHipDiagonalMatlGrade)
End If</v>
      </c>
      <c r="P33" s="11" t="str">
        <f t="shared" si="7"/>
        <v>SQLInsertValues = SQLInsertValues.AddtoDBString(Me.AntennaRedundantHipDiagonalMatlGrade.NullableToString.FormatDBValue)</v>
      </c>
      <c r="Q33" s="11" t="str">
        <f t="shared" si="8"/>
        <v>SQLInsertFields = SQLInsertFields.AddtoDBString("AntennaRedundantHipDiagonalMatlGrade")</v>
      </c>
      <c r="R33" s="11" t="str">
        <f t="shared" si="9"/>
        <v>SQLUpdateFieldsandValues = SQLUpdateFieldsandValues.AddtoDBString("AntennaRedundantHipDiagonalMatlGrade = " &amp; Me.AntennaRedundantHipDiagonalMatlGrade.NullableToString.FormatDBValue)</v>
      </c>
      <c r="S33" s="10" t="s">
        <v>286</v>
      </c>
    </row>
    <row r="34" spans="1:19" ht="150" x14ac:dyDescent="0.25">
      <c r="A34" s="11" t="s">
        <v>1072</v>
      </c>
      <c r="B34" s="11" t="str" cm="1">
        <f t="array" ref="B34">Addspaces(A34)</f>
        <v>Antenna Redundant Hip Diagonal Grade 2</v>
      </c>
      <c r="C34" s="15" t="s">
        <v>1225</v>
      </c>
      <c r="D34" s="13" t="str">
        <f>VLOOKUP(C34,Sheet8!A:C,2,FALSE)</f>
        <v>decimal(18, 6)</v>
      </c>
      <c r="E34" s="15"/>
      <c r="F34" s="13" t="str">
        <f>VLOOKUP(C34,Sheet8!A:C,3,FALSE)</f>
        <v>Double?</v>
      </c>
      <c r="G34" s="15" t="b">
        <v>1</v>
      </c>
      <c r="H34" s="11" t="str">
        <f t="shared" si="0"/>
        <v>ADD AntennaRedundantHipDiagonalGrade2 decimal(18, 6),</v>
      </c>
      <c r="I34" s="11" t="str">
        <f t="shared" si="1"/>
        <v>Private _AntennaRedundantHipDiagonalGrade2 As Double? ?</v>
      </c>
      <c r="J34" s="12" t="str">
        <f t="shared" si="2"/>
        <v xml:space="preserve">     		&lt;Category("TNX Antenna Record"), Description(""), DisplayName("Antenna Redundant Hip Diagonal Grade 2")&gt;
    		&lt;DataMember()&gt; Public Property AntennaRedundantHipDiagonalGrade2() As Double??
        			Get
            				Return Me._AntennaRedundantHipDiagonalGrade2
        			End Get
        			Set
            				Me._AntennaRedundantHipDiagonalGrade2 = Value
        			End Set
    		End Property</v>
      </c>
      <c r="K34" s="11" t="str">
        <f>"Me."&amp;A34&amp; " = " &amp; VLOOKUP(C34,Sheet8!A:D,4,FALSE)&amp;"(recRow.Item("""&amp;A34 &amp;""")" &amp; IF(C34="Number",",6","")&amp;")"</f>
        <v>Me.AntennaRedundantHipDiagonalGrade2 = DBtoNullableDec(recRow.Item("AntennaRedundantHipDiagonalGrade2"),6)</v>
      </c>
      <c r="L34" s="11" t="str">
        <f t="shared" si="3"/>
        <v>insertString = insertString.AddtoDBString(Me.AntennaRedundantHipDiagonalGrade2.ToString)</v>
      </c>
      <c r="M34" s="11" t="str">
        <f t="shared" si="4"/>
        <v>Equals = If(Me.AntennaRedundantHipDiagonalGrade2.CheckChange(otherToCompare.AntennaRedundantHipDiagonalGrade2, changes, categoryName, "Antenna Redundant Hip Diagonal Grade 2"), Equals, False)</v>
      </c>
      <c r="N34" s="12" t="str">
        <f t="shared" si="5"/>
        <v xml:space="preserve"> 	Case tnxVar.Equals("AntennaRedundantHipDiagonalGrade2")
                            Try
                                Me.geometry.upperStructure(recIndex).AntennaRedundantHipDiagonalGrade2 = tnxValue
                            Catch ex As Exception
                                Debug.Print("Error parsing TNX variable: " &amp; tnxVar)
                            End Try</v>
      </c>
      <c r="O34" s="12" t="str">
        <f t="shared" si="6"/>
        <v>If Not IsNothing(Me.settings.USUnits.Strength.convertToERIUnits(.AntennaRedundantHipDiagonalGrade2)) Then 'This field does not get saved when generated from CCIpole
                                newERIList.Add("AntennaRedundantHipDiagonalGrade2=" &amp; Me.settings.USUnits.Strength.convertToERIUnits(.AntennaRedundantHipDiagonalGrade2))
                            End If</v>
      </c>
      <c r="P34" s="11" t="str">
        <f t="shared" si="7"/>
        <v>SQLInsertValues = SQLInsertValues.AddtoDBString(Me.AntennaRedundantHipDiagonalGrade2.NullableToString.FormatDBValue)</v>
      </c>
      <c r="Q34" s="11" t="str">
        <f t="shared" si="8"/>
        <v>SQLInsertFields = SQLInsertFields.AddtoDBString("AntennaRedundantHipDiagonalGrade2")</v>
      </c>
      <c r="R34" s="11" t="str">
        <f t="shared" si="9"/>
        <v>SQLUpdateFieldsandValues = SQLUpdateFieldsandValues.AddtoDBString("AntennaRedundantHipDiagonalGrade2 = " &amp; Me.AntennaRedundantHipDiagonalGrade2.NullableToString.FormatDBValue)</v>
      </c>
      <c r="S34" s="10" t="s">
        <v>286</v>
      </c>
    </row>
    <row r="35" spans="1:19" ht="150" x14ac:dyDescent="0.25">
      <c r="A35" s="11" t="s">
        <v>1073</v>
      </c>
      <c r="B35" s="11" t="str" cm="1">
        <f t="array" ref="B35">Addspaces(A35)</f>
        <v>Antenna Redundant Hip Diagonal Matl Grade 2</v>
      </c>
      <c r="C35" s="15" t="s">
        <v>1224</v>
      </c>
      <c r="D35" s="13" t="str">
        <f>VLOOKUP(C35,Sheet8!A:C,2,FALSE)</f>
        <v>varchar</v>
      </c>
      <c r="E35" s="15">
        <v>100</v>
      </c>
      <c r="F35" s="13" t="str">
        <f>VLOOKUP(C35,Sheet8!A:C,3,FALSE)</f>
        <v>String</v>
      </c>
      <c r="G35" s="15"/>
      <c r="H35" s="11" t="str">
        <f t="shared" si="0"/>
        <v>ADD AntennaRedundantHipDiagonalMatlGrade2 varchar(100),</v>
      </c>
      <c r="I35" s="11" t="str">
        <f t="shared" si="1"/>
        <v xml:space="preserve">Private _AntennaRedundantHipDiagonalMatlGrade2 As String </v>
      </c>
      <c r="J35" s="12" t="str">
        <f t="shared" si="2"/>
        <v xml:space="preserve">     		&lt;Category("TNX Antenna Record"), Description(""), DisplayName("Antenna Redundant Hip Diagonal Matl Grade 2")&gt;
    		&lt;DataMember()&gt; Public Property AntennaRedundantHipDiagonalMatlGrade2() As String
        			Get
            				Return Me._AntennaRedundantHipDiagonalMatlGrade2
        			End Get
        			Set
            				Me._AntennaRedundantHipDiagonalMatlGrade2 = Value
        			End Set
    		End Property</v>
      </c>
      <c r="K35" s="11" t="str">
        <f>"Me."&amp;A35&amp; " = " &amp; VLOOKUP(C35,Sheet8!A:D,4,FALSE)&amp;"(recRow.Item("""&amp;A35 &amp;""")" &amp; IF(C35="Number",",6","")&amp;")"</f>
        <v>Me.AntennaRedundantHipDiagonalMatlGrade2 = DBtoStr(recRow.Item("AntennaRedundantHipDiagonalMatlGrade2"))</v>
      </c>
      <c r="L35" s="11" t="str">
        <f t="shared" si="3"/>
        <v>insertString = insertString.AddtoDBString(Me.AntennaRedundantHipDiagonalMatlGrade2.ToString)</v>
      </c>
      <c r="M35" s="11" t="str">
        <f t="shared" si="4"/>
        <v>Equals = If(Me.AntennaRedundantHipDiagonalMatlGrade2.CheckChange(otherToCompare.AntennaRedundantHipDiagonalMatlGrade2, changes, categoryName, "Antenna Redundant Hip Diagonal Matl Grade 2"), Equals, False)</v>
      </c>
      <c r="N35" s="12" t="str">
        <f t="shared" si="5"/>
        <v xml:space="preserve"> 	Case tnxVar.Equals("AntennaRedundantHipDiagonalMatlGrade2")
                            Try
                                Me.geometry.upperStructure(recIndex).AntennaRedundantHipDiagonalMatlGrade2 = tnxValue
                            Catch ex As Exception
                                Debug.Print("Error parsing TNX variable: " &amp; tnxVar)
                            End Try</v>
      </c>
      <c r="O35" s="12" t="str">
        <f t="shared" si="6"/>
        <v>If IsSomethingString(.AntennaRedundantHipDiagonalMatlGrade2) Then 'This field does not get saved when generated from CCIpole
newERIList.Add("AntennaRedundantHipDiagonalMatlGrade2=" &amp; .AntennaRedundantHipDiagonalMatlGrade2)
End If</v>
      </c>
      <c r="P35" s="11" t="str">
        <f t="shared" si="7"/>
        <v>SQLInsertValues = SQLInsertValues.AddtoDBString(Me.AntennaRedundantHipDiagonalMatlGrade2.NullableToString.FormatDBValue)</v>
      </c>
      <c r="Q35" s="11" t="str">
        <f t="shared" si="8"/>
        <v>SQLInsertFields = SQLInsertFields.AddtoDBString("AntennaRedundantHipDiagonalMatlGrade2")</v>
      </c>
      <c r="R35" s="11" t="str">
        <f t="shared" si="9"/>
        <v>SQLUpdateFieldsandValues = SQLUpdateFieldsandValues.AddtoDBString("AntennaRedundantHipDiagonalMatlGrade2 = " &amp; Me.AntennaRedundantHipDiagonalMatlGrade2.NullableToString.FormatDBValue)</v>
      </c>
      <c r="S35" s="10" t="s">
        <v>286</v>
      </c>
    </row>
    <row r="36" spans="1:19" ht="150" x14ac:dyDescent="0.25">
      <c r="A36" s="11" t="s">
        <v>1074</v>
      </c>
      <c r="B36" s="11" t="str" cm="1">
        <f t="array" ref="B36">Addspaces(A36)</f>
        <v>Antenna Redundant Hip Diagonal Grade 3</v>
      </c>
      <c r="C36" s="15" t="s">
        <v>1225</v>
      </c>
      <c r="D36" s="13" t="str">
        <f>VLOOKUP(C36,Sheet8!A:C,2,FALSE)</f>
        <v>decimal(18, 6)</v>
      </c>
      <c r="E36" s="15"/>
      <c r="F36" s="13" t="str">
        <f>VLOOKUP(C36,Sheet8!A:C,3,FALSE)</f>
        <v>Double?</v>
      </c>
      <c r="G36" s="15" t="b">
        <v>1</v>
      </c>
      <c r="H36" s="11" t="str">
        <f t="shared" si="0"/>
        <v>ADD AntennaRedundantHipDiagonalGrade3 decimal(18, 6),</v>
      </c>
      <c r="I36" s="11" t="str">
        <f t="shared" si="1"/>
        <v>Private _AntennaRedundantHipDiagonalGrade3 As Double? ?</v>
      </c>
      <c r="J36" s="12" t="str">
        <f t="shared" si="2"/>
        <v xml:space="preserve">     		&lt;Category("TNX Antenna Record"), Description(""), DisplayName("Antenna Redundant Hip Diagonal Grade 3")&gt;
    		&lt;DataMember()&gt; Public Property AntennaRedundantHipDiagonalGrade3() As Double??
        			Get
            				Return Me._AntennaRedundantHipDiagonalGrade3
        			End Get
        			Set
            				Me._AntennaRedundantHipDiagonalGrade3 = Value
        			End Set
    		End Property</v>
      </c>
      <c r="K36" s="11" t="str">
        <f>"Me."&amp;A36&amp; " = " &amp; VLOOKUP(C36,Sheet8!A:D,4,FALSE)&amp;"(recRow.Item("""&amp;A36 &amp;""")" &amp; IF(C36="Number",",6","")&amp;")"</f>
        <v>Me.AntennaRedundantHipDiagonalGrade3 = DBtoNullableDec(recRow.Item("AntennaRedundantHipDiagonalGrade3"),6)</v>
      </c>
      <c r="L36" s="11" t="str">
        <f t="shared" si="3"/>
        <v>insertString = insertString.AddtoDBString(Me.AntennaRedundantHipDiagonalGrade3.ToString)</v>
      </c>
      <c r="M36" s="11" t="str">
        <f t="shared" si="4"/>
        <v>Equals = If(Me.AntennaRedundantHipDiagonalGrade3.CheckChange(otherToCompare.AntennaRedundantHipDiagonalGrade3, changes, categoryName, "Antenna Redundant Hip Diagonal Grade 3"), Equals, False)</v>
      </c>
      <c r="N36" s="12" t="str">
        <f t="shared" si="5"/>
        <v xml:space="preserve"> 	Case tnxVar.Equals("AntennaRedundantHipDiagonalGrade3")
                            Try
                                Me.geometry.upperStructure(recIndex).AntennaRedundantHipDiagonalGrade3 = tnxValue
                            Catch ex As Exception
                                Debug.Print("Error parsing TNX variable: " &amp; tnxVar)
                            End Try</v>
      </c>
      <c r="O36" s="12" t="str">
        <f t="shared" si="6"/>
        <v>If Not IsNothing(Me.settings.USUnits.Strength.convertToERIUnits(.AntennaRedundantHipDiagonalGrade3)) Then 'This field does not get saved when generated from CCIpole
                                newERIList.Add("AntennaRedundantHipDiagonalGrade3=" &amp; Me.settings.USUnits.Strength.convertToERIUnits(.AntennaRedundantHipDiagonalGrade3))
                            End If</v>
      </c>
      <c r="P36" s="11" t="str">
        <f t="shared" si="7"/>
        <v>SQLInsertValues = SQLInsertValues.AddtoDBString(Me.AntennaRedundantHipDiagonalGrade3.NullableToString.FormatDBValue)</v>
      </c>
      <c r="Q36" s="11" t="str">
        <f t="shared" si="8"/>
        <v>SQLInsertFields = SQLInsertFields.AddtoDBString("AntennaRedundantHipDiagonalGrade3")</v>
      </c>
      <c r="R36" s="11" t="str">
        <f t="shared" si="9"/>
        <v>SQLUpdateFieldsandValues = SQLUpdateFieldsandValues.AddtoDBString("AntennaRedundantHipDiagonalGrade3 = " &amp; Me.AntennaRedundantHipDiagonalGrade3.NullableToString.FormatDBValue)</v>
      </c>
      <c r="S36" s="10" t="s">
        <v>286</v>
      </c>
    </row>
    <row r="37" spans="1:19" ht="150" x14ac:dyDescent="0.25">
      <c r="A37" s="11" t="s">
        <v>1075</v>
      </c>
      <c r="B37" s="11" t="str" cm="1">
        <f t="array" ref="B37">Addspaces(A37)</f>
        <v>Antenna Redundant Hip Diagonal Matl Grade 3</v>
      </c>
      <c r="C37" s="15" t="s">
        <v>1224</v>
      </c>
      <c r="D37" s="13" t="str">
        <f>VLOOKUP(C37,Sheet8!A:C,2,FALSE)</f>
        <v>varchar</v>
      </c>
      <c r="E37" s="15">
        <v>100</v>
      </c>
      <c r="F37" s="13" t="str">
        <f>VLOOKUP(C37,Sheet8!A:C,3,FALSE)</f>
        <v>String</v>
      </c>
      <c r="G37" s="15"/>
      <c r="H37" s="11" t="str">
        <f t="shared" si="0"/>
        <v>ADD AntennaRedundantHipDiagonalMatlGrade3 varchar(100),</v>
      </c>
      <c r="I37" s="11" t="str">
        <f t="shared" si="1"/>
        <v xml:space="preserve">Private _AntennaRedundantHipDiagonalMatlGrade3 As String </v>
      </c>
      <c r="J37" s="12" t="str">
        <f t="shared" si="2"/>
        <v xml:space="preserve">     		&lt;Category("TNX Antenna Record"), Description(""), DisplayName("Antenna Redundant Hip Diagonal Matl Grade 3")&gt;
    		&lt;DataMember()&gt; Public Property AntennaRedundantHipDiagonalMatlGrade3() As String
        			Get
            				Return Me._AntennaRedundantHipDiagonalMatlGrade3
        			End Get
        			Set
            				Me._AntennaRedundantHipDiagonalMatlGrade3 = Value
        			End Set
    		End Property</v>
      </c>
      <c r="K37" s="11" t="str">
        <f>"Me."&amp;A37&amp; " = " &amp; VLOOKUP(C37,Sheet8!A:D,4,FALSE)&amp;"(recRow.Item("""&amp;A37 &amp;""")" &amp; IF(C37="Number",",6","")&amp;")"</f>
        <v>Me.AntennaRedundantHipDiagonalMatlGrade3 = DBtoStr(recRow.Item("AntennaRedundantHipDiagonalMatlGrade3"))</v>
      </c>
      <c r="L37" s="11" t="str">
        <f t="shared" si="3"/>
        <v>insertString = insertString.AddtoDBString(Me.AntennaRedundantHipDiagonalMatlGrade3.ToString)</v>
      </c>
      <c r="M37" s="11" t="str">
        <f t="shared" si="4"/>
        <v>Equals = If(Me.AntennaRedundantHipDiagonalMatlGrade3.CheckChange(otherToCompare.AntennaRedundantHipDiagonalMatlGrade3, changes, categoryName, "Antenna Redundant Hip Diagonal Matl Grade 3"), Equals, False)</v>
      </c>
      <c r="N37" s="12" t="str">
        <f t="shared" si="5"/>
        <v xml:space="preserve"> 	Case tnxVar.Equals("AntennaRedundantHipDiagonalMatlGrade3")
                            Try
                                Me.geometry.upperStructure(recIndex).AntennaRedundantHipDiagonalMatlGrade3 = tnxValue
                            Catch ex As Exception
                                Debug.Print("Error parsing TNX variable: " &amp; tnxVar)
                            End Try</v>
      </c>
      <c r="O37" s="12" t="str">
        <f t="shared" si="6"/>
        <v>If IsSomethingString(.AntennaRedundantHipDiagonalMatlGrade3) Then 'This field does not get saved when generated from CCIpole
newERIList.Add("AntennaRedundantHipDiagonalMatlGrade3=" &amp; .AntennaRedundantHipDiagonalMatlGrade3)
End If</v>
      </c>
      <c r="P37" s="11" t="str">
        <f t="shared" si="7"/>
        <v>SQLInsertValues = SQLInsertValues.AddtoDBString(Me.AntennaRedundantHipDiagonalMatlGrade3.NullableToString.FormatDBValue)</v>
      </c>
      <c r="Q37" s="11" t="str">
        <f t="shared" si="8"/>
        <v>SQLInsertFields = SQLInsertFields.AddtoDBString("AntennaRedundantHipDiagonalMatlGrade3")</v>
      </c>
      <c r="R37" s="11" t="str">
        <f t="shared" si="9"/>
        <v>SQLUpdateFieldsandValues = SQLUpdateFieldsandValues.AddtoDBString("AntennaRedundantHipDiagonalMatlGrade3 = " &amp; Me.AntennaRedundantHipDiagonalMatlGrade3.NullableToString.FormatDBValue)</v>
      </c>
      <c r="S37" s="10" t="s">
        <v>286</v>
      </c>
    </row>
    <row r="38" spans="1:19" ht="150" x14ac:dyDescent="0.25">
      <c r="A38" s="11" t="s">
        <v>1076</v>
      </c>
      <c r="B38" s="11" t="str" cm="1">
        <f t="array" ref="B38">Addspaces(A38)</f>
        <v>Antenna Redundant Hip Diagonal Grade 4</v>
      </c>
      <c r="C38" s="15" t="s">
        <v>1225</v>
      </c>
      <c r="D38" s="13" t="str">
        <f>VLOOKUP(C38,Sheet8!A:C,2,FALSE)</f>
        <v>decimal(18, 6)</v>
      </c>
      <c r="E38" s="15"/>
      <c r="F38" s="13" t="str">
        <f>VLOOKUP(C38,Sheet8!A:C,3,FALSE)</f>
        <v>Double?</v>
      </c>
      <c r="G38" s="15" t="b">
        <v>1</v>
      </c>
      <c r="H38" s="11" t="str">
        <f t="shared" si="0"/>
        <v>ADD AntennaRedundantHipDiagonalGrade4 decimal(18, 6),</v>
      </c>
      <c r="I38" s="11" t="str">
        <f t="shared" si="1"/>
        <v>Private _AntennaRedundantHipDiagonalGrade4 As Double? ?</v>
      </c>
      <c r="J38" s="12" t="str">
        <f t="shared" si="2"/>
        <v xml:space="preserve">     		&lt;Category("TNX Antenna Record"), Description(""), DisplayName("Antenna Redundant Hip Diagonal Grade 4")&gt;
    		&lt;DataMember()&gt; Public Property AntennaRedundantHipDiagonalGrade4() As Double??
        			Get
            				Return Me._AntennaRedundantHipDiagonalGrade4
        			End Get
        			Set
            				Me._AntennaRedundantHipDiagonalGrade4 = Value
        			End Set
    		End Property</v>
      </c>
      <c r="K38" s="11" t="str">
        <f>"Me."&amp;A38&amp; " = " &amp; VLOOKUP(C38,Sheet8!A:D,4,FALSE)&amp;"(recRow.Item("""&amp;A38 &amp;""")" &amp; IF(C38="Number",",6","")&amp;")"</f>
        <v>Me.AntennaRedundantHipDiagonalGrade4 = DBtoNullableDec(recRow.Item("AntennaRedundantHipDiagonalGrade4"),6)</v>
      </c>
      <c r="L38" s="11" t="str">
        <f t="shared" si="3"/>
        <v>insertString = insertString.AddtoDBString(Me.AntennaRedundantHipDiagonalGrade4.ToString)</v>
      </c>
      <c r="M38" s="11" t="str">
        <f t="shared" si="4"/>
        <v>Equals = If(Me.AntennaRedundantHipDiagonalGrade4.CheckChange(otherToCompare.AntennaRedundantHipDiagonalGrade4, changes, categoryName, "Antenna Redundant Hip Diagonal Grade 4"), Equals, False)</v>
      </c>
      <c r="N38" s="12" t="str">
        <f t="shared" si="5"/>
        <v xml:space="preserve"> 	Case tnxVar.Equals("AntennaRedundantHipDiagonalGrade4")
                            Try
                                Me.geometry.upperStructure(recIndex).AntennaRedundantHipDiagonalGrade4 = tnxValue
                            Catch ex As Exception
                                Debug.Print("Error parsing TNX variable: " &amp; tnxVar)
                            End Try</v>
      </c>
      <c r="O38" s="12" t="str">
        <f t="shared" si="6"/>
        <v>If Not IsNothing(Me.settings.USUnits.Strength.convertToERIUnits(.AntennaRedundantHipDiagonalGrade4)) Then 'This field does not get saved when generated from CCIpole
                                newERIList.Add("AntennaRedundantHipDiagonalGrade4=" &amp; Me.settings.USUnits.Strength.convertToERIUnits(.AntennaRedundantHipDiagonalGrade4))
                            End If</v>
      </c>
      <c r="P38" s="11" t="str">
        <f t="shared" si="7"/>
        <v>SQLInsertValues = SQLInsertValues.AddtoDBString(Me.AntennaRedundantHipDiagonalGrade4.NullableToString.FormatDBValue)</v>
      </c>
      <c r="Q38" s="11" t="str">
        <f t="shared" si="8"/>
        <v>SQLInsertFields = SQLInsertFields.AddtoDBString("AntennaRedundantHipDiagonalGrade4")</v>
      </c>
      <c r="R38" s="11" t="str">
        <f t="shared" si="9"/>
        <v>SQLUpdateFieldsandValues = SQLUpdateFieldsandValues.AddtoDBString("AntennaRedundantHipDiagonalGrade4 = " &amp; Me.AntennaRedundantHipDiagonalGrade4.NullableToString.FormatDBValue)</v>
      </c>
      <c r="S38" s="10" t="s">
        <v>286</v>
      </c>
    </row>
    <row r="39" spans="1:19" ht="150" x14ac:dyDescent="0.25">
      <c r="A39" s="11" t="s">
        <v>1077</v>
      </c>
      <c r="B39" s="11" t="str" cm="1">
        <f t="array" ref="B39">Addspaces(A39)</f>
        <v>Antenna Redundant Hip Diagonal Matl Grade 4</v>
      </c>
      <c r="C39" s="15" t="s">
        <v>1224</v>
      </c>
      <c r="D39" s="13" t="str">
        <f>VLOOKUP(C39,Sheet8!A:C,2,FALSE)</f>
        <v>varchar</v>
      </c>
      <c r="E39" s="15">
        <v>100</v>
      </c>
      <c r="F39" s="13" t="str">
        <f>VLOOKUP(C39,Sheet8!A:C,3,FALSE)</f>
        <v>String</v>
      </c>
      <c r="G39" s="15"/>
      <c r="H39" s="11" t="str">
        <f t="shared" si="0"/>
        <v>ADD AntennaRedundantHipDiagonalMatlGrade4 varchar(100),</v>
      </c>
      <c r="I39" s="11" t="str">
        <f t="shared" si="1"/>
        <v xml:space="preserve">Private _AntennaRedundantHipDiagonalMatlGrade4 As String </v>
      </c>
      <c r="J39" s="12" t="str">
        <f t="shared" si="2"/>
        <v xml:space="preserve">     		&lt;Category("TNX Antenna Record"), Description(""), DisplayName("Antenna Redundant Hip Diagonal Matl Grade 4")&gt;
    		&lt;DataMember()&gt; Public Property AntennaRedundantHipDiagonalMatlGrade4() As String
        			Get
            				Return Me._AntennaRedundantHipDiagonalMatlGrade4
        			End Get
        			Set
            				Me._AntennaRedundantHipDiagonalMatlGrade4 = Value
        			End Set
    		End Property</v>
      </c>
      <c r="K39" s="11" t="str">
        <f>"Me."&amp;A39&amp; " = " &amp; VLOOKUP(C39,Sheet8!A:D,4,FALSE)&amp;"(recRow.Item("""&amp;A39 &amp;""")" &amp; IF(C39="Number",",6","")&amp;")"</f>
        <v>Me.AntennaRedundantHipDiagonalMatlGrade4 = DBtoStr(recRow.Item("AntennaRedundantHipDiagonalMatlGrade4"))</v>
      </c>
      <c r="L39" s="11" t="str">
        <f t="shared" si="3"/>
        <v>insertString = insertString.AddtoDBString(Me.AntennaRedundantHipDiagonalMatlGrade4.ToString)</v>
      </c>
      <c r="M39" s="11" t="str">
        <f t="shared" si="4"/>
        <v>Equals = If(Me.AntennaRedundantHipDiagonalMatlGrade4.CheckChange(otherToCompare.AntennaRedundantHipDiagonalMatlGrade4, changes, categoryName, "Antenna Redundant Hip Diagonal Matl Grade 4"), Equals, False)</v>
      </c>
      <c r="N39" s="12" t="str">
        <f t="shared" si="5"/>
        <v xml:space="preserve"> 	Case tnxVar.Equals("AntennaRedundantHipDiagonalMatlGrade4")
                            Try
                                Me.geometry.upperStructure(recIndex).AntennaRedundantHipDiagonalMatlGrade4 = tnxValue
                            Catch ex As Exception
                                Debug.Print("Error parsing TNX variable: " &amp; tnxVar)
                            End Try</v>
      </c>
      <c r="O39" s="12" t="str">
        <f t="shared" si="6"/>
        <v>If IsSomethingString(.AntennaRedundantHipDiagonalMatlGrade4) Then 'This field does not get saved when generated from CCIpole
newERIList.Add("AntennaRedundantHipDiagonalMatlGrade4=" &amp; .AntennaRedundantHipDiagonalMatlGrade4)
End If</v>
      </c>
      <c r="P39" s="11" t="str">
        <f t="shared" si="7"/>
        <v>SQLInsertValues = SQLInsertValues.AddtoDBString(Me.AntennaRedundantHipDiagonalMatlGrade4.NullableToString.FormatDBValue)</v>
      </c>
      <c r="Q39" s="11" t="str">
        <f t="shared" si="8"/>
        <v>SQLInsertFields = SQLInsertFields.AddtoDBString("AntennaRedundantHipDiagonalMatlGrade4")</v>
      </c>
      <c r="R39" s="11" t="str">
        <f t="shared" si="9"/>
        <v>SQLUpdateFieldsandValues = SQLUpdateFieldsandValues.AddtoDBString("AntennaRedundantHipDiagonalMatlGrade4 = " &amp; Me.AntennaRedundantHipDiagonalMatlGrade4.NullableToString.FormatDBValue)</v>
      </c>
      <c r="S39" s="10" t="s">
        <v>286</v>
      </c>
    </row>
    <row r="40" spans="1:19" ht="150" x14ac:dyDescent="0.25">
      <c r="A40" s="11" t="s">
        <v>1079</v>
      </c>
      <c r="B40" s="11" t="str" cm="1">
        <f t="array" ref="B40">Addspaces(A40)</f>
        <v>Antenna Redundant Horizontal Type</v>
      </c>
      <c r="C40" s="15" t="s">
        <v>1224</v>
      </c>
      <c r="D40" s="13" t="str">
        <f>VLOOKUP(C40,Sheet8!A:C,2,FALSE)</f>
        <v>varchar</v>
      </c>
      <c r="E40" s="15">
        <v>100</v>
      </c>
      <c r="F40" s="13" t="str">
        <f>VLOOKUP(C40,Sheet8!A:C,3,FALSE)</f>
        <v>String</v>
      </c>
      <c r="G40" s="15"/>
      <c r="H40" s="11" t="str">
        <f t="shared" si="0"/>
        <v>ADD AntennaRedundantHorizontalType varchar(100),</v>
      </c>
      <c r="I40" s="11" t="str">
        <f t="shared" si="1"/>
        <v xml:space="preserve">Private _AntennaRedundantHorizontalType As String </v>
      </c>
      <c r="J40" s="12" t="str">
        <f t="shared" si="2"/>
        <v xml:space="preserve">     		&lt;Category("TNX Antenna Record"), Description(""), DisplayName("Antenna Redundant Horizontal Type")&gt;
    		&lt;DataMember()&gt; Public Property AntennaRedundantHorizontalType() As String
        			Get
            				Return Me._AntennaRedundantHorizontalType
        			End Get
        			Set
            				Me._AntennaRedundantHorizontalType = Value
        			End Set
    		End Property</v>
      </c>
      <c r="K40" s="11" t="str">
        <f>"Me."&amp;A40&amp; " = " &amp; VLOOKUP(C40,Sheet8!A:D,4,FALSE)&amp;"(recRow.Item("""&amp;A40 &amp;""")" &amp; IF(C40="Number",",6","")&amp;")"</f>
        <v>Me.AntennaRedundantHorizontalType = DBtoStr(recRow.Item("AntennaRedundantHorizontalType"))</v>
      </c>
      <c r="L40" s="11" t="str">
        <f t="shared" si="3"/>
        <v>insertString = insertString.AddtoDBString(Me.AntennaRedundantHorizontalType.ToString)</v>
      </c>
      <c r="M40" s="11" t="str">
        <f t="shared" si="4"/>
        <v>Equals = If(Me.AntennaRedundantHorizontalType.CheckChange(otherToCompare.AntennaRedundantHorizontalType, changes, categoryName, "Antenna Redundant Horizontal Type"), Equals, False)</v>
      </c>
      <c r="N40" s="12" t="str">
        <f t="shared" si="5"/>
        <v xml:space="preserve"> 	Case tnxVar.Equals("AntennaRedundantHorizontalType")
                            Try
                                Me.geometry.upperStructure(recIndex).AntennaRedundantHorizontalType = tnxValue
                            Catch ex As Exception
                                Debug.Print("Error parsing TNX variable: " &amp; tnxVar)
                            End Try</v>
      </c>
      <c r="O40" s="12" t="str">
        <f t="shared" si="6"/>
        <v>If IsSomethingString(.AntennaRedundantHorizontalType) Then 'This field does not get saved when generated from CCIpole
newERIList.Add("AntennaRedundantHorizontalType=" &amp; .AntennaRedundantHorizontalType)
End If</v>
      </c>
      <c r="P40" s="11" t="str">
        <f t="shared" si="7"/>
        <v>SQLInsertValues = SQLInsertValues.AddtoDBString(Me.AntennaRedundantHorizontalType.NullableToString.FormatDBValue)</v>
      </c>
      <c r="Q40" s="11" t="str">
        <f t="shared" si="8"/>
        <v>SQLInsertFields = SQLInsertFields.AddtoDBString("AntennaRedundantHorizontalType")</v>
      </c>
      <c r="R40" s="11" t="str">
        <f t="shared" si="9"/>
        <v>SQLUpdateFieldsandValues = SQLUpdateFieldsandValues.AddtoDBString("AntennaRedundantHorizontalType = " &amp; Me.AntennaRedundantHorizontalType.NullableToString.FormatDBValue)</v>
      </c>
      <c r="S40" s="10" t="s">
        <v>286</v>
      </c>
    </row>
    <row r="41" spans="1:19" ht="150" x14ac:dyDescent="0.25">
      <c r="A41" s="11" t="s">
        <v>1080</v>
      </c>
      <c r="B41" s="11" t="str" cm="1">
        <f t="array" ref="B41">Addspaces(A41)</f>
        <v>Antenna Redundant Horizontal Type 2</v>
      </c>
      <c r="C41" s="15" t="s">
        <v>1224</v>
      </c>
      <c r="D41" s="13" t="str">
        <f>VLOOKUP(C41,Sheet8!A:C,2,FALSE)</f>
        <v>varchar</v>
      </c>
      <c r="E41" s="15">
        <v>100</v>
      </c>
      <c r="F41" s="13" t="str">
        <f>VLOOKUP(C41,Sheet8!A:C,3,FALSE)</f>
        <v>String</v>
      </c>
      <c r="G41" s="15"/>
      <c r="H41" s="11" t="str">
        <f t="shared" si="0"/>
        <v>ADD AntennaRedundantHorizontalType2 varchar(100),</v>
      </c>
      <c r="I41" s="11" t="str">
        <f t="shared" si="1"/>
        <v xml:space="preserve">Private _AntennaRedundantHorizontalType2 As String </v>
      </c>
      <c r="J41" s="12" t="str">
        <f t="shared" si="2"/>
        <v xml:space="preserve">     		&lt;Category("TNX Antenna Record"), Description(""), DisplayName("Antenna Redundant Horizontal Type 2")&gt;
    		&lt;DataMember()&gt; Public Property AntennaRedundantHorizontalType2() As String
        			Get
            				Return Me._AntennaRedundantHorizontalType2
        			End Get
        			Set
            				Me._AntennaRedundantHorizontalType2 = Value
        			End Set
    		End Property</v>
      </c>
      <c r="K41" s="11" t="str">
        <f>"Me."&amp;A41&amp; " = " &amp; VLOOKUP(C41,Sheet8!A:D,4,FALSE)&amp;"(recRow.Item("""&amp;A41 &amp;""")" &amp; IF(C41="Number",",6","")&amp;")"</f>
        <v>Me.AntennaRedundantHorizontalType2 = DBtoStr(recRow.Item("AntennaRedundantHorizontalType2"))</v>
      </c>
      <c r="L41" s="11" t="str">
        <f t="shared" si="3"/>
        <v>insertString = insertString.AddtoDBString(Me.AntennaRedundantHorizontalType2.ToString)</v>
      </c>
      <c r="M41" s="11" t="str">
        <f t="shared" si="4"/>
        <v>Equals = If(Me.AntennaRedundantHorizontalType2.CheckChange(otherToCompare.AntennaRedundantHorizontalType2, changes, categoryName, "Antenna Redundant Horizontal Type 2"), Equals, False)</v>
      </c>
      <c r="N41" s="12" t="str">
        <f t="shared" si="5"/>
        <v xml:space="preserve"> 	Case tnxVar.Equals("AntennaRedundantHorizontalType2")
                            Try
                                Me.geometry.upperStructure(recIndex).AntennaRedundantHorizontalType2 = tnxValue
                            Catch ex As Exception
                                Debug.Print("Error parsing TNX variable: " &amp; tnxVar)
                            End Try</v>
      </c>
      <c r="O41" s="12" t="str">
        <f t="shared" si="6"/>
        <v>If IsSomethingString(.AntennaRedundantHorizontalType2) Then 'This field does not get saved when generated from CCIpole
newERIList.Add("AntennaRedundantHorizontalType2=" &amp; .AntennaRedundantHorizontalType2)
End If</v>
      </c>
      <c r="P41" s="11" t="str">
        <f t="shared" si="7"/>
        <v>SQLInsertValues = SQLInsertValues.AddtoDBString(Me.AntennaRedundantHorizontalType2.NullableToString.FormatDBValue)</v>
      </c>
      <c r="Q41" s="11" t="str">
        <f t="shared" si="8"/>
        <v>SQLInsertFields = SQLInsertFields.AddtoDBString("AntennaRedundantHorizontalType2")</v>
      </c>
      <c r="R41" s="11" t="str">
        <f t="shared" si="9"/>
        <v>SQLUpdateFieldsandValues = SQLUpdateFieldsandValues.AddtoDBString("AntennaRedundantHorizontalType2 = " &amp; Me.AntennaRedundantHorizontalType2.NullableToString.FormatDBValue)</v>
      </c>
      <c r="S41" s="10" t="s">
        <v>286</v>
      </c>
    </row>
    <row r="42" spans="1:19" ht="150" x14ac:dyDescent="0.25">
      <c r="A42" s="11" t="s">
        <v>1081</v>
      </c>
      <c r="B42" s="11" t="str" cm="1">
        <f t="array" ref="B42">Addspaces(A42)</f>
        <v>Antenna Redundant Horizontal Type 3</v>
      </c>
      <c r="C42" s="15" t="s">
        <v>1224</v>
      </c>
      <c r="D42" s="13" t="str">
        <f>VLOOKUP(C42,Sheet8!A:C,2,FALSE)</f>
        <v>varchar</v>
      </c>
      <c r="E42" s="15">
        <v>100</v>
      </c>
      <c r="F42" s="13" t="str">
        <f>VLOOKUP(C42,Sheet8!A:C,3,FALSE)</f>
        <v>String</v>
      </c>
      <c r="G42" s="15"/>
      <c r="H42" s="11" t="str">
        <f t="shared" si="0"/>
        <v>ADD AntennaRedundantHorizontalType3 varchar(100),</v>
      </c>
      <c r="I42" s="11" t="str">
        <f t="shared" si="1"/>
        <v xml:space="preserve">Private _AntennaRedundantHorizontalType3 As String </v>
      </c>
      <c r="J42" s="12" t="str">
        <f t="shared" si="2"/>
        <v xml:space="preserve">     		&lt;Category("TNX Antenna Record"), Description(""), DisplayName("Antenna Redundant Horizontal Type 3")&gt;
    		&lt;DataMember()&gt; Public Property AntennaRedundantHorizontalType3() As String
        			Get
            				Return Me._AntennaRedundantHorizontalType3
        			End Get
        			Set
            				Me._AntennaRedundantHorizontalType3 = Value
        			End Set
    		End Property</v>
      </c>
      <c r="K42" s="11" t="str">
        <f>"Me."&amp;A42&amp; " = " &amp; VLOOKUP(C42,Sheet8!A:D,4,FALSE)&amp;"(recRow.Item("""&amp;A42 &amp;""")" &amp; IF(C42="Number",",6","")&amp;")"</f>
        <v>Me.AntennaRedundantHorizontalType3 = DBtoStr(recRow.Item("AntennaRedundantHorizontalType3"))</v>
      </c>
      <c r="L42" s="11" t="str">
        <f t="shared" si="3"/>
        <v>insertString = insertString.AddtoDBString(Me.AntennaRedundantHorizontalType3.ToString)</v>
      </c>
      <c r="M42" s="11" t="str">
        <f t="shared" si="4"/>
        <v>Equals = If(Me.AntennaRedundantHorizontalType3.CheckChange(otherToCompare.AntennaRedundantHorizontalType3, changes, categoryName, "Antenna Redundant Horizontal Type 3"), Equals, False)</v>
      </c>
      <c r="N42" s="12" t="str">
        <f t="shared" si="5"/>
        <v xml:space="preserve"> 	Case tnxVar.Equals("AntennaRedundantHorizontalType3")
                            Try
                                Me.geometry.upperStructure(recIndex).AntennaRedundantHorizontalType3 = tnxValue
                            Catch ex As Exception
                                Debug.Print("Error parsing TNX variable: " &amp; tnxVar)
                            End Try</v>
      </c>
      <c r="O42" s="12" t="str">
        <f t="shared" si="6"/>
        <v>If IsSomethingString(.AntennaRedundantHorizontalType3) Then 'This field does not get saved when generated from CCIpole
newERIList.Add("AntennaRedundantHorizontalType3=" &amp; .AntennaRedundantHorizontalType3)
End If</v>
      </c>
      <c r="P42" s="11" t="str">
        <f t="shared" si="7"/>
        <v>SQLInsertValues = SQLInsertValues.AddtoDBString(Me.AntennaRedundantHorizontalType3.NullableToString.FormatDBValue)</v>
      </c>
      <c r="Q42" s="11" t="str">
        <f t="shared" si="8"/>
        <v>SQLInsertFields = SQLInsertFields.AddtoDBString("AntennaRedundantHorizontalType3")</v>
      </c>
      <c r="R42" s="11" t="str">
        <f t="shared" si="9"/>
        <v>SQLUpdateFieldsandValues = SQLUpdateFieldsandValues.AddtoDBString("AntennaRedundantHorizontalType3 = " &amp; Me.AntennaRedundantHorizontalType3.NullableToString.FormatDBValue)</v>
      </c>
      <c r="S42" s="10" t="s">
        <v>286</v>
      </c>
    </row>
    <row r="43" spans="1:19" ht="150" x14ac:dyDescent="0.25">
      <c r="A43" s="11" t="s">
        <v>1082</v>
      </c>
      <c r="B43" s="11" t="str" cm="1">
        <f t="array" ref="B43">Addspaces(A43)</f>
        <v>Antenna Redundant Horizontal Type 4</v>
      </c>
      <c r="C43" s="15" t="s">
        <v>1224</v>
      </c>
      <c r="D43" s="13" t="str">
        <f>VLOOKUP(C43,Sheet8!A:C,2,FALSE)</f>
        <v>varchar</v>
      </c>
      <c r="E43" s="15">
        <v>100</v>
      </c>
      <c r="F43" s="13" t="str">
        <f>VLOOKUP(C43,Sheet8!A:C,3,FALSE)</f>
        <v>String</v>
      </c>
      <c r="G43" s="15"/>
      <c r="H43" s="11" t="str">
        <f t="shared" si="0"/>
        <v>ADD AntennaRedundantHorizontalType4 varchar(100),</v>
      </c>
      <c r="I43" s="11" t="str">
        <f t="shared" si="1"/>
        <v xml:space="preserve">Private _AntennaRedundantHorizontalType4 As String </v>
      </c>
      <c r="J43" s="12" t="str">
        <f t="shared" si="2"/>
        <v xml:space="preserve">     		&lt;Category("TNX Antenna Record"), Description(""), DisplayName("Antenna Redundant Horizontal Type 4")&gt;
    		&lt;DataMember()&gt; Public Property AntennaRedundantHorizontalType4() As String
        			Get
            				Return Me._AntennaRedundantHorizontalType4
        			End Get
        			Set
            				Me._AntennaRedundantHorizontalType4 = Value
        			End Set
    		End Property</v>
      </c>
      <c r="K43" s="11" t="str">
        <f>"Me."&amp;A43&amp; " = " &amp; VLOOKUP(C43,Sheet8!A:D,4,FALSE)&amp;"(recRow.Item("""&amp;A43 &amp;""")" &amp; IF(C43="Number",",6","")&amp;")"</f>
        <v>Me.AntennaRedundantHorizontalType4 = DBtoStr(recRow.Item("AntennaRedundantHorizontalType4"))</v>
      </c>
      <c r="L43" s="11" t="str">
        <f t="shared" si="3"/>
        <v>insertString = insertString.AddtoDBString(Me.AntennaRedundantHorizontalType4.ToString)</v>
      </c>
      <c r="M43" s="11" t="str">
        <f t="shared" si="4"/>
        <v>Equals = If(Me.AntennaRedundantHorizontalType4.CheckChange(otherToCompare.AntennaRedundantHorizontalType4, changes, categoryName, "Antenna Redundant Horizontal Type 4"), Equals, False)</v>
      </c>
      <c r="N43" s="12" t="str">
        <f t="shared" si="5"/>
        <v xml:space="preserve"> 	Case tnxVar.Equals("AntennaRedundantHorizontalType4")
                            Try
                                Me.geometry.upperStructure(recIndex).AntennaRedundantHorizontalType4 = tnxValue
                            Catch ex As Exception
                                Debug.Print("Error parsing TNX variable: " &amp; tnxVar)
                            End Try</v>
      </c>
      <c r="O43" s="12" t="str">
        <f t="shared" si="6"/>
        <v>If IsSomethingString(.AntennaRedundantHorizontalType4) Then 'This field does not get saved when generated from CCIpole
newERIList.Add("AntennaRedundantHorizontalType4=" &amp; .AntennaRedundantHorizontalType4)
End If</v>
      </c>
      <c r="P43" s="11" t="str">
        <f t="shared" si="7"/>
        <v>SQLInsertValues = SQLInsertValues.AddtoDBString(Me.AntennaRedundantHorizontalType4.NullableToString.FormatDBValue)</v>
      </c>
      <c r="Q43" s="11" t="str">
        <f t="shared" si="8"/>
        <v>SQLInsertFields = SQLInsertFields.AddtoDBString("AntennaRedundantHorizontalType4")</v>
      </c>
      <c r="R43" s="11" t="str">
        <f t="shared" si="9"/>
        <v>SQLUpdateFieldsandValues = SQLUpdateFieldsandValues.AddtoDBString("AntennaRedundantHorizontalType4 = " &amp; Me.AntennaRedundantHorizontalType4.NullableToString.FormatDBValue)</v>
      </c>
      <c r="S43" s="10" t="s">
        <v>286</v>
      </c>
    </row>
    <row r="44" spans="1:19" ht="150" x14ac:dyDescent="0.25">
      <c r="A44" s="11" t="s">
        <v>1083</v>
      </c>
      <c r="B44" s="11" t="str" cm="1">
        <f t="array" ref="B44">Addspaces(A44)</f>
        <v>Antenna Redundant Diag Type 2</v>
      </c>
      <c r="C44" s="15" t="s">
        <v>1224</v>
      </c>
      <c r="D44" s="13" t="str">
        <f>VLOOKUP(C44,Sheet8!A:C,2,FALSE)</f>
        <v>varchar</v>
      </c>
      <c r="E44" s="15">
        <v>100</v>
      </c>
      <c r="F44" s="13" t="str">
        <f>VLOOKUP(C44,Sheet8!A:C,3,FALSE)</f>
        <v>String</v>
      </c>
      <c r="G44" s="15"/>
      <c r="H44" s="11" t="str">
        <f t="shared" si="0"/>
        <v>ADD AntennaRedundantDiagType2 varchar(100),</v>
      </c>
      <c r="I44" s="11" t="str">
        <f t="shared" si="1"/>
        <v xml:space="preserve">Private _AntennaRedundantDiagType2 As String </v>
      </c>
      <c r="J44" s="12" t="str">
        <f t="shared" si="2"/>
        <v xml:space="preserve">     		&lt;Category("TNX Antenna Record"), Description(""), DisplayName("Antenna Redundant Diag Type 2")&gt;
    		&lt;DataMember()&gt; Public Property AntennaRedundantDiagType2() As String
        			Get
            				Return Me._AntennaRedundantDiagType2
        			End Get
        			Set
            				Me._AntennaRedundantDiagType2 = Value
        			End Set
    		End Property</v>
      </c>
      <c r="K44" s="11" t="str">
        <f>"Me."&amp;A44&amp; " = " &amp; VLOOKUP(C44,Sheet8!A:D,4,FALSE)&amp;"(recRow.Item("""&amp;A44 &amp;""")" &amp; IF(C44="Number",",6","")&amp;")"</f>
        <v>Me.AntennaRedundantDiagType2 = DBtoStr(recRow.Item("AntennaRedundantDiagType2"))</v>
      </c>
      <c r="L44" s="11" t="str">
        <f t="shared" si="3"/>
        <v>insertString = insertString.AddtoDBString(Me.AntennaRedundantDiagType2.ToString)</v>
      </c>
      <c r="M44" s="11" t="str">
        <f t="shared" si="4"/>
        <v>Equals = If(Me.AntennaRedundantDiagType2.CheckChange(otherToCompare.AntennaRedundantDiagType2, changes, categoryName, "Antenna Redundant Diag Type 2"), Equals, False)</v>
      </c>
      <c r="N44" s="12" t="str">
        <f t="shared" si="5"/>
        <v xml:space="preserve"> 	Case tnxVar.Equals("AntennaRedundantDiagType2")
                            Try
                                Me.geometry.upperStructure(recIndex).AntennaRedundantDiagType2 = tnxValue
                            Catch ex As Exception
                                Debug.Print("Error parsing TNX variable: " &amp; tnxVar)
                            End Try</v>
      </c>
      <c r="O44" s="12" t="str">
        <f t="shared" si="6"/>
        <v>If IsSomethingString(.AntennaRedundantDiagType2) Then 'This field does not get saved when generated from CCIpole
newERIList.Add("AntennaRedundantDiagType2=" &amp; .AntennaRedundantDiagType2)
End If</v>
      </c>
      <c r="P44" s="11" t="str">
        <f t="shared" si="7"/>
        <v>SQLInsertValues = SQLInsertValues.AddtoDBString(Me.AntennaRedundantDiagType2.NullableToString.FormatDBValue)</v>
      </c>
      <c r="Q44" s="11" t="str">
        <f t="shared" si="8"/>
        <v>SQLInsertFields = SQLInsertFields.AddtoDBString("AntennaRedundantDiagType2")</v>
      </c>
      <c r="R44" s="11" t="str">
        <f t="shared" si="9"/>
        <v>SQLUpdateFieldsandValues = SQLUpdateFieldsandValues.AddtoDBString("AntennaRedundantDiagType2 = " &amp; Me.AntennaRedundantDiagType2.NullableToString.FormatDBValue)</v>
      </c>
      <c r="S44" s="10" t="s">
        <v>286</v>
      </c>
    </row>
    <row r="45" spans="1:19" ht="150" x14ac:dyDescent="0.25">
      <c r="A45" s="11" t="s">
        <v>1084</v>
      </c>
      <c r="B45" s="11" t="str" cm="1">
        <f t="array" ref="B45">Addspaces(A45)</f>
        <v>Antenna Redundant Diag Type 3</v>
      </c>
      <c r="C45" s="15" t="s">
        <v>1224</v>
      </c>
      <c r="D45" s="13" t="str">
        <f>VLOOKUP(C45,Sheet8!A:C,2,FALSE)</f>
        <v>varchar</v>
      </c>
      <c r="E45" s="15">
        <v>100</v>
      </c>
      <c r="F45" s="13" t="str">
        <f>VLOOKUP(C45,Sheet8!A:C,3,FALSE)</f>
        <v>String</v>
      </c>
      <c r="G45" s="15"/>
      <c r="H45" s="11" t="str">
        <f t="shared" si="0"/>
        <v>ADD AntennaRedundantDiagType3 varchar(100),</v>
      </c>
      <c r="I45" s="11" t="str">
        <f t="shared" si="1"/>
        <v xml:space="preserve">Private _AntennaRedundantDiagType3 As String </v>
      </c>
      <c r="J45" s="12" t="str">
        <f t="shared" si="2"/>
        <v xml:space="preserve">     		&lt;Category("TNX Antenna Record"), Description(""), DisplayName("Antenna Redundant Diag Type 3")&gt;
    		&lt;DataMember()&gt; Public Property AntennaRedundantDiagType3() As String
        			Get
            				Return Me._AntennaRedundantDiagType3
        			End Get
        			Set
            				Me._AntennaRedundantDiagType3 = Value
        			End Set
    		End Property</v>
      </c>
      <c r="K45" s="11" t="str">
        <f>"Me."&amp;A45&amp; " = " &amp; VLOOKUP(C45,Sheet8!A:D,4,FALSE)&amp;"(recRow.Item("""&amp;A45 &amp;""")" &amp; IF(C45="Number",",6","")&amp;")"</f>
        <v>Me.AntennaRedundantDiagType3 = DBtoStr(recRow.Item("AntennaRedundantDiagType3"))</v>
      </c>
      <c r="L45" s="11" t="str">
        <f t="shared" si="3"/>
        <v>insertString = insertString.AddtoDBString(Me.AntennaRedundantDiagType3.ToString)</v>
      </c>
      <c r="M45" s="11" t="str">
        <f t="shared" si="4"/>
        <v>Equals = If(Me.AntennaRedundantDiagType3.CheckChange(otherToCompare.AntennaRedundantDiagType3, changes, categoryName, "Antenna Redundant Diag Type 3"), Equals, False)</v>
      </c>
      <c r="N45" s="12" t="str">
        <f t="shared" si="5"/>
        <v xml:space="preserve"> 	Case tnxVar.Equals("AntennaRedundantDiagType3")
                            Try
                                Me.geometry.upperStructure(recIndex).AntennaRedundantDiagType3 = tnxValue
                            Catch ex As Exception
                                Debug.Print("Error parsing TNX variable: " &amp; tnxVar)
                            End Try</v>
      </c>
      <c r="O45" s="12" t="str">
        <f t="shared" si="6"/>
        <v>If IsSomethingString(.AntennaRedundantDiagType3) Then 'This field does not get saved when generated from CCIpole
newERIList.Add("AntennaRedundantDiagType3=" &amp; .AntennaRedundantDiagType3)
End If</v>
      </c>
      <c r="P45" s="11" t="str">
        <f t="shared" si="7"/>
        <v>SQLInsertValues = SQLInsertValues.AddtoDBString(Me.AntennaRedundantDiagType3.NullableToString.FormatDBValue)</v>
      </c>
      <c r="Q45" s="11" t="str">
        <f t="shared" si="8"/>
        <v>SQLInsertFields = SQLInsertFields.AddtoDBString("AntennaRedundantDiagType3")</v>
      </c>
      <c r="R45" s="11" t="str">
        <f t="shared" si="9"/>
        <v>SQLUpdateFieldsandValues = SQLUpdateFieldsandValues.AddtoDBString("AntennaRedundantDiagType3 = " &amp; Me.AntennaRedundantDiagType3.NullableToString.FormatDBValue)</v>
      </c>
      <c r="S45" s="10" t="s">
        <v>286</v>
      </c>
    </row>
    <row r="46" spans="1:19" ht="150" x14ac:dyDescent="0.25">
      <c r="A46" s="11" t="s">
        <v>1085</v>
      </c>
      <c r="B46" s="11" t="str" cm="1">
        <f t="array" ref="B46">Addspaces(A46)</f>
        <v>Antenna Redundant Diag Type 4</v>
      </c>
      <c r="C46" s="15" t="s">
        <v>1224</v>
      </c>
      <c r="D46" s="13" t="str">
        <f>VLOOKUP(C46,Sheet8!A:C,2,FALSE)</f>
        <v>varchar</v>
      </c>
      <c r="E46" s="15">
        <v>100</v>
      </c>
      <c r="F46" s="13" t="str">
        <f>VLOOKUP(C46,Sheet8!A:C,3,FALSE)</f>
        <v>String</v>
      </c>
      <c r="G46" s="15"/>
      <c r="H46" s="11" t="str">
        <f t="shared" si="0"/>
        <v>ADD AntennaRedundantDiagType4 varchar(100),</v>
      </c>
      <c r="I46" s="11" t="str">
        <f t="shared" si="1"/>
        <v xml:space="preserve">Private _AntennaRedundantDiagType4 As String </v>
      </c>
      <c r="J46" s="12" t="str">
        <f t="shared" si="2"/>
        <v xml:space="preserve">     		&lt;Category("TNX Antenna Record"), Description(""), DisplayName("Antenna Redundant Diag Type 4")&gt;
    		&lt;DataMember()&gt; Public Property AntennaRedundantDiagType4() As String
        			Get
            				Return Me._AntennaRedundantDiagType4
        			End Get
        			Set
            				Me._AntennaRedundantDiagType4 = Value
        			End Set
    		End Property</v>
      </c>
      <c r="K46" s="11" t="str">
        <f>"Me."&amp;A46&amp; " = " &amp; VLOOKUP(C46,Sheet8!A:D,4,FALSE)&amp;"(recRow.Item("""&amp;A46 &amp;""")" &amp; IF(C46="Number",",6","")&amp;")"</f>
        <v>Me.AntennaRedundantDiagType4 = DBtoStr(recRow.Item("AntennaRedundantDiagType4"))</v>
      </c>
      <c r="L46" s="11" t="str">
        <f t="shared" si="3"/>
        <v>insertString = insertString.AddtoDBString(Me.AntennaRedundantDiagType4.ToString)</v>
      </c>
      <c r="M46" s="11" t="str">
        <f t="shared" si="4"/>
        <v>Equals = If(Me.AntennaRedundantDiagType4.CheckChange(otherToCompare.AntennaRedundantDiagType4, changes, categoryName, "Antenna Redundant Diag Type 4"), Equals, False)</v>
      </c>
      <c r="N46" s="12" t="str">
        <f t="shared" si="5"/>
        <v xml:space="preserve"> 	Case tnxVar.Equals("AntennaRedundantDiagType4")
                            Try
                                Me.geometry.upperStructure(recIndex).AntennaRedundantDiagType4 = tnxValue
                            Catch ex As Exception
                                Debug.Print("Error parsing TNX variable: " &amp; tnxVar)
                            End Try</v>
      </c>
      <c r="O46" s="12" t="str">
        <f t="shared" si="6"/>
        <v>If IsSomethingString(.AntennaRedundantDiagType4) Then 'This field does not get saved when generated from CCIpole
newERIList.Add("AntennaRedundantDiagType4=" &amp; .AntennaRedundantDiagType4)
End If</v>
      </c>
      <c r="P46" s="11" t="str">
        <f t="shared" si="7"/>
        <v>SQLInsertValues = SQLInsertValues.AddtoDBString(Me.AntennaRedundantDiagType4.NullableToString.FormatDBValue)</v>
      </c>
      <c r="Q46" s="11" t="str">
        <f t="shared" si="8"/>
        <v>SQLInsertFields = SQLInsertFields.AddtoDBString("AntennaRedundantDiagType4")</v>
      </c>
      <c r="R46" s="11" t="str">
        <f t="shared" si="9"/>
        <v>SQLUpdateFieldsandValues = SQLUpdateFieldsandValues.AddtoDBString("AntennaRedundantDiagType4 = " &amp; Me.AntennaRedundantDiagType4.NullableToString.FormatDBValue)</v>
      </c>
      <c r="S46" s="10" t="s">
        <v>286</v>
      </c>
    </row>
    <row r="47" spans="1:19" ht="150" x14ac:dyDescent="0.25">
      <c r="A47" s="11" t="s">
        <v>1086</v>
      </c>
      <c r="B47" s="11" t="str" cm="1">
        <f t="array" ref="B47">Addspaces(A47)</f>
        <v>Antenna Redundant Hip Type 2</v>
      </c>
      <c r="C47" s="15" t="s">
        <v>1224</v>
      </c>
      <c r="D47" s="13" t="str">
        <f>VLOOKUP(C47,Sheet8!A:C,2,FALSE)</f>
        <v>varchar</v>
      </c>
      <c r="E47" s="15">
        <v>100</v>
      </c>
      <c r="F47" s="13" t="str">
        <f>VLOOKUP(C47,Sheet8!A:C,3,FALSE)</f>
        <v>String</v>
      </c>
      <c r="G47" s="15"/>
      <c r="H47" s="11" t="str">
        <f t="shared" si="0"/>
        <v>ADD AntennaRedundantHipType2 varchar(100),</v>
      </c>
      <c r="I47" s="11" t="str">
        <f t="shared" si="1"/>
        <v xml:space="preserve">Private _AntennaRedundantHipType2 As String </v>
      </c>
      <c r="J47" s="12" t="str">
        <f t="shared" si="2"/>
        <v xml:space="preserve">     		&lt;Category("TNX Antenna Record"), Description(""), DisplayName("Antenna Redundant Hip Type 2")&gt;
    		&lt;DataMember()&gt; Public Property AntennaRedundantHipType2() As String
        			Get
            				Return Me._AntennaRedundantHipType2
        			End Get
        			Set
            				Me._AntennaRedundantHipType2 = Value
        			End Set
    		End Property</v>
      </c>
      <c r="K47" s="11" t="str">
        <f>"Me."&amp;A47&amp; " = " &amp; VLOOKUP(C47,Sheet8!A:D,4,FALSE)&amp;"(recRow.Item("""&amp;A47 &amp;""")" &amp; IF(C47="Number",",6","")&amp;")"</f>
        <v>Me.AntennaRedundantHipType2 = DBtoStr(recRow.Item("AntennaRedundantHipType2"))</v>
      </c>
      <c r="L47" s="11" t="str">
        <f t="shared" si="3"/>
        <v>insertString = insertString.AddtoDBString(Me.AntennaRedundantHipType2.ToString)</v>
      </c>
      <c r="M47" s="11" t="str">
        <f t="shared" si="4"/>
        <v>Equals = If(Me.AntennaRedundantHipType2.CheckChange(otherToCompare.AntennaRedundantHipType2, changes, categoryName, "Antenna Redundant Hip Type 2"), Equals, False)</v>
      </c>
      <c r="N47" s="12" t="str">
        <f t="shared" si="5"/>
        <v xml:space="preserve"> 	Case tnxVar.Equals("AntennaRedundantHipType2")
                            Try
                                Me.geometry.upperStructure(recIndex).AntennaRedundantHipType2 = tnxValue
                            Catch ex As Exception
                                Debug.Print("Error parsing TNX variable: " &amp; tnxVar)
                            End Try</v>
      </c>
      <c r="O47" s="12" t="str">
        <f t="shared" si="6"/>
        <v>If IsSomethingString(.AntennaRedundantHipType2) Then 'This field does not get saved when generated from CCIpole
newERIList.Add("AntennaRedundantHipType2=" &amp; .AntennaRedundantHipType2)
End If</v>
      </c>
      <c r="P47" s="11" t="str">
        <f t="shared" si="7"/>
        <v>SQLInsertValues = SQLInsertValues.AddtoDBString(Me.AntennaRedundantHipType2.NullableToString.FormatDBValue)</v>
      </c>
      <c r="Q47" s="11" t="str">
        <f t="shared" si="8"/>
        <v>SQLInsertFields = SQLInsertFields.AddtoDBString("AntennaRedundantHipType2")</v>
      </c>
      <c r="R47" s="11" t="str">
        <f t="shared" si="9"/>
        <v>SQLUpdateFieldsandValues = SQLUpdateFieldsandValues.AddtoDBString("AntennaRedundantHipType2 = " &amp; Me.AntennaRedundantHipType2.NullableToString.FormatDBValue)</v>
      </c>
      <c r="S47" s="10" t="s">
        <v>286</v>
      </c>
    </row>
    <row r="48" spans="1:19" ht="150" x14ac:dyDescent="0.25">
      <c r="A48" s="11" t="s">
        <v>1087</v>
      </c>
      <c r="B48" s="11" t="str" cm="1">
        <f t="array" ref="B48">Addspaces(A48)</f>
        <v>Antenna Redundant Hip Type 3</v>
      </c>
      <c r="C48" s="15" t="s">
        <v>1224</v>
      </c>
      <c r="D48" s="13" t="str">
        <f>VLOOKUP(C48,Sheet8!A:C,2,FALSE)</f>
        <v>varchar</v>
      </c>
      <c r="E48" s="15">
        <v>100</v>
      </c>
      <c r="F48" s="13" t="str">
        <f>VLOOKUP(C48,Sheet8!A:C,3,FALSE)</f>
        <v>String</v>
      </c>
      <c r="G48" s="15"/>
      <c r="H48" s="11" t="str">
        <f t="shared" si="0"/>
        <v>ADD AntennaRedundantHipType3 varchar(100),</v>
      </c>
      <c r="I48" s="11" t="str">
        <f t="shared" si="1"/>
        <v xml:space="preserve">Private _AntennaRedundantHipType3 As String </v>
      </c>
      <c r="J48" s="12" t="str">
        <f t="shared" si="2"/>
        <v xml:space="preserve">     		&lt;Category("TNX Antenna Record"), Description(""), DisplayName("Antenna Redundant Hip Type 3")&gt;
    		&lt;DataMember()&gt; Public Property AntennaRedundantHipType3() As String
        			Get
            				Return Me._AntennaRedundantHipType3
        			End Get
        			Set
            				Me._AntennaRedundantHipType3 = Value
        			End Set
    		End Property</v>
      </c>
      <c r="K48" s="11" t="str">
        <f>"Me."&amp;A48&amp; " = " &amp; VLOOKUP(C48,Sheet8!A:D,4,FALSE)&amp;"(recRow.Item("""&amp;A48 &amp;""")" &amp; IF(C48="Number",",6","")&amp;")"</f>
        <v>Me.AntennaRedundantHipType3 = DBtoStr(recRow.Item("AntennaRedundantHipType3"))</v>
      </c>
      <c r="L48" s="11" t="str">
        <f t="shared" si="3"/>
        <v>insertString = insertString.AddtoDBString(Me.AntennaRedundantHipType3.ToString)</v>
      </c>
      <c r="M48" s="11" t="str">
        <f t="shared" si="4"/>
        <v>Equals = If(Me.AntennaRedundantHipType3.CheckChange(otherToCompare.AntennaRedundantHipType3, changes, categoryName, "Antenna Redundant Hip Type 3"), Equals, False)</v>
      </c>
      <c r="N48" s="12" t="str">
        <f t="shared" si="5"/>
        <v xml:space="preserve"> 	Case tnxVar.Equals("AntennaRedundantHipType3")
                            Try
                                Me.geometry.upperStructure(recIndex).AntennaRedundantHipType3 = tnxValue
                            Catch ex As Exception
                                Debug.Print("Error parsing TNX variable: " &amp; tnxVar)
                            End Try</v>
      </c>
      <c r="O48" s="12" t="str">
        <f t="shared" si="6"/>
        <v>If IsSomethingString(.AntennaRedundantHipType3) Then 'This field does not get saved when generated from CCIpole
newERIList.Add("AntennaRedundantHipType3=" &amp; .AntennaRedundantHipType3)
End If</v>
      </c>
      <c r="P48" s="11" t="str">
        <f t="shared" si="7"/>
        <v>SQLInsertValues = SQLInsertValues.AddtoDBString(Me.AntennaRedundantHipType3.NullableToString.FormatDBValue)</v>
      </c>
      <c r="Q48" s="11" t="str">
        <f t="shared" si="8"/>
        <v>SQLInsertFields = SQLInsertFields.AddtoDBString("AntennaRedundantHipType3")</v>
      </c>
      <c r="R48" s="11" t="str">
        <f t="shared" si="9"/>
        <v>SQLUpdateFieldsandValues = SQLUpdateFieldsandValues.AddtoDBString("AntennaRedundantHipType3 = " &amp; Me.AntennaRedundantHipType3.NullableToString.FormatDBValue)</v>
      </c>
      <c r="S48" s="10" t="s">
        <v>286</v>
      </c>
    </row>
    <row r="49" spans="1:19" ht="150" x14ac:dyDescent="0.25">
      <c r="A49" s="11" t="s">
        <v>1088</v>
      </c>
      <c r="B49" s="11" t="str" cm="1">
        <f t="array" ref="B49">Addspaces(A49)</f>
        <v>Antenna Redundant Hip Type 4</v>
      </c>
      <c r="C49" s="15" t="s">
        <v>1224</v>
      </c>
      <c r="D49" s="13" t="str">
        <f>VLOOKUP(C49,Sheet8!A:C,2,FALSE)</f>
        <v>varchar</v>
      </c>
      <c r="E49" s="15">
        <v>100</v>
      </c>
      <c r="F49" s="13" t="str">
        <f>VLOOKUP(C49,Sheet8!A:C,3,FALSE)</f>
        <v>String</v>
      </c>
      <c r="G49" s="15"/>
      <c r="H49" s="11" t="str">
        <f t="shared" si="0"/>
        <v>ADD AntennaRedundantHipType4 varchar(100),</v>
      </c>
      <c r="I49" s="11" t="str">
        <f t="shared" si="1"/>
        <v xml:space="preserve">Private _AntennaRedundantHipType4 As String </v>
      </c>
      <c r="J49" s="12" t="str">
        <f t="shared" si="2"/>
        <v xml:space="preserve">     		&lt;Category("TNX Antenna Record"), Description(""), DisplayName("Antenna Redundant Hip Type 4")&gt;
    		&lt;DataMember()&gt; Public Property AntennaRedundantHipType4() As String
        			Get
            				Return Me._AntennaRedundantHipType4
        			End Get
        			Set
            				Me._AntennaRedundantHipType4 = Value
        			End Set
    		End Property</v>
      </c>
      <c r="K49" s="11" t="str">
        <f>"Me."&amp;A49&amp; " = " &amp; VLOOKUP(C49,Sheet8!A:D,4,FALSE)&amp;"(recRow.Item("""&amp;A49 &amp;""")" &amp; IF(C49="Number",",6","")&amp;")"</f>
        <v>Me.AntennaRedundantHipType4 = DBtoStr(recRow.Item("AntennaRedundantHipType4"))</v>
      </c>
      <c r="L49" s="11" t="str">
        <f t="shared" si="3"/>
        <v>insertString = insertString.AddtoDBString(Me.AntennaRedundantHipType4.ToString)</v>
      </c>
      <c r="M49" s="11" t="str">
        <f t="shared" si="4"/>
        <v>Equals = If(Me.AntennaRedundantHipType4.CheckChange(otherToCompare.AntennaRedundantHipType4, changes, categoryName, "Antenna Redundant Hip Type 4"), Equals, False)</v>
      </c>
      <c r="N49" s="12" t="str">
        <f t="shared" si="5"/>
        <v xml:space="preserve"> 	Case tnxVar.Equals("AntennaRedundantHipType4")
                            Try
                                Me.geometry.upperStructure(recIndex).AntennaRedundantHipType4 = tnxValue
                            Catch ex As Exception
                                Debug.Print("Error parsing TNX variable: " &amp; tnxVar)
                            End Try</v>
      </c>
      <c r="O49" s="12" t="str">
        <f t="shared" si="6"/>
        <v>If IsSomethingString(.AntennaRedundantHipType4) Then 'This field does not get saved when generated from CCIpole
newERIList.Add("AntennaRedundantHipType4=" &amp; .AntennaRedundantHipType4)
End If</v>
      </c>
      <c r="P49" s="11" t="str">
        <f t="shared" si="7"/>
        <v>SQLInsertValues = SQLInsertValues.AddtoDBString(Me.AntennaRedundantHipType4.NullableToString.FormatDBValue)</v>
      </c>
      <c r="Q49" s="11" t="str">
        <f t="shared" si="8"/>
        <v>SQLInsertFields = SQLInsertFields.AddtoDBString("AntennaRedundantHipType4")</v>
      </c>
      <c r="R49" s="11" t="str">
        <f t="shared" si="9"/>
        <v>SQLUpdateFieldsandValues = SQLUpdateFieldsandValues.AddtoDBString("AntennaRedundantHipType4 = " &amp; Me.AntennaRedundantHipType4.NullableToString.FormatDBValue)</v>
      </c>
      <c r="S49" s="10" t="s">
        <v>286</v>
      </c>
    </row>
    <row r="50" spans="1:19" ht="150" x14ac:dyDescent="0.25">
      <c r="A50" s="11" t="s">
        <v>1089</v>
      </c>
      <c r="B50" s="11" t="str" cm="1">
        <f t="array" ref="B50">Addspaces(A50)</f>
        <v>Antenna Redundant Hip Diagonal Type 2</v>
      </c>
      <c r="C50" s="15" t="s">
        <v>1224</v>
      </c>
      <c r="D50" s="13" t="str">
        <f>VLOOKUP(C50,Sheet8!A:C,2,FALSE)</f>
        <v>varchar</v>
      </c>
      <c r="E50" s="15">
        <v>100</v>
      </c>
      <c r="F50" s="13" t="str">
        <f>VLOOKUP(C50,Sheet8!A:C,3,FALSE)</f>
        <v>String</v>
      </c>
      <c r="G50" s="15"/>
      <c r="H50" s="11" t="str">
        <f t="shared" si="0"/>
        <v>ADD AntennaRedundantHipDiagonalType2 varchar(100),</v>
      </c>
      <c r="I50" s="11" t="str">
        <f t="shared" si="1"/>
        <v xml:space="preserve">Private _AntennaRedundantHipDiagonalType2 As String </v>
      </c>
      <c r="J50" s="12" t="str">
        <f t="shared" si="2"/>
        <v xml:space="preserve">     		&lt;Category("TNX Antenna Record"), Description(""), DisplayName("Antenna Redundant Hip Diagonal Type 2")&gt;
    		&lt;DataMember()&gt; Public Property AntennaRedundantHipDiagonalType2() As String
        			Get
            				Return Me._AntennaRedundantHipDiagonalType2
        			End Get
        			Set
            				Me._AntennaRedundantHipDiagonalType2 = Value
        			End Set
    		End Property</v>
      </c>
      <c r="K50" s="11" t="str">
        <f>"Me."&amp;A50&amp; " = " &amp; VLOOKUP(C50,Sheet8!A:D,4,FALSE)&amp;"(recRow.Item("""&amp;A50 &amp;""")" &amp; IF(C50="Number",",6","")&amp;")"</f>
        <v>Me.AntennaRedundantHipDiagonalType2 = DBtoStr(recRow.Item("AntennaRedundantHipDiagonalType2"))</v>
      </c>
      <c r="L50" s="11" t="str">
        <f t="shared" si="3"/>
        <v>insertString = insertString.AddtoDBString(Me.AntennaRedundantHipDiagonalType2.ToString)</v>
      </c>
      <c r="M50" s="11" t="str">
        <f t="shared" si="4"/>
        <v>Equals = If(Me.AntennaRedundantHipDiagonalType2.CheckChange(otherToCompare.AntennaRedundantHipDiagonalType2, changes, categoryName, "Antenna Redundant Hip Diagonal Type 2"), Equals, False)</v>
      </c>
      <c r="N50" s="12" t="str">
        <f t="shared" si="5"/>
        <v xml:space="preserve"> 	Case tnxVar.Equals("AntennaRedundantHipDiagonalType2")
                            Try
                                Me.geometry.upperStructure(recIndex).AntennaRedundantHipDiagonalType2 = tnxValue
                            Catch ex As Exception
                                Debug.Print("Error parsing TNX variable: " &amp; tnxVar)
                            End Try</v>
      </c>
      <c r="O50" s="12" t="str">
        <f t="shared" si="6"/>
        <v>If IsSomethingString(.AntennaRedundantHipDiagonalType2) Then 'This field does not get saved when generated from CCIpole
newERIList.Add("AntennaRedundantHipDiagonalType2=" &amp; .AntennaRedundantHipDiagonalType2)
End If</v>
      </c>
      <c r="P50" s="11" t="str">
        <f t="shared" si="7"/>
        <v>SQLInsertValues = SQLInsertValues.AddtoDBString(Me.AntennaRedundantHipDiagonalType2.NullableToString.FormatDBValue)</v>
      </c>
      <c r="Q50" s="11" t="str">
        <f t="shared" si="8"/>
        <v>SQLInsertFields = SQLInsertFields.AddtoDBString("AntennaRedundantHipDiagonalType2")</v>
      </c>
      <c r="R50" s="11" t="str">
        <f t="shared" si="9"/>
        <v>SQLUpdateFieldsandValues = SQLUpdateFieldsandValues.AddtoDBString("AntennaRedundantHipDiagonalType2 = " &amp; Me.AntennaRedundantHipDiagonalType2.NullableToString.FormatDBValue)</v>
      </c>
      <c r="S50" s="10" t="s">
        <v>286</v>
      </c>
    </row>
    <row r="51" spans="1:19" ht="150" x14ac:dyDescent="0.25">
      <c r="A51" s="11" t="s">
        <v>1090</v>
      </c>
      <c r="B51" s="11" t="str" cm="1">
        <f t="array" ref="B51">Addspaces(A51)</f>
        <v>Antenna Redundant Hip Diagonal Type 3</v>
      </c>
      <c r="C51" s="15" t="s">
        <v>1224</v>
      </c>
      <c r="D51" s="13" t="str">
        <f>VLOOKUP(C51,Sheet8!A:C,2,FALSE)</f>
        <v>varchar</v>
      </c>
      <c r="E51" s="15">
        <v>100</v>
      </c>
      <c r="F51" s="13" t="str">
        <f>VLOOKUP(C51,Sheet8!A:C,3,FALSE)</f>
        <v>String</v>
      </c>
      <c r="G51" s="15"/>
      <c r="H51" s="11" t="str">
        <f t="shared" si="0"/>
        <v>ADD AntennaRedundantHipDiagonalType3 varchar(100),</v>
      </c>
      <c r="I51" s="11" t="str">
        <f t="shared" si="1"/>
        <v xml:space="preserve">Private _AntennaRedundantHipDiagonalType3 As String </v>
      </c>
      <c r="J51" s="12" t="str">
        <f t="shared" si="2"/>
        <v xml:space="preserve">     		&lt;Category("TNX Antenna Record"), Description(""), DisplayName("Antenna Redundant Hip Diagonal Type 3")&gt;
    		&lt;DataMember()&gt; Public Property AntennaRedundantHipDiagonalType3() As String
        			Get
            				Return Me._AntennaRedundantHipDiagonalType3
        			End Get
        			Set
            				Me._AntennaRedundantHipDiagonalType3 = Value
        			End Set
    		End Property</v>
      </c>
      <c r="K51" s="11" t="str">
        <f>"Me."&amp;A51&amp; " = " &amp; VLOOKUP(C51,Sheet8!A:D,4,FALSE)&amp;"(recRow.Item("""&amp;A51 &amp;""")" &amp; IF(C51="Number",",6","")&amp;")"</f>
        <v>Me.AntennaRedundantHipDiagonalType3 = DBtoStr(recRow.Item("AntennaRedundantHipDiagonalType3"))</v>
      </c>
      <c r="L51" s="11" t="str">
        <f t="shared" si="3"/>
        <v>insertString = insertString.AddtoDBString(Me.AntennaRedundantHipDiagonalType3.ToString)</v>
      </c>
      <c r="M51" s="11" t="str">
        <f t="shared" si="4"/>
        <v>Equals = If(Me.AntennaRedundantHipDiagonalType3.CheckChange(otherToCompare.AntennaRedundantHipDiagonalType3, changes, categoryName, "Antenna Redundant Hip Diagonal Type 3"), Equals, False)</v>
      </c>
      <c r="N51" s="12" t="str">
        <f t="shared" si="5"/>
        <v xml:space="preserve"> 	Case tnxVar.Equals("AntennaRedundantHipDiagonalType3")
                            Try
                                Me.geometry.upperStructure(recIndex).AntennaRedundantHipDiagonalType3 = tnxValue
                            Catch ex As Exception
                                Debug.Print("Error parsing TNX variable: " &amp; tnxVar)
                            End Try</v>
      </c>
      <c r="O51" s="12" t="str">
        <f t="shared" si="6"/>
        <v>If IsSomethingString(.AntennaRedundantHipDiagonalType3) Then 'This field does not get saved when generated from CCIpole
newERIList.Add("AntennaRedundantHipDiagonalType3=" &amp; .AntennaRedundantHipDiagonalType3)
End If</v>
      </c>
      <c r="P51" s="11" t="str">
        <f t="shared" si="7"/>
        <v>SQLInsertValues = SQLInsertValues.AddtoDBString(Me.AntennaRedundantHipDiagonalType3.NullableToString.FormatDBValue)</v>
      </c>
      <c r="Q51" s="11" t="str">
        <f t="shared" si="8"/>
        <v>SQLInsertFields = SQLInsertFields.AddtoDBString("AntennaRedundantHipDiagonalType3")</v>
      </c>
      <c r="R51" s="11" t="str">
        <f t="shared" si="9"/>
        <v>SQLUpdateFieldsandValues = SQLUpdateFieldsandValues.AddtoDBString("AntennaRedundantHipDiagonalType3 = " &amp; Me.AntennaRedundantHipDiagonalType3.NullableToString.FormatDBValue)</v>
      </c>
      <c r="S51" s="10" t="s">
        <v>286</v>
      </c>
    </row>
    <row r="52" spans="1:19" ht="150" x14ac:dyDescent="0.25">
      <c r="A52" s="11" t="s">
        <v>1091</v>
      </c>
      <c r="B52" s="11" t="str" cm="1">
        <f t="array" ref="B52">Addspaces(A52)</f>
        <v>Antenna Redundant Hip Diagonal Type 4</v>
      </c>
      <c r="C52" s="15" t="s">
        <v>1224</v>
      </c>
      <c r="D52" s="13" t="str">
        <f>VLOOKUP(C52,Sheet8!A:C,2,FALSE)</f>
        <v>varchar</v>
      </c>
      <c r="E52" s="15">
        <v>100</v>
      </c>
      <c r="F52" s="13" t="str">
        <f>VLOOKUP(C52,Sheet8!A:C,3,FALSE)</f>
        <v>String</v>
      </c>
      <c r="G52" s="15"/>
      <c r="H52" s="11" t="str">
        <f t="shared" si="0"/>
        <v>ADD AntennaRedundantHipDiagonalType4 varchar(100),</v>
      </c>
      <c r="I52" s="11" t="str">
        <f t="shared" si="1"/>
        <v xml:space="preserve">Private _AntennaRedundantHipDiagonalType4 As String </v>
      </c>
      <c r="J52" s="12" t="str">
        <f t="shared" si="2"/>
        <v xml:space="preserve">     		&lt;Category("TNX Antenna Record"), Description(""), DisplayName("Antenna Redundant Hip Diagonal Type 4")&gt;
    		&lt;DataMember()&gt; Public Property AntennaRedundantHipDiagonalType4() As String
        			Get
            				Return Me._AntennaRedundantHipDiagonalType4
        			End Get
        			Set
            				Me._AntennaRedundantHipDiagonalType4 = Value
        			End Set
    		End Property</v>
      </c>
      <c r="K52" s="11" t="str">
        <f>"Me."&amp;A52&amp; " = " &amp; VLOOKUP(C52,Sheet8!A:D,4,FALSE)&amp;"(recRow.Item("""&amp;A52 &amp;""")" &amp; IF(C52="Number",",6","")&amp;")"</f>
        <v>Me.AntennaRedundantHipDiagonalType4 = DBtoStr(recRow.Item("AntennaRedundantHipDiagonalType4"))</v>
      </c>
      <c r="L52" s="11" t="str">
        <f t="shared" si="3"/>
        <v>insertString = insertString.AddtoDBString(Me.AntennaRedundantHipDiagonalType4.ToString)</v>
      </c>
      <c r="M52" s="11" t="str">
        <f t="shared" si="4"/>
        <v>Equals = If(Me.AntennaRedundantHipDiagonalType4.CheckChange(otherToCompare.AntennaRedundantHipDiagonalType4, changes, categoryName, "Antenna Redundant Hip Diagonal Type 4"), Equals, False)</v>
      </c>
      <c r="N52" s="12" t="str">
        <f t="shared" si="5"/>
        <v xml:space="preserve"> 	Case tnxVar.Equals("AntennaRedundantHipDiagonalType4")
                            Try
                                Me.geometry.upperStructure(recIndex).AntennaRedundantHipDiagonalType4 = tnxValue
                            Catch ex As Exception
                                Debug.Print("Error parsing TNX variable: " &amp; tnxVar)
                            End Try</v>
      </c>
      <c r="O52" s="12" t="str">
        <f t="shared" si="6"/>
        <v>If IsSomethingString(.AntennaRedundantHipDiagonalType4) Then 'This field does not get saved when generated from CCIpole
newERIList.Add("AntennaRedundantHipDiagonalType4=" &amp; .AntennaRedundantHipDiagonalType4)
End If</v>
      </c>
      <c r="P52" s="11" t="str">
        <f t="shared" si="7"/>
        <v>SQLInsertValues = SQLInsertValues.AddtoDBString(Me.AntennaRedundantHipDiagonalType4.NullableToString.FormatDBValue)</v>
      </c>
      <c r="Q52" s="11" t="str">
        <f t="shared" si="8"/>
        <v>SQLInsertFields = SQLInsertFields.AddtoDBString("AntennaRedundantHipDiagonalType4")</v>
      </c>
      <c r="R52" s="11" t="str">
        <f t="shared" si="9"/>
        <v>SQLUpdateFieldsandValues = SQLUpdateFieldsandValues.AddtoDBString("AntennaRedundantHipDiagonalType4 = " &amp; Me.AntennaRedundantHipDiagonalType4.NullableToString.FormatDBValue)</v>
      </c>
      <c r="S52" s="10" t="s">
        <v>286</v>
      </c>
    </row>
    <row r="53" spans="1:19" ht="150" x14ac:dyDescent="0.25">
      <c r="A53" s="11" t="s">
        <v>1095</v>
      </c>
      <c r="B53" s="11" t="str" cm="1">
        <f t="array" ref="B53">Addspaces(A53)</f>
        <v>Antenna Redundant Horizontal Bolt Grade 1</v>
      </c>
      <c r="C53" s="15" t="s">
        <v>1224</v>
      </c>
      <c r="D53" s="13" t="str">
        <f>VLOOKUP(C53,Sheet8!A:C,2,FALSE)</f>
        <v>varchar</v>
      </c>
      <c r="E53" s="15">
        <v>100</v>
      </c>
      <c r="F53" s="13" t="str">
        <f>VLOOKUP(C53,Sheet8!A:C,3,FALSE)</f>
        <v>String</v>
      </c>
      <c r="G53" s="15"/>
      <c r="H53" s="11" t="str">
        <f t="shared" si="0"/>
        <v>ADD AntennaRedundantHorizontalBoltGrade1 varchar(100),</v>
      </c>
      <c r="I53" s="11" t="str">
        <f t="shared" si="1"/>
        <v xml:space="preserve">Private _AntennaRedundantHorizontalBoltGrade1 As String </v>
      </c>
      <c r="J53" s="12" t="str">
        <f t="shared" si="2"/>
        <v xml:space="preserve">     		&lt;Category("TNX Antenna Record"), Description(""), DisplayName("Antenna Redundant Horizontal Bolt Grade 1")&gt;
    		&lt;DataMember()&gt; Public Property AntennaRedundantHorizontalBoltGrade1() As String
        			Get
            				Return Me._AntennaRedundantHorizontalBoltGrade1
        			End Get
        			Set
            				Me._AntennaRedundantHorizontalBoltGrade1 = Value
        			End Set
    		End Property</v>
      </c>
      <c r="K53" s="11" t="str">
        <f>"Me."&amp;A53&amp; " = " &amp; VLOOKUP(C53,Sheet8!A:D,4,FALSE)&amp;"(recRow.Item("""&amp;A53 &amp;""")" &amp; IF(C53="Number",",6","")&amp;")"</f>
        <v>Me.AntennaRedundantHorizontalBoltGrade1 = DBtoStr(recRow.Item("AntennaRedundantHorizontalBoltGrade1"))</v>
      </c>
      <c r="L53" s="11" t="str">
        <f t="shared" si="3"/>
        <v>insertString = insertString.AddtoDBString(Me.AntennaRedundantHorizontalBoltGrade1.ToString)</v>
      </c>
      <c r="M53" s="11" t="str">
        <f t="shared" si="4"/>
        <v>Equals = If(Me.AntennaRedundantHorizontalBoltGrade1.CheckChange(otherToCompare.AntennaRedundantHorizontalBoltGrade1, changes, categoryName, "Antenna Redundant Horizontal Bolt Grade 1"), Equals, False)</v>
      </c>
      <c r="N53" s="12" t="str">
        <f t="shared" si="5"/>
        <v xml:space="preserve"> 	Case tnxVar.Equals("AntennaRedundantHorizontalBoltGrade1")
                            Try
                                Me.geometry.upperStructure(recIndex).AntennaRedundantHorizontalBoltGrade1 = tnxValue
                            Catch ex As Exception
                                Debug.Print("Error parsing TNX variable: " &amp; tnxVar)
                            End Try</v>
      </c>
      <c r="O53" s="12" t="str">
        <f t="shared" si="6"/>
        <v>If IsSomethingString(.AntennaRedundantHorizontalBoltGrade1) Then 'This field does not get saved when generated from CCIpole
newERIList.Add("AntennaRedundantHorizontalBoltGrade1=" &amp; .AntennaRedundantHorizontalBoltGrade1)
End If</v>
      </c>
      <c r="P53" s="11" t="str">
        <f t="shared" si="7"/>
        <v>SQLInsertValues = SQLInsertValues.AddtoDBString(Me.AntennaRedundantHorizontalBoltGrade1.NullableToString.FormatDBValue)</v>
      </c>
      <c r="Q53" s="11" t="str">
        <f t="shared" si="8"/>
        <v>SQLInsertFields = SQLInsertFields.AddtoDBString("AntennaRedundantHorizontalBoltGrade1")</v>
      </c>
      <c r="R53" s="11" t="str">
        <f t="shared" si="9"/>
        <v>SQLUpdateFieldsandValues = SQLUpdateFieldsandValues.AddtoDBString("AntennaRedundantHorizontalBoltGrade1 = " &amp; Me.AntennaRedundantHorizontalBoltGrade1.NullableToString.FormatDBValue)</v>
      </c>
      <c r="S53" s="10" t="s">
        <v>286</v>
      </c>
    </row>
    <row r="54" spans="1:19" ht="150" x14ac:dyDescent="0.25">
      <c r="A54" s="11" t="s">
        <v>1096</v>
      </c>
      <c r="B54" s="11" t="str" cm="1">
        <f t="array" ref="B54">Addspaces(A54)</f>
        <v>Antenna Redundant Horizontal Bolt Size 1</v>
      </c>
      <c r="C54" s="15" t="s">
        <v>1225</v>
      </c>
      <c r="D54" s="13" t="str">
        <f>VLOOKUP(C54,Sheet8!A:C,2,FALSE)</f>
        <v>decimal(18, 6)</v>
      </c>
      <c r="E54" s="15"/>
      <c r="F54" s="13" t="str">
        <f>VLOOKUP(C54,Sheet8!A:C,3,FALSE)</f>
        <v>Double?</v>
      </c>
      <c r="G54" s="15"/>
      <c r="H54" s="11" t="str">
        <f t="shared" si="0"/>
        <v>ADD AntennaRedundantHorizontalBoltSize1 decimal(18, 6),</v>
      </c>
      <c r="I54" s="11" t="str">
        <f t="shared" si="1"/>
        <v xml:space="preserve">Private _AntennaRedundantHorizontalBoltSize1 As Double? </v>
      </c>
      <c r="J54" s="12" t="str">
        <f t="shared" si="2"/>
        <v xml:space="preserve">     		&lt;Category("TNX Antenna Record"), Description(""), DisplayName("Antenna Redundant Horizontal Bolt Size 1")&gt;
    		&lt;DataMember()&gt; Public Property AntennaRedundantHorizontalBoltSize1() As Double?
        			Get
            				Return Me._AntennaRedundantHorizontalBoltSize1
        			End Get
        			Set
            				Me._AntennaRedundantHorizontalBoltSize1 = Value
        			End Set
    		End Property</v>
      </c>
      <c r="K54" s="11" t="str">
        <f>"Me."&amp;A54&amp; " = " &amp; VLOOKUP(C54,Sheet8!A:D,4,FALSE)&amp;"(recRow.Item("""&amp;A54 &amp;""")" &amp; IF(C54="Number",",6","")&amp;")"</f>
        <v>Me.AntennaRedundantHorizontalBoltSize1 = DBtoNullableDec(recRow.Item("AntennaRedundantHorizontalBoltSize1"),6)</v>
      </c>
      <c r="L54" s="11" t="str">
        <f t="shared" si="3"/>
        <v>insertString = insertString.AddtoDBString(Me.AntennaRedundantHorizontalBoltSize1.ToString)</v>
      </c>
      <c r="M54" s="11" t="str">
        <f t="shared" si="4"/>
        <v>Equals = If(Me.AntennaRedundantHorizontalBoltSize1.CheckChange(otherToCompare.AntennaRedundantHorizontalBoltSize1, changes, categoryName, "Antenna Redundant Horizontal Bolt Size 1"), Equals, False)</v>
      </c>
      <c r="N54" s="12" t="str">
        <f t="shared" si="5"/>
        <v xml:space="preserve"> 	Case tnxVar.Equals("AntennaRedundantHorizontalBoltSize1")
                            Try
                                Me.geometry.upperStructure(recIndex).AntennaRedundantHorizontalBoltSize1 = tnxValue
                            Catch ex As Exception
                                Debug.Print("Error parsing TNX variable: " &amp; tnxVar)
                            End Try</v>
      </c>
      <c r="O54" s="12" t="str">
        <f t="shared" si="6"/>
        <v>If Not IsNothing(Me.settings.USUnits.Strength.convertToERIUnits(.AntennaRedundantHorizontalBoltSize1)) Then 'This field does not get saved when generated from CCIpole
                                newERIList.Add("AntennaRedundantHorizontalBoltSize1=" &amp; Me.settings.USUnits.Strength.convertToERIUnits(.AntennaRedundantHorizontalBoltSize1))
                            End If</v>
      </c>
      <c r="P54" s="11" t="str">
        <f t="shared" si="7"/>
        <v>SQLInsertValues = SQLInsertValues.AddtoDBString(Me.AntennaRedundantHorizontalBoltSize1.NullableToString.FormatDBValue)</v>
      </c>
      <c r="Q54" s="11" t="str">
        <f t="shared" si="8"/>
        <v>SQLInsertFields = SQLInsertFields.AddtoDBString("AntennaRedundantHorizontalBoltSize1")</v>
      </c>
      <c r="R54" s="11" t="str">
        <f t="shared" si="9"/>
        <v>SQLUpdateFieldsandValues = SQLUpdateFieldsandValues.AddtoDBString("AntennaRedundantHorizontalBoltSize1 = " &amp; Me.AntennaRedundantHorizontalBoltSize1.NullableToString.FormatDBValue)</v>
      </c>
      <c r="S54" s="10" t="s">
        <v>286</v>
      </c>
    </row>
    <row r="55" spans="1:19" ht="150" x14ac:dyDescent="0.25">
      <c r="A55" s="11" t="s">
        <v>1097</v>
      </c>
      <c r="B55" s="11" t="str" cm="1">
        <f t="array" ref="B55">Addspaces(A55)</f>
        <v>Antenna Redundant Horizontal Num Bolts 1</v>
      </c>
      <c r="C55" s="15" t="s">
        <v>1234</v>
      </c>
      <c r="D55" s="13" t="str">
        <f>VLOOKUP(C55,Sheet8!A:C,2,FALSE)</f>
        <v>int</v>
      </c>
      <c r="E55" s="15"/>
      <c r="F55" s="13" t="str">
        <f>VLOOKUP(C55,Sheet8!A:C,3,FALSE)</f>
        <v>Integer?</v>
      </c>
      <c r="G55" s="15"/>
      <c r="H55" s="11" t="str">
        <f t="shared" si="0"/>
        <v>ADD AntennaRedundantHorizontalNumBolts1 int,</v>
      </c>
      <c r="I55" s="11" t="str">
        <f t="shared" si="1"/>
        <v xml:space="preserve">Private _AntennaRedundantHorizontalNumBolts1 As Integer? </v>
      </c>
      <c r="J55" s="12" t="str">
        <f t="shared" si="2"/>
        <v xml:space="preserve">     		&lt;Category("TNX Antenna Record"), Description(""), DisplayName("Antenna Redundant Horizontal Num Bolts 1")&gt;
    		&lt;DataMember()&gt; Public Property AntennaRedundantHorizontalNumBolts1() As Integer?
        			Get
            				Return Me._AntennaRedundantHorizontalNumBolts1
        			End Get
        			Set
            				Me._AntennaRedundantHorizontalNumBolts1 = Value
        			End Set
    		End Property</v>
      </c>
      <c r="K55" s="11" t="str">
        <f>"Me."&amp;A55&amp; " = " &amp; VLOOKUP(C55,Sheet8!A:D,4,FALSE)&amp;"(recRow.Item("""&amp;A55 &amp;""")" &amp; IF(C55="Number",",6","")&amp;")"</f>
        <v>Me.AntennaRedundantHorizontalNumBolts1 = DBtoNullableInt(recRow.Item("AntennaRedundantHorizontalNumBolts1"))</v>
      </c>
      <c r="L55" s="11" t="str">
        <f t="shared" si="3"/>
        <v>insertString = insertString.AddtoDBString(Me.AntennaRedundantHorizontalNumBolts1.ToString)</v>
      </c>
      <c r="M55" s="11" t="str">
        <f t="shared" si="4"/>
        <v>Equals = If(Me.AntennaRedundantHorizontalNumBolts1.CheckChange(otherToCompare.AntennaRedundantHorizontalNumBolts1, changes, categoryName, "Antenna Redundant Horizontal Num Bolts 1"), Equals, False)</v>
      </c>
      <c r="N55" s="12" t="str">
        <f t="shared" si="5"/>
        <v xml:space="preserve"> 	Case tnxVar.Equals("AntennaRedundantHorizontalNumBolts1")
                            Try
                                Me.geometry.upperStructure(recIndex).AntennaRedundantHorizontalNumBolts1 = tnxValue
                            Catch ex As Exception
                                Debug.Print("Error parsing TNX variable: " &amp; tnxVar)
                            End Try</v>
      </c>
      <c r="O55" s="12" t="str">
        <f t="shared" si="6"/>
        <v>newERIList.Add("AntennaRedundantHorizontalNumBolts1=" &amp; .AntennaRedundantHorizontalNumBolts1)</v>
      </c>
      <c r="P55" s="11" t="str">
        <f t="shared" si="7"/>
        <v>SQLInsertValues = SQLInsertValues.AddtoDBString(Me.AntennaRedundantHorizontalNumBolts1.NullableToString.FormatDBValue)</v>
      </c>
      <c r="Q55" s="11" t="str">
        <f t="shared" si="8"/>
        <v>SQLInsertFields = SQLInsertFields.AddtoDBString("AntennaRedundantHorizontalNumBolts1")</v>
      </c>
      <c r="R55" s="11" t="str">
        <f t="shared" si="9"/>
        <v>SQLUpdateFieldsandValues = SQLUpdateFieldsandValues.AddtoDBString("AntennaRedundantHorizontalNumBolts1 = " &amp; Me.AntennaRedundantHorizontalNumBolts1.NullableToString.FormatDBValue)</v>
      </c>
      <c r="S55" s="10" t="s">
        <v>286</v>
      </c>
    </row>
    <row r="56" spans="1:19" ht="165" x14ac:dyDescent="0.25">
      <c r="A56" s="11" t="s">
        <v>1098</v>
      </c>
      <c r="B56" s="11" t="str" cm="1">
        <f t="array" ref="B56">Addspaces(A56)</f>
        <v>Antenna Redundant Horizontal Bolt Edge Distance 1</v>
      </c>
      <c r="C56" s="15" t="s">
        <v>1225</v>
      </c>
      <c r="D56" s="13" t="str">
        <f>VLOOKUP(C56,Sheet8!A:C,2,FALSE)</f>
        <v>decimal(18, 6)</v>
      </c>
      <c r="E56" s="15"/>
      <c r="F56" s="13" t="str">
        <f>VLOOKUP(C56,Sheet8!A:C,3,FALSE)</f>
        <v>Double?</v>
      </c>
      <c r="G56" s="15"/>
      <c r="H56" s="11" t="str">
        <f t="shared" si="0"/>
        <v>ADD AntennaRedundantHorizontalBoltEdgeDistance1 decimal(18, 6),</v>
      </c>
      <c r="I56" s="11" t="str">
        <f t="shared" si="1"/>
        <v xml:space="preserve">Private _AntennaRedundantHorizontalBoltEdgeDistance1 As Double? </v>
      </c>
      <c r="J56" s="12" t="str">
        <f t="shared" si="2"/>
        <v xml:space="preserve">     		&lt;Category("TNX Antenna Record"), Description(""), DisplayName("Antenna Redundant Horizontal Bolt Edge Distance 1")&gt;
    		&lt;DataMember()&gt; Public Property AntennaRedundantHorizontalBoltEdgeDistance1() As Double?
        			Get
            				Return Me._AntennaRedundantHorizontalBoltEdgeDistance1
        			End Get
        			Set
            				Me._AntennaRedundantHorizontalBoltEdgeDistance1 = Value
        			End Set
    		End Property</v>
      </c>
      <c r="K56" s="11" t="str">
        <f>"Me."&amp;A56&amp; " = " &amp; VLOOKUP(C56,Sheet8!A:D,4,FALSE)&amp;"(recRow.Item("""&amp;A56 &amp;""")" &amp; IF(C56="Number",",6","")&amp;")"</f>
        <v>Me.AntennaRedundantHorizontalBoltEdgeDistance1 = DBtoNullableDec(recRow.Item("AntennaRedundantHorizontalBoltEdgeDistance1"),6)</v>
      </c>
      <c r="L56" s="11" t="str">
        <f t="shared" si="3"/>
        <v>insertString = insertString.AddtoDBString(Me.AntennaRedundantHorizontalBoltEdgeDistance1.ToString)</v>
      </c>
      <c r="M56" s="11" t="str">
        <f t="shared" si="4"/>
        <v>Equals = If(Me.AntennaRedundantHorizontalBoltEdgeDistance1.CheckChange(otherToCompare.AntennaRedundantHorizontalBoltEdgeDistance1, changes, categoryName, "Antenna Redundant Horizontal Bolt Edge Distance 1"), Equals, False)</v>
      </c>
      <c r="N56" s="12" t="str">
        <f t="shared" si="5"/>
        <v xml:space="preserve"> 	Case tnxVar.Equals("AntennaRedundantHorizontalBoltEdgeDistance1")
                            Try
                                Me.geometry.upperStructure(recIndex).AntennaRedundantHorizontalBoltEdgeDistance1 = tnxValue
                            Catch ex As Exception
                                Debug.Print("Error parsing TNX variable: " &amp; tnxVar)
                            End Try</v>
      </c>
      <c r="O56" s="12" t="str">
        <f t="shared" si="6"/>
        <v>If Not IsNothing(Me.settings.USUnits.Strength.convertToERIUnits(.AntennaRedundantHorizontalBoltEdgeDistance1)) Then 'This field does not get saved when generated from CCIpole
                                newERIList.Add("AntennaRedundantHorizontalBoltEdgeDistance1=" &amp; Me.settings.USUnits.Strength.convertToERIUnits(.AntennaRedundantHorizontalBoltEdgeDistance1))
                            End If</v>
      </c>
      <c r="P56" s="11" t="str">
        <f t="shared" si="7"/>
        <v>SQLInsertValues = SQLInsertValues.AddtoDBString(Me.AntennaRedundantHorizontalBoltEdgeDistance1.NullableToString.FormatDBValue)</v>
      </c>
      <c r="Q56" s="11" t="str">
        <f t="shared" si="8"/>
        <v>SQLInsertFields = SQLInsertFields.AddtoDBString("AntennaRedundantHorizontalBoltEdgeDistance1")</v>
      </c>
      <c r="R56" s="11" t="str">
        <f t="shared" si="9"/>
        <v>SQLUpdateFieldsandValues = SQLUpdateFieldsandValues.AddtoDBString("AntennaRedundantHorizontalBoltEdgeDistance1 = " &amp; Me.AntennaRedundantHorizontalBoltEdgeDistance1.NullableToString.FormatDBValue)</v>
      </c>
      <c r="S56" s="10" t="s">
        <v>286</v>
      </c>
    </row>
    <row r="57" spans="1:19" ht="165" x14ac:dyDescent="0.25">
      <c r="A57" s="11" t="s">
        <v>1099</v>
      </c>
      <c r="B57" s="11" t="str" cm="1">
        <f t="array" ref="B57">Addspaces(A57)</f>
        <v>Antenna Redundant Horizontal Gage G 1 Distance 1</v>
      </c>
      <c r="C57" s="15" t="s">
        <v>1225</v>
      </c>
      <c r="D57" s="13" t="str">
        <f>VLOOKUP(C57,Sheet8!A:C,2,FALSE)</f>
        <v>decimal(18, 6)</v>
      </c>
      <c r="E57" s="15"/>
      <c r="F57" s="13" t="str">
        <f>VLOOKUP(C57,Sheet8!A:C,3,FALSE)</f>
        <v>Double?</v>
      </c>
      <c r="G57" s="15"/>
      <c r="H57" s="11" t="str">
        <f t="shared" si="0"/>
        <v>ADD AntennaRedundantHorizontalGageG1Distance1 decimal(18, 6),</v>
      </c>
      <c r="I57" s="11" t="str">
        <f t="shared" si="1"/>
        <v xml:space="preserve">Private _AntennaRedundantHorizontalGageG1Distance1 As Double? </v>
      </c>
      <c r="J57" s="12" t="str">
        <f t="shared" si="2"/>
        <v xml:space="preserve">     		&lt;Category("TNX Antenna Record"), Description(""), DisplayName("Antenna Redundant Horizontal Gage G 1 Distance 1")&gt;
    		&lt;DataMember()&gt; Public Property AntennaRedundantHorizontalGageG1Distance1() As Double?
        			Get
            				Return Me._AntennaRedundantHorizontalGageG1Distance1
        			End Get
        			Set
            				Me._AntennaRedundantHorizontalGageG1Distance1 = Value
        			End Set
    		End Property</v>
      </c>
      <c r="K57" s="11" t="str">
        <f>"Me."&amp;A57&amp; " = " &amp; VLOOKUP(C57,Sheet8!A:D,4,FALSE)&amp;"(recRow.Item("""&amp;A57 &amp;""")" &amp; IF(C57="Number",",6","")&amp;")"</f>
        <v>Me.AntennaRedundantHorizontalGageG1Distance1 = DBtoNullableDec(recRow.Item("AntennaRedundantHorizontalGageG1Distance1"),6)</v>
      </c>
      <c r="L57" s="11" t="str">
        <f t="shared" si="3"/>
        <v>insertString = insertString.AddtoDBString(Me.AntennaRedundantHorizontalGageG1Distance1.ToString)</v>
      </c>
      <c r="M57" s="11" t="str">
        <f t="shared" si="4"/>
        <v>Equals = If(Me.AntennaRedundantHorizontalGageG1Distance1.CheckChange(otherToCompare.AntennaRedundantHorizontalGageG1Distance1, changes, categoryName, "Antenna Redundant Horizontal Gage G 1 Distance 1"), Equals, False)</v>
      </c>
      <c r="N57" s="12" t="str">
        <f t="shared" si="5"/>
        <v xml:space="preserve"> 	Case tnxVar.Equals("AntennaRedundantHorizontalGageG1Distance1")
                            Try
                                Me.geometry.upperStructure(recIndex).AntennaRedundantHorizontalGageG1Distance1 = tnxValue
                            Catch ex As Exception
                                Debug.Print("Error parsing TNX variable: " &amp; tnxVar)
                            End Try</v>
      </c>
      <c r="O57" s="12" t="str">
        <f t="shared" si="6"/>
        <v>If Not IsNothing(Me.settings.USUnits.Strength.convertToERIUnits(.AntennaRedundantHorizontalGageG1Distance1)) Then 'This field does not get saved when generated from CCIpole
                                newERIList.Add("AntennaRedundantHorizontalGageG1Distance1=" &amp; Me.settings.USUnits.Strength.convertToERIUnits(.AntennaRedundantHorizontalGageG1Distance1))
                            End If</v>
      </c>
      <c r="P57" s="11" t="str">
        <f t="shared" si="7"/>
        <v>SQLInsertValues = SQLInsertValues.AddtoDBString(Me.AntennaRedundantHorizontalGageG1Distance1.NullableToString.FormatDBValue)</v>
      </c>
      <c r="Q57" s="11" t="str">
        <f t="shared" si="8"/>
        <v>SQLInsertFields = SQLInsertFields.AddtoDBString("AntennaRedundantHorizontalGageG1Distance1")</v>
      </c>
      <c r="R57" s="11" t="str">
        <f t="shared" si="9"/>
        <v>SQLUpdateFieldsandValues = SQLUpdateFieldsandValues.AddtoDBString("AntennaRedundantHorizontalGageG1Distance1 = " &amp; Me.AntennaRedundantHorizontalGageG1Distance1.NullableToString.FormatDBValue)</v>
      </c>
      <c r="S57" s="10" t="s">
        <v>286</v>
      </c>
    </row>
    <row r="58" spans="1:19" ht="165" x14ac:dyDescent="0.25">
      <c r="A58" s="11" t="s">
        <v>1100</v>
      </c>
      <c r="B58" s="11" t="str" cm="1">
        <f t="array" ref="B58">Addspaces(A58)</f>
        <v>Antenna Redundant Horizontal Net Width Deduct 1</v>
      </c>
      <c r="C58" s="15" t="s">
        <v>1225</v>
      </c>
      <c r="D58" s="13" t="str">
        <f>VLOOKUP(C58,Sheet8!A:C,2,FALSE)</f>
        <v>decimal(18, 6)</v>
      </c>
      <c r="E58" s="15"/>
      <c r="F58" s="13" t="str">
        <f>VLOOKUP(C58,Sheet8!A:C,3,FALSE)</f>
        <v>Double?</v>
      </c>
      <c r="G58" s="15"/>
      <c r="H58" s="11" t="str">
        <f t="shared" si="0"/>
        <v>ADD AntennaRedundantHorizontalNetWidthDeduct1 decimal(18, 6),</v>
      </c>
      <c r="I58" s="11" t="str">
        <f t="shared" si="1"/>
        <v xml:space="preserve">Private _AntennaRedundantHorizontalNetWidthDeduct1 As Double? </v>
      </c>
      <c r="J58" s="12" t="str">
        <f t="shared" si="2"/>
        <v xml:space="preserve">     		&lt;Category("TNX Antenna Record"), Description(""), DisplayName("Antenna Redundant Horizontal Net Width Deduct 1")&gt;
    		&lt;DataMember()&gt; Public Property AntennaRedundantHorizontalNetWidthDeduct1() As Double?
        			Get
            				Return Me._AntennaRedundantHorizontalNetWidthDeduct1
        			End Get
        			Set
            				Me._AntennaRedundantHorizontalNetWidthDeduct1 = Value
        			End Set
    		End Property</v>
      </c>
      <c r="K58" s="11" t="str">
        <f>"Me."&amp;A58&amp; " = " &amp; VLOOKUP(C58,Sheet8!A:D,4,FALSE)&amp;"(recRow.Item("""&amp;A58 &amp;""")" &amp; IF(C58="Number",",6","")&amp;")"</f>
        <v>Me.AntennaRedundantHorizontalNetWidthDeduct1 = DBtoNullableDec(recRow.Item("AntennaRedundantHorizontalNetWidthDeduct1"),6)</v>
      </c>
      <c r="L58" s="11" t="str">
        <f t="shared" si="3"/>
        <v>insertString = insertString.AddtoDBString(Me.AntennaRedundantHorizontalNetWidthDeduct1.ToString)</v>
      </c>
      <c r="M58" s="11" t="str">
        <f t="shared" si="4"/>
        <v>Equals = If(Me.AntennaRedundantHorizontalNetWidthDeduct1.CheckChange(otherToCompare.AntennaRedundantHorizontalNetWidthDeduct1, changes, categoryName, "Antenna Redundant Horizontal Net Width Deduct 1"), Equals, False)</v>
      </c>
      <c r="N58" s="12" t="str">
        <f t="shared" si="5"/>
        <v xml:space="preserve"> 	Case tnxVar.Equals("AntennaRedundantHorizontalNetWidthDeduct1")
                            Try
                                Me.geometry.upperStructure(recIndex).AntennaRedundantHorizontalNetWidthDeduct1 = tnxValue
                            Catch ex As Exception
                                Debug.Print("Error parsing TNX variable: " &amp; tnxVar)
                            End Try</v>
      </c>
      <c r="O58" s="12" t="str">
        <f t="shared" si="6"/>
        <v>If Not IsNothing(Me.settings.USUnits.Strength.convertToERIUnits(.AntennaRedundantHorizontalNetWidthDeduct1)) Then 'This field does not get saved when generated from CCIpole
                                newERIList.Add("AntennaRedundantHorizontalNetWidthDeduct1=" &amp; Me.settings.USUnits.Strength.convertToERIUnits(.AntennaRedundantHorizontalNetWidthDeduct1))
                            End If</v>
      </c>
      <c r="P58" s="11" t="str">
        <f t="shared" si="7"/>
        <v>SQLInsertValues = SQLInsertValues.AddtoDBString(Me.AntennaRedundantHorizontalNetWidthDeduct1.NullableToString.FormatDBValue)</v>
      </c>
      <c r="Q58" s="11" t="str">
        <f t="shared" si="8"/>
        <v>SQLInsertFields = SQLInsertFields.AddtoDBString("AntennaRedundantHorizontalNetWidthDeduct1")</v>
      </c>
      <c r="R58" s="11" t="str">
        <f t="shared" si="9"/>
        <v>SQLUpdateFieldsandValues = SQLUpdateFieldsandValues.AddtoDBString("AntennaRedundantHorizontalNetWidthDeduct1 = " &amp; Me.AntennaRedundantHorizontalNetWidthDeduct1.NullableToString.FormatDBValue)</v>
      </c>
      <c r="S58" s="10" t="s">
        <v>286</v>
      </c>
    </row>
    <row r="59" spans="1:19" ht="150" x14ac:dyDescent="0.25">
      <c r="A59" s="11" t="s">
        <v>1101</v>
      </c>
      <c r="B59" s="11" t="str" cm="1">
        <f t="array" ref="B59">Addspaces(A59)</f>
        <v>Antenna Redundant Horizontal U Factor 1</v>
      </c>
      <c r="C59" s="15" t="s">
        <v>1225</v>
      </c>
      <c r="D59" s="13" t="str">
        <f>VLOOKUP(C59,Sheet8!A:C,2,FALSE)</f>
        <v>decimal(18, 6)</v>
      </c>
      <c r="E59" s="15"/>
      <c r="F59" s="13" t="str">
        <f>VLOOKUP(C59,Sheet8!A:C,3,FALSE)</f>
        <v>Double?</v>
      </c>
      <c r="G59" s="15"/>
      <c r="H59" s="11" t="str">
        <f t="shared" si="0"/>
        <v>ADD AntennaRedundantHorizontalUFactor1 decimal(18, 6),</v>
      </c>
      <c r="I59" s="11" t="str">
        <f t="shared" si="1"/>
        <v xml:space="preserve">Private _AntennaRedundantHorizontalUFactor1 As Double? </v>
      </c>
      <c r="J59" s="12" t="str">
        <f t="shared" si="2"/>
        <v xml:space="preserve">     		&lt;Category("TNX Antenna Record"), Description(""), DisplayName("Antenna Redundant Horizontal U Factor 1")&gt;
    		&lt;DataMember()&gt; Public Property AntennaRedundantHorizontalUFactor1() As Double?
        			Get
            				Return Me._AntennaRedundantHorizontalUFactor1
        			End Get
        			Set
            				Me._AntennaRedundantHorizontalUFactor1 = Value
        			End Set
    		End Property</v>
      </c>
      <c r="K59" s="11" t="str">
        <f>"Me."&amp;A59&amp; " = " &amp; VLOOKUP(C59,Sheet8!A:D,4,FALSE)&amp;"(recRow.Item("""&amp;A59 &amp;""")" &amp; IF(C59="Number",",6","")&amp;")"</f>
        <v>Me.AntennaRedundantHorizontalUFactor1 = DBtoNullableDec(recRow.Item("AntennaRedundantHorizontalUFactor1"),6)</v>
      </c>
      <c r="L59" s="11" t="str">
        <f t="shared" si="3"/>
        <v>insertString = insertString.AddtoDBString(Me.AntennaRedundantHorizontalUFactor1.ToString)</v>
      </c>
      <c r="M59" s="11" t="str">
        <f t="shared" si="4"/>
        <v>Equals = If(Me.AntennaRedundantHorizontalUFactor1.CheckChange(otherToCompare.AntennaRedundantHorizontalUFactor1, changes, categoryName, "Antenna Redundant Horizontal U Factor 1"), Equals, False)</v>
      </c>
      <c r="N59" s="12" t="str">
        <f t="shared" si="5"/>
        <v xml:space="preserve"> 	Case tnxVar.Equals("AntennaRedundantHorizontalUFactor1")
                            Try
                                Me.geometry.upperStructure(recIndex).AntennaRedundantHorizontalUFactor1 = tnxValue
                            Catch ex As Exception
                                Debug.Print("Error parsing TNX variable: " &amp; tnxVar)
                            End Try</v>
      </c>
      <c r="O59" s="12" t="str">
        <f t="shared" si="6"/>
        <v>If Not IsNothing(Me.settings.USUnits.Strength.convertToERIUnits(.AntennaRedundantHorizontalUFactor1)) Then 'This field does not get saved when generated from CCIpole
                                newERIList.Add("AntennaRedundantHorizontalUFactor1=" &amp; Me.settings.USUnits.Strength.convertToERIUnits(.AntennaRedundantHorizontalUFactor1))
                            End If</v>
      </c>
      <c r="P59" s="11" t="str">
        <f t="shared" si="7"/>
        <v>SQLInsertValues = SQLInsertValues.AddtoDBString(Me.AntennaRedundantHorizontalUFactor1.NullableToString.FormatDBValue)</v>
      </c>
      <c r="Q59" s="11" t="str">
        <f t="shared" si="8"/>
        <v>SQLInsertFields = SQLInsertFields.AddtoDBString("AntennaRedundantHorizontalUFactor1")</v>
      </c>
      <c r="R59" s="11" t="str">
        <f t="shared" si="9"/>
        <v>SQLUpdateFieldsandValues = SQLUpdateFieldsandValues.AddtoDBString("AntennaRedundantHorizontalUFactor1 = " &amp; Me.AntennaRedundantHorizontalUFactor1.NullableToString.FormatDBValue)</v>
      </c>
      <c r="S59" s="10" t="s">
        <v>286</v>
      </c>
    </row>
    <row r="60" spans="1:19" ht="150" x14ac:dyDescent="0.25">
      <c r="A60" s="11" t="s">
        <v>1102</v>
      </c>
      <c r="B60" s="11" t="str" cm="1">
        <f t="array" ref="B60">Addspaces(A60)</f>
        <v>Antenna Redundant Horizontal Bolt Grade 2</v>
      </c>
      <c r="C60" s="15" t="s">
        <v>1224</v>
      </c>
      <c r="D60" s="13" t="str">
        <f>VLOOKUP(C60,Sheet8!A:C,2,FALSE)</f>
        <v>varchar</v>
      </c>
      <c r="E60" s="15">
        <v>100</v>
      </c>
      <c r="F60" s="13" t="str">
        <f>VLOOKUP(C60,Sheet8!A:C,3,FALSE)</f>
        <v>String</v>
      </c>
      <c r="G60" s="15"/>
      <c r="H60" s="11" t="str">
        <f t="shared" si="0"/>
        <v>ADD AntennaRedundantHorizontalBoltGrade2 varchar(100),</v>
      </c>
      <c r="I60" s="11" t="str">
        <f t="shared" si="1"/>
        <v xml:space="preserve">Private _AntennaRedundantHorizontalBoltGrade2 As String </v>
      </c>
      <c r="J60" s="12" t="str">
        <f t="shared" si="2"/>
        <v xml:space="preserve">     		&lt;Category("TNX Antenna Record"), Description(""), DisplayName("Antenna Redundant Horizontal Bolt Grade 2")&gt;
    		&lt;DataMember()&gt; Public Property AntennaRedundantHorizontalBoltGrade2() As String
        			Get
            				Return Me._AntennaRedundantHorizontalBoltGrade2
        			End Get
        			Set
            				Me._AntennaRedundantHorizontalBoltGrade2 = Value
        			End Set
    		End Property</v>
      </c>
      <c r="K60" s="11" t="str">
        <f>"Me."&amp;A60&amp; " = " &amp; VLOOKUP(C60,Sheet8!A:D,4,FALSE)&amp;"(recRow.Item("""&amp;A60 &amp;""")" &amp; IF(C60="Number",",6","")&amp;")"</f>
        <v>Me.AntennaRedundantHorizontalBoltGrade2 = DBtoStr(recRow.Item("AntennaRedundantHorizontalBoltGrade2"))</v>
      </c>
      <c r="L60" s="11" t="str">
        <f t="shared" si="3"/>
        <v>insertString = insertString.AddtoDBString(Me.AntennaRedundantHorizontalBoltGrade2.ToString)</v>
      </c>
      <c r="M60" s="11" t="str">
        <f t="shared" si="4"/>
        <v>Equals = If(Me.AntennaRedundantHorizontalBoltGrade2.CheckChange(otherToCompare.AntennaRedundantHorizontalBoltGrade2, changes, categoryName, "Antenna Redundant Horizontal Bolt Grade 2"), Equals, False)</v>
      </c>
      <c r="N60" s="12" t="str">
        <f t="shared" si="5"/>
        <v xml:space="preserve"> 	Case tnxVar.Equals("AntennaRedundantHorizontalBoltGrade2")
                            Try
                                Me.geometry.upperStructure(recIndex).AntennaRedundantHorizontalBoltGrade2 = tnxValue
                            Catch ex As Exception
                                Debug.Print("Error parsing TNX variable: " &amp; tnxVar)
                            End Try</v>
      </c>
      <c r="O60" s="12" t="str">
        <f t="shared" si="6"/>
        <v>If IsSomethingString(.AntennaRedundantHorizontalBoltGrade2) Then 'This field does not get saved when generated from CCIpole
newERIList.Add("AntennaRedundantHorizontalBoltGrade2=" &amp; .AntennaRedundantHorizontalBoltGrade2)
End If</v>
      </c>
      <c r="P60" s="11" t="str">
        <f t="shared" si="7"/>
        <v>SQLInsertValues = SQLInsertValues.AddtoDBString(Me.AntennaRedundantHorizontalBoltGrade2.NullableToString.FormatDBValue)</v>
      </c>
      <c r="Q60" s="11" t="str">
        <f t="shared" si="8"/>
        <v>SQLInsertFields = SQLInsertFields.AddtoDBString("AntennaRedundantHorizontalBoltGrade2")</v>
      </c>
      <c r="R60" s="11" t="str">
        <f t="shared" si="9"/>
        <v>SQLUpdateFieldsandValues = SQLUpdateFieldsandValues.AddtoDBString("AntennaRedundantHorizontalBoltGrade2 = " &amp; Me.AntennaRedundantHorizontalBoltGrade2.NullableToString.FormatDBValue)</v>
      </c>
      <c r="S60" s="10" t="s">
        <v>286</v>
      </c>
    </row>
    <row r="61" spans="1:19" ht="150" x14ac:dyDescent="0.25">
      <c r="A61" s="11" t="s">
        <v>1103</v>
      </c>
      <c r="B61" s="11" t="str" cm="1">
        <f t="array" ref="B61">Addspaces(A61)</f>
        <v>Antenna Redundant Horizontal Bolt Size 2</v>
      </c>
      <c r="C61" s="15" t="s">
        <v>1225</v>
      </c>
      <c r="D61" s="13" t="str">
        <f>VLOOKUP(C61,Sheet8!A:C,2,FALSE)</f>
        <v>decimal(18, 6)</v>
      </c>
      <c r="E61" s="15"/>
      <c r="F61" s="13" t="str">
        <f>VLOOKUP(C61,Sheet8!A:C,3,FALSE)</f>
        <v>Double?</v>
      </c>
      <c r="G61" s="15"/>
      <c r="H61" s="11" t="str">
        <f t="shared" si="0"/>
        <v>ADD AntennaRedundantHorizontalBoltSize2 decimal(18, 6),</v>
      </c>
      <c r="I61" s="11" t="str">
        <f t="shared" si="1"/>
        <v xml:space="preserve">Private _AntennaRedundantHorizontalBoltSize2 As Double? </v>
      </c>
      <c r="J61" s="12" t="str">
        <f t="shared" si="2"/>
        <v xml:space="preserve">     		&lt;Category("TNX Antenna Record"), Description(""), DisplayName("Antenna Redundant Horizontal Bolt Size 2")&gt;
    		&lt;DataMember()&gt; Public Property AntennaRedundantHorizontalBoltSize2() As Double?
        			Get
            				Return Me._AntennaRedundantHorizontalBoltSize2
        			End Get
        			Set
            				Me._AntennaRedundantHorizontalBoltSize2 = Value
        			End Set
    		End Property</v>
      </c>
      <c r="K61" s="11" t="str">
        <f>"Me."&amp;A61&amp; " = " &amp; VLOOKUP(C61,Sheet8!A:D,4,FALSE)&amp;"(recRow.Item("""&amp;A61 &amp;""")" &amp; IF(C61="Number",",6","")&amp;")"</f>
        <v>Me.AntennaRedundantHorizontalBoltSize2 = DBtoNullableDec(recRow.Item("AntennaRedundantHorizontalBoltSize2"),6)</v>
      </c>
      <c r="L61" s="11" t="str">
        <f t="shared" si="3"/>
        <v>insertString = insertString.AddtoDBString(Me.AntennaRedundantHorizontalBoltSize2.ToString)</v>
      </c>
      <c r="M61" s="11" t="str">
        <f t="shared" si="4"/>
        <v>Equals = If(Me.AntennaRedundantHorizontalBoltSize2.CheckChange(otherToCompare.AntennaRedundantHorizontalBoltSize2, changes, categoryName, "Antenna Redundant Horizontal Bolt Size 2"), Equals, False)</v>
      </c>
      <c r="N61" s="12" t="str">
        <f t="shared" si="5"/>
        <v xml:space="preserve"> 	Case tnxVar.Equals("AntennaRedundantHorizontalBoltSize2")
                            Try
                                Me.geometry.upperStructure(recIndex).AntennaRedundantHorizontalBoltSize2 = tnxValue
                            Catch ex As Exception
                                Debug.Print("Error parsing TNX variable: " &amp; tnxVar)
                            End Try</v>
      </c>
      <c r="O61" s="12" t="str">
        <f t="shared" si="6"/>
        <v>If Not IsNothing(Me.settings.USUnits.Strength.convertToERIUnits(.AntennaRedundantHorizontalBoltSize2)) Then 'This field does not get saved when generated from CCIpole
                                newERIList.Add("AntennaRedundantHorizontalBoltSize2=" &amp; Me.settings.USUnits.Strength.convertToERIUnits(.AntennaRedundantHorizontalBoltSize2))
                            End If</v>
      </c>
      <c r="P61" s="11" t="str">
        <f t="shared" si="7"/>
        <v>SQLInsertValues = SQLInsertValues.AddtoDBString(Me.AntennaRedundantHorizontalBoltSize2.NullableToString.FormatDBValue)</v>
      </c>
      <c r="Q61" s="11" t="str">
        <f t="shared" si="8"/>
        <v>SQLInsertFields = SQLInsertFields.AddtoDBString("AntennaRedundantHorizontalBoltSize2")</v>
      </c>
      <c r="R61" s="11" t="str">
        <f t="shared" si="9"/>
        <v>SQLUpdateFieldsandValues = SQLUpdateFieldsandValues.AddtoDBString("AntennaRedundantHorizontalBoltSize2 = " &amp; Me.AntennaRedundantHorizontalBoltSize2.NullableToString.FormatDBValue)</v>
      </c>
      <c r="S61" s="10" t="s">
        <v>286</v>
      </c>
    </row>
    <row r="62" spans="1:19" ht="150" x14ac:dyDescent="0.25">
      <c r="A62" s="11" t="s">
        <v>1104</v>
      </c>
      <c r="B62" s="11" t="str" cm="1">
        <f t="array" ref="B62">Addspaces(A62)</f>
        <v>Antenna Redundant Horizontal Num Bolts 2</v>
      </c>
      <c r="C62" s="15" t="s">
        <v>1234</v>
      </c>
      <c r="D62" s="13" t="str">
        <f>VLOOKUP(C62,Sheet8!A:C,2,FALSE)</f>
        <v>int</v>
      </c>
      <c r="E62" s="15"/>
      <c r="F62" s="13" t="str">
        <f>VLOOKUP(C62,Sheet8!A:C,3,FALSE)</f>
        <v>Integer?</v>
      </c>
      <c r="G62" s="15"/>
      <c r="H62" s="11" t="str">
        <f t="shared" si="0"/>
        <v>ADD AntennaRedundantHorizontalNumBolts2 int,</v>
      </c>
      <c r="I62" s="11" t="str">
        <f t="shared" si="1"/>
        <v xml:space="preserve">Private _AntennaRedundantHorizontalNumBolts2 As Integer? </v>
      </c>
      <c r="J62" s="12" t="str">
        <f t="shared" si="2"/>
        <v xml:space="preserve">     		&lt;Category("TNX Antenna Record"), Description(""), DisplayName("Antenna Redundant Horizontal Num Bolts 2")&gt;
    		&lt;DataMember()&gt; Public Property AntennaRedundantHorizontalNumBolts2() As Integer?
        			Get
            				Return Me._AntennaRedundantHorizontalNumBolts2
        			End Get
        			Set
            				Me._AntennaRedundantHorizontalNumBolts2 = Value
        			End Set
    		End Property</v>
      </c>
      <c r="K62" s="11" t="str">
        <f>"Me."&amp;A62&amp; " = " &amp; VLOOKUP(C62,Sheet8!A:D,4,FALSE)&amp;"(recRow.Item("""&amp;A62 &amp;""")" &amp; IF(C62="Number",",6","")&amp;")"</f>
        <v>Me.AntennaRedundantHorizontalNumBolts2 = DBtoNullableInt(recRow.Item("AntennaRedundantHorizontalNumBolts2"))</v>
      </c>
      <c r="L62" s="11" t="str">
        <f t="shared" si="3"/>
        <v>insertString = insertString.AddtoDBString(Me.AntennaRedundantHorizontalNumBolts2.ToString)</v>
      </c>
      <c r="M62" s="11" t="str">
        <f t="shared" si="4"/>
        <v>Equals = If(Me.AntennaRedundantHorizontalNumBolts2.CheckChange(otherToCompare.AntennaRedundantHorizontalNumBolts2, changes, categoryName, "Antenna Redundant Horizontal Num Bolts 2"), Equals, False)</v>
      </c>
      <c r="N62" s="12" t="str">
        <f t="shared" si="5"/>
        <v xml:space="preserve"> 	Case tnxVar.Equals("AntennaRedundantHorizontalNumBolts2")
                            Try
                                Me.geometry.upperStructure(recIndex).AntennaRedundantHorizontalNumBolts2 = tnxValue
                            Catch ex As Exception
                                Debug.Print("Error parsing TNX variable: " &amp; tnxVar)
                            End Try</v>
      </c>
      <c r="O62" s="12" t="str">
        <f t="shared" si="6"/>
        <v>newERIList.Add("AntennaRedundantHorizontalNumBolts2=" &amp; .AntennaRedundantHorizontalNumBolts2)</v>
      </c>
      <c r="P62" s="11" t="str">
        <f t="shared" si="7"/>
        <v>SQLInsertValues = SQLInsertValues.AddtoDBString(Me.AntennaRedundantHorizontalNumBolts2.NullableToString.FormatDBValue)</v>
      </c>
      <c r="Q62" s="11" t="str">
        <f t="shared" si="8"/>
        <v>SQLInsertFields = SQLInsertFields.AddtoDBString("AntennaRedundantHorizontalNumBolts2")</v>
      </c>
      <c r="R62" s="11" t="str">
        <f t="shared" si="9"/>
        <v>SQLUpdateFieldsandValues = SQLUpdateFieldsandValues.AddtoDBString("AntennaRedundantHorizontalNumBolts2 = " &amp; Me.AntennaRedundantHorizontalNumBolts2.NullableToString.FormatDBValue)</v>
      </c>
      <c r="S62" s="10" t="s">
        <v>286</v>
      </c>
    </row>
    <row r="63" spans="1:19" ht="165" x14ac:dyDescent="0.25">
      <c r="A63" s="11" t="s">
        <v>1105</v>
      </c>
      <c r="B63" s="11" t="str" cm="1">
        <f t="array" ref="B63">Addspaces(A63)</f>
        <v>Antenna Redundant Horizontal Bolt Edge Distance 2</v>
      </c>
      <c r="C63" s="15" t="s">
        <v>1225</v>
      </c>
      <c r="D63" s="13" t="str">
        <f>VLOOKUP(C63,Sheet8!A:C,2,FALSE)</f>
        <v>decimal(18, 6)</v>
      </c>
      <c r="E63" s="15"/>
      <c r="F63" s="13" t="str">
        <f>VLOOKUP(C63,Sheet8!A:C,3,FALSE)</f>
        <v>Double?</v>
      </c>
      <c r="G63" s="15"/>
      <c r="H63" s="11" t="str">
        <f t="shared" si="0"/>
        <v>ADD AntennaRedundantHorizontalBoltEdgeDistance2 decimal(18, 6),</v>
      </c>
      <c r="I63" s="11" t="str">
        <f t="shared" si="1"/>
        <v xml:space="preserve">Private _AntennaRedundantHorizontalBoltEdgeDistance2 As Double? </v>
      </c>
      <c r="J63" s="12" t="str">
        <f t="shared" si="2"/>
        <v xml:space="preserve">     		&lt;Category("TNX Antenna Record"), Description(""), DisplayName("Antenna Redundant Horizontal Bolt Edge Distance 2")&gt;
    		&lt;DataMember()&gt; Public Property AntennaRedundantHorizontalBoltEdgeDistance2() As Double?
        			Get
            				Return Me._AntennaRedundantHorizontalBoltEdgeDistance2
        			End Get
        			Set
            				Me._AntennaRedundantHorizontalBoltEdgeDistance2 = Value
        			End Set
    		End Property</v>
      </c>
      <c r="K63" s="11" t="str">
        <f>"Me."&amp;A63&amp; " = " &amp; VLOOKUP(C63,Sheet8!A:D,4,FALSE)&amp;"(recRow.Item("""&amp;A63 &amp;""")" &amp; IF(C63="Number",",6","")&amp;")"</f>
        <v>Me.AntennaRedundantHorizontalBoltEdgeDistance2 = DBtoNullableDec(recRow.Item("AntennaRedundantHorizontalBoltEdgeDistance2"),6)</v>
      </c>
      <c r="L63" s="11" t="str">
        <f t="shared" si="3"/>
        <v>insertString = insertString.AddtoDBString(Me.AntennaRedundantHorizontalBoltEdgeDistance2.ToString)</v>
      </c>
      <c r="M63" s="11" t="str">
        <f t="shared" si="4"/>
        <v>Equals = If(Me.AntennaRedundantHorizontalBoltEdgeDistance2.CheckChange(otherToCompare.AntennaRedundantHorizontalBoltEdgeDistance2, changes, categoryName, "Antenna Redundant Horizontal Bolt Edge Distance 2"), Equals, False)</v>
      </c>
      <c r="N63" s="12" t="str">
        <f t="shared" si="5"/>
        <v xml:space="preserve"> 	Case tnxVar.Equals("AntennaRedundantHorizontalBoltEdgeDistance2")
                            Try
                                Me.geometry.upperStructure(recIndex).AntennaRedundantHorizontalBoltEdgeDistance2 = tnxValue
                            Catch ex As Exception
                                Debug.Print("Error parsing TNX variable: " &amp; tnxVar)
                            End Try</v>
      </c>
      <c r="O63" s="12" t="str">
        <f t="shared" si="6"/>
        <v>If Not IsNothing(Me.settings.USUnits.Strength.convertToERIUnits(.AntennaRedundantHorizontalBoltEdgeDistance2)) Then 'This field does not get saved when generated from CCIpole
                                newERIList.Add("AntennaRedundantHorizontalBoltEdgeDistance2=" &amp; Me.settings.USUnits.Strength.convertToERIUnits(.AntennaRedundantHorizontalBoltEdgeDistance2))
                            End If</v>
      </c>
      <c r="P63" s="11" t="str">
        <f t="shared" si="7"/>
        <v>SQLInsertValues = SQLInsertValues.AddtoDBString(Me.AntennaRedundantHorizontalBoltEdgeDistance2.NullableToString.FormatDBValue)</v>
      </c>
      <c r="Q63" s="11" t="str">
        <f t="shared" si="8"/>
        <v>SQLInsertFields = SQLInsertFields.AddtoDBString("AntennaRedundantHorizontalBoltEdgeDistance2")</v>
      </c>
      <c r="R63" s="11" t="str">
        <f t="shared" si="9"/>
        <v>SQLUpdateFieldsandValues = SQLUpdateFieldsandValues.AddtoDBString("AntennaRedundantHorizontalBoltEdgeDistance2 = " &amp; Me.AntennaRedundantHorizontalBoltEdgeDistance2.NullableToString.FormatDBValue)</v>
      </c>
      <c r="S63" s="10" t="s">
        <v>286</v>
      </c>
    </row>
    <row r="64" spans="1:19" ht="165" x14ac:dyDescent="0.25">
      <c r="A64" s="11" t="s">
        <v>1106</v>
      </c>
      <c r="B64" s="11" t="str" cm="1">
        <f t="array" ref="B64">Addspaces(A64)</f>
        <v>Antenna Redundant Horizontal Gage G 1 Distance 2</v>
      </c>
      <c r="C64" s="15" t="s">
        <v>1225</v>
      </c>
      <c r="D64" s="13" t="str">
        <f>VLOOKUP(C64,Sheet8!A:C,2,FALSE)</f>
        <v>decimal(18, 6)</v>
      </c>
      <c r="E64" s="15"/>
      <c r="F64" s="13" t="str">
        <f>VLOOKUP(C64,Sheet8!A:C,3,FALSE)</f>
        <v>Double?</v>
      </c>
      <c r="G64" s="15"/>
      <c r="H64" s="11" t="str">
        <f t="shared" si="0"/>
        <v>ADD AntennaRedundantHorizontalGageG1Distance2 decimal(18, 6),</v>
      </c>
      <c r="I64" s="11" t="str">
        <f t="shared" si="1"/>
        <v xml:space="preserve">Private _AntennaRedundantHorizontalGageG1Distance2 As Double? </v>
      </c>
      <c r="J64" s="12" t="str">
        <f t="shared" si="2"/>
        <v xml:space="preserve">     		&lt;Category("TNX Antenna Record"), Description(""), DisplayName("Antenna Redundant Horizontal Gage G 1 Distance 2")&gt;
    		&lt;DataMember()&gt; Public Property AntennaRedundantHorizontalGageG1Distance2() As Double?
        			Get
            				Return Me._AntennaRedundantHorizontalGageG1Distance2
        			End Get
        			Set
            				Me._AntennaRedundantHorizontalGageG1Distance2 = Value
        			End Set
    		End Property</v>
      </c>
      <c r="K64" s="11" t="str">
        <f>"Me."&amp;A64&amp; " = " &amp; VLOOKUP(C64,Sheet8!A:D,4,FALSE)&amp;"(recRow.Item("""&amp;A64 &amp;""")" &amp; IF(C64="Number",",6","")&amp;")"</f>
        <v>Me.AntennaRedundantHorizontalGageG1Distance2 = DBtoNullableDec(recRow.Item("AntennaRedundantHorizontalGageG1Distance2"),6)</v>
      </c>
      <c r="L64" s="11" t="str">
        <f t="shared" si="3"/>
        <v>insertString = insertString.AddtoDBString(Me.AntennaRedundantHorizontalGageG1Distance2.ToString)</v>
      </c>
      <c r="M64" s="11" t="str">
        <f t="shared" si="4"/>
        <v>Equals = If(Me.AntennaRedundantHorizontalGageG1Distance2.CheckChange(otherToCompare.AntennaRedundantHorizontalGageG1Distance2, changes, categoryName, "Antenna Redundant Horizontal Gage G 1 Distance 2"), Equals, False)</v>
      </c>
      <c r="N64" s="12" t="str">
        <f t="shared" si="5"/>
        <v xml:space="preserve"> 	Case tnxVar.Equals("AntennaRedundantHorizontalGageG1Distance2")
                            Try
                                Me.geometry.upperStructure(recIndex).AntennaRedundantHorizontalGageG1Distance2 = tnxValue
                            Catch ex As Exception
                                Debug.Print("Error parsing TNX variable: " &amp; tnxVar)
                            End Try</v>
      </c>
      <c r="O64" s="12" t="str">
        <f t="shared" si="6"/>
        <v>If Not IsNothing(Me.settings.USUnits.Strength.convertToERIUnits(.AntennaRedundantHorizontalGageG1Distance2)) Then 'This field does not get saved when generated from CCIpole
                                newERIList.Add("AntennaRedundantHorizontalGageG1Distance2=" &amp; Me.settings.USUnits.Strength.convertToERIUnits(.AntennaRedundantHorizontalGageG1Distance2))
                            End If</v>
      </c>
      <c r="P64" s="11" t="str">
        <f t="shared" si="7"/>
        <v>SQLInsertValues = SQLInsertValues.AddtoDBString(Me.AntennaRedundantHorizontalGageG1Distance2.NullableToString.FormatDBValue)</v>
      </c>
      <c r="Q64" s="11" t="str">
        <f t="shared" si="8"/>
        <v>SQLInsertFields = SQLInsertFields.AddtoDBString("AntennaRedundantHorizontalGageG1Distance2")</v>
      </c>
      <c r="R64" s="11" t="str">
        <f t="shared" si="9"/>
        <v>SQLUpdateFieldsandValues = SQLUpdateFieldsandValues.AddtoDBString("AntennaRedundantHorizontalGageG1Distance2 = " &amp; Me.AntennaRedundantHorizontalGageG1Distance2.NullableToString.FormatDBValue)</v>
      </c>
      <c r="S64" s="10" t="s">
        <v>286</v>
      </c>
    </row>
    <row r="65" spans="1:19" ht="165" x14ac:dyDescent="0.25">
      <c r="A65" s="11" t="s">
        <v>1107</v>
      </c>
      <c r="B65" s="11" t="str" cm="1">
        <f t="array" ref="B65">Addspaces(A65)</f>
        <v>Antenna Redundant Horizontal Net Width Deduct 2</v>
      </c>
      <c r="C65" s="15" t="s">
        <v>1225</v>
      </c>
      <c r="D65" s="13" t="str">
        <f>VLOOKUP(C65,Sheet8!A:C,2,FALSE)</f>
        <v>decimal(18, 6)</v>
      </c>
      <c r="E65" s="15"/>
      <c r="F65" s="13" t="str">
        <f>VLOOKUP(C65,Sheet8!A:C,3,FALSE)</f>
        <v>Double?</v>
      </c>
      <c r="G65" s="15"/>
      <c r="H65" s="11" t="str">
        <f t="shared" si="0"/>
        <v>ADD AntennaRedundantHorizontalNetWidthDeduct2 decimal(18, 6),</v>
      </c>
      <c r="I65" s="11" t="str">
        <f t="shared" si="1"/>
        <v xml:space="preserve">Private _AntennaRedundantHorizontalNetWidthDeduct2 As Double? </v>
      </c>
      <c r="J65" s="12" t="str">
        <f t="shared" si="2"/>
        <v xml:space="preserve">     		&lt;Category("TNX Antenna Record"), Description(""), DisplayName("Antenna Redundant Horizontal Net Width Deduct 2")&gt;
    		&lt;DataMember()&gt; Public Property AntennaRedundantHorizontalNetWidthDeduct2() As Double?
        			Get
            				Return Me._AntennaRedundantHorizontalNetWidthDeduct2
        			End Get
        			Set
            				Me._AntennaRedundantHorizontalNetWidthDeduct2 = Value
        			End Set
    		End Property</v>
      </c>
      <c r="K65" s="11" t="str">
        <f>"Me."&amp;A65&amp; " = " &amp; VLOOKUP(C65,Sheet8!A:D,4,FALSE)&amp;"(recRow.Item("""&amp;A65 &amp;""")" &amp; IF(C65="Number",",6","")&amp;")"</f>
        <v>Me.AntennaRedundantHorizontalNetWidthDeduct2 = DBtoNullableDec(recRow.Item("AntennaRedundantHorizontalNetWidthDeduct2"),6)</v>
      </c>
      <c r="L65" s="11" t="str">
        <f t="shared" si="3"/>
        <v>insertString = insertString.AddtoDBString(Me.AntennaRedundantHorizontalNetWidthDeduct2.ToString)</v>
      </c>
      <c r="M65" s="11" t="str">
        <f t="shared" si="4"/>
        <v>Equals = If(Me.AntennaRedundantHorizontalNetWidthDeduct2.CheckChange(otherToCompare.AntennaRedundantHorizontalNetWidthDeduct2, changes, categoryName, "Antenna Redundant Horizontal Net Width Deduct 2"), Equals, False)</v>
      </c>
      <c r="N65" s="12" t="str">
        <f t="shared" si="5"/>
        <v xml:space="preserve"> 	Case tnxVar.Equals("AntennaRedundantHorizontalNetWidthDeduct2")
                            Try
                                Me.geometry.upperStructure(recIndex).AntennaRedundantHorizontalNetWidthDeduct2 = tnxValue
                            Catch ex As Exception
                                Debug.Print("Error parsing TNX variable: " &amp; tnxVar)
                            End Try</v>
      </c>
      <c r="O65" s="12" t="str">
        <f t="shared" si="6"/>
        <v>If Not IsNothing(Me.settings.USUnits.Strength.convertToERIUnits(.AntennaRedundantHorizontalNetWidthDeduct2)) Then 'This field does not get saved when generated from CCIpole
                                newERIList.Add("AntennaRedundantHorizontalNetWidthDeduct2=" &amp; Me.settings.USUnits.Strength.convertToERIUnits(.AntennaRedundantHorizontalNetWidthDeduct2))
                            End If</v>
      </c>
      <c r="P65" s="11" t="str">
        <f t="shared" si="7"/>
        <v>SQLInsertValues = SQLInsertValues.AddtoDBString(Me.AntennaRedundantHorizontalNetWidthDeduct2.NullableToString.FormatDBValue)</v>
      </c>
      <c r="Q65" s="11" t="str">
        <f t="shared" si="8"/>
        <v>SQLInsertFields = SQLInsertFields.AddtoDBString("AntennaRedundantHorizontalNetWidthDeduct2")</v>
      </c>
      <c r="R65" s="11" t="str">
        <f t="shared" si="9"/>
        <v>SQLUpdateFieldsandValues = SQLUpdateFieldsandValues.AddtoDBString("AntennaRedundantHorizontalNetWidthDeduct2 = " &amp; Me.AntennaRedundantHorizontalNetWidthDeduct2.NullableToString.FormatDBValue)</v>
      </c>
      <c r="S65" s="10" t="s">
        <v>286</v>
      </c>
    </row>
    <row r="66" spans="1:19" ht="150" x14ac:dyDescent="0.25">
      <c r="A66" s="11" t="s">
        <v>1108</v>
      </c>
      <c r="B66" s="11" t="str" cm="1">
        <f t="array" ref="B66">Addspaces(A66)</f>
        <v>Antenna Redundant Horizontal U Factor 2</v>
      </c>
      <c r="C66" s="15" t="s">
        <v>1225</v>
      </c>
      <c r="D66" s="13" t="str">
        <f>VLOOKUP(C66,Sheet8!A:C,2,FALSE)</f>
        <v>decimal(18, 6)</v>
      </c>
      <c r="E66" s="15"/>
      <c r="F66" s="13" t="str">
        <f>VLOOKUP(C66,Sheet8!A:C,3,FALSE)</f>
        <v>Double?</v>
      </c>
      <c r="G66" s="15"/>
      <c r="H66" s="11" t="str">
        <f t="shared" si="0"/>
        <v>ADD AntennaRedundantHorizontalUFactor2 decimal(18, 6),</v>
      </c>
      <c r="I66" s="11" t="str">
        <f t="shared" si="1"/>
        <v xml:space="preserve">Private _AntennaRedundantHorizontalUFactor2 As Double? </v>
      </c>
      <c r="J66" s="12" t="str">
        <f t="shared" si="2"/>
        <v xml:space="preserve">     		&lt;Category("TNX Antenna Record"), Description(""), DisplayName("Antenna Redundant Horizontal U Factor 2")&gt;
    		&lt;DataMember()&gt; Public Property AntennaRedundantHorizontalUFactor2() As Double?
        			Get
            				Return Me._AntennaRedundantHorizontalUFactor2
        			End Get
        			Set
            				Me._AntennaRedundantHorizontalUFactor2 = Value
        			End Set
    		End Property</v>
      </c>
      <c r="K66" s="11" t="str">
        <f>"Me."&amp;A66&amp; " = " &amp; VLOOKUP(C66,Sheet8!A:D,4,FALSE)&amp;"(recRow.Item("""&amp;A66 &amp;""")" &amp; IF(C66="Number",",6","")&amp;")"</f>
        <v>Me.AntennaRedundantHorizontalUFactor2 = DBtoNullableDec(recRow.Item("AntennaRedundantHorizontalUFactor2"),6)</v>
      </c>
      <c r="L66" s="11" t="str">
        <f t="shared" si="3"/>
        <v>insertString = insertString.AddtoDBString(Me.AntennaRedundantHorizontalUFactor2.ToString)</v>
      </c>
      <c r="M66" s="11" t="str">
        <f t="shared" si="4"/>
        <v>Equals = If(Me.AntennaRedundantHorizontalUFactor2.CheckChange(otherToCompare.AntennaRedundantHorizontalUFactor2, changes, categoryName, "Antenna Redundant Horizontal U Factor 2"), Equals, False)</v>
      </c>
      <c r="N66" s="12" t="str">
        <f t="shared" si="5"/>
        <v xml:space="preserve"> 	Case tnxVar.Equals("AntennaRedundantHorizontalUFactor2")
                            Try
                                Me.geometry.upperStructure(recIndex).AntennaRedundantHorizontalUFactor2 = tnxValue
                            Catch ex As Exception
                                Debug.Print("Error parsing TNX variable: " &amp; tnxVar)
                            End Try</v>
      </c>
      <c r="O66" s="12" t="str">
        <f t="shared" si="6"/>
        <v>If Not IsNothing(Me.settings.USUnits.Strength.convertToERIUnits(.AntennaRedundantHorizontalUFactor2)) Then 'This field does not get saved when generated from CCIpole
                                newERIList.Add("AntennaRedundantHorizontalUFactor2=" &amp; Me.settings.USUnits.Strength.convertToERIUnits(.AntennaRedundantHorizontalUFactor2))
                            End If</v>
      </c>
      <c r="P66" s="11" t="str">
        <f t="shared" si="7"/>
        <v>SQLInsertValues = SQLInsertValues.AddtoDBString(Me.AntennaRedundantHorizontalUFactor2.NullableToString.FormatDBValue)</v>
      </c>
      <c r="Q66" s="11" t="str">
        <f t="shared" si="8"/>
        <v>SQLInsertFields = SQLInsertFields.AddtoDBString("AntennaRedundantHorizontalUFactor2")</v>
      </c>
      <c r="R66" s="11" t="str">
        <f t="shared" si="9"/>
        <v>SQLUpdateFieldsandValues = SQLUpdateFieldsandValues.AddtoDBString("AntennaRedundantHorizontalUFactor2 = " &amp; Me.AntennaRedundantHorizontalUFactor2.NullableToString.FormatDBValue)</v>
      </c>
      <c r="S66" s="10" t="s">
        <v>286</v>
      </c>
    </row>
    <row r="67" spans="1:19" ht="150" x14ac:dyDescent="0.25">
      <c r="A67" s="11" t="s">
        <v>1109</v>
      </c>
      <c r="B67" s="11" t="str" cm="1">
        <f t="array" ref="B67">Addspaces(A67)</f>
        <v>Antenna Redundant Horizontal Bolt Grade 3</v>
      </c>
      <c r="C67" s="15" t="s">
        <v>1224</v>
      </c>
      <c r="D67" s="13" t="str">
        <f>VLOOKUP(C67,Sheet8!A:C,2,FALSE)</f>
        <v>varchar</v>
      </c>
      <c r="E67" s="15">
        <v>100</v>
      </c>
      <c r="F67" s="13" t="str">
        <f>VLOOKUP(C67,Sheet8!A:C,3,FALSE)</f>
        <v>String</v>
      </c>
      <c r="G67" s="15"/>
      <c r="H67" s="11" t="str">
        <f t="shared" ref="H67:H130" si="10">"ADD " &amp; A67&amp;" "&amp;D67&amp;IF(E67="","","("&amp;E67&amp;")") &amp; ","</f>
        <v>ADD AntennaRedundantHorizontalBoltGrade3 varchar(100),</v>
      </c>
      <c r="I67" s="11" t="str">
        <f t="shared" ref="I67:I130" si="11">"Private _"&amp;A67&amp;" As "&amp;F67&amp;" " &amp;IF(G67,"?","")</f>
        <v xml:space="preserve">Private _AntennaRedundantHorizontalBoltGrade3 As String </v>
      </c>
      <c r="J67" s="12" t="str">
        <f t="shared" ref="J67:J130" si="12">"     		&lt;Category(""TNX Antenna Record""), Description(""""), DisplayName("""&amp;B67&amp;""")&gt;
    		&lt;DataMember()&gt; Public Property "&amp;A67&amp;"() As "&amp;F67 &amp;IF(G67,"?","") &amp;"
        			Get
            				Return Me._"&amp;A67&amp;"
        			End Get
        			Set
            				Me._"&amp;A67&amp;" = Value
        			End Set
    		End Property"</f>
        <v xml:space="preserve">     		&lt;Category("TNX Antenna Record"), Description(""), DisplayName("Antenna Redundant Horizontal Bolt Grade 3")&gt;
    		&lt;DataMember()&gt; Public Property AntennaRedundantHorizontalBoltGrade3() As String
        			Get
            				Return Me._AntennaRedundantHorizontalBoltGrade3
        			End Get
        			Set
            				Me._AntennaRedundantHorizontalBoltGrade3 = Value
        			End Set
    		End Property</v>
      </c>
      <c r="K67" s="11" t="str">
        <f>"Me."&amp;A67&amp; " = " &amp; VLOOKUP(C67,Sheet8!A:D,4,FALSE)&amp;"(recRow.Item("""&amp;A67 &amp;""")" &amp; IF(C67="Number",",6","")&amp;")"</f>
        <v>Me.AntennaRedundantHorizontalBoltGrade3 = DBtoStr(recRow.Item("AntennaRedundantHorizontalBoltGrade3"))</v>
      </c>
      <c r="L67" s="11" t="str">
        <f t="shared" ref="L67:L130" si="13">"insertString = insertString.AddtoDBString(Me."&amp;A67&amp;".ToString)"</f>
        <v>insertString = insertString.AddtoDBString(Me.AntennaRedundantHorizontalBoltGrade3.ToString)</v>
      </c>
      <c r="M67" s="11" t="str">
        <f t="shared" ref="M67:M130" si="14">"Equals = If(Me."&amp;A67&amp;".CheckChange(otherToCompare."&amp;A67&amp;", changes, categoryName, """&amp;B67&amp;"""), Equals, False)"</f>
        <v>Equals = If(Me.AntennaRedundantHorizontalBoltGrade3.CheckChange(otherToCompare.AntennaRedundantHorizontalBoltGrade3, changes, categoryName, "Antenna Redundant Horizontal Bolt Grade 3"), Equals, False)</v>
      </c>
      <c r="N67" s="12" t="str">
        <f t="shared" ref="N67:N130" si="15">" 	Case tnxVar.Equals("""&amp;A67&amp;""")
                            Try
                                Me.geometry.upperStructure(recIndex)."&amp;A67&amp;" = tnxValue
                            Catch ex As Exception
                                Debug.Print(""Error parsing TNX variable: "" &amp; tnxVar)
                            End Try"</f>
        <v xml:space="preserve"> 	Case tnxVar.Equals("AntennaRedundantHorizontalBoltGrade3")
                            Try
                                Me.geometry.upperStructure(recIndex).AntennaRedundantHorizontalBoltGrade3 = tnxValue
                            Catch ex As Exception
                                Debug.Print("Error parsing TNX variable: " &amp; tnxVar)
                            End Try</v>
      </c>
      <c r="O67" s="12" t="str">
        <f t="shared" ref="O67:O130" si="16">IF(C67="String",
"If IsSomethingString(."&amp;A67&amp;") Then 'This field does not get saved when generated from CCIpole
newERIList.Add("""&amp;A67&amp;"="" &amp; ."&amp;A67&amp;")
End If",
IF(C67="Number",
"If Not IsNothing(Me.settings.USUnits.Strength.convertToERIUnits(."&amp;A67&amp;")) Then 'This field does not get saved when generated from CCIpole
                                newERIList.Add("""&amp;A67&amp;"="" &amp; Me.settings.USUnits.Strength.convertToERIUnits(."&amp;A67&amp;"))
                            End If",
"newERIList.Add("""&amp;A67&amp;"="" &amp; ."&amp;A67&amp;")"))</f>
        <v>If IsSomethingString(.AntennaRedundantHorizontalBoltGrade3) Then 'This field does not get saved when generated from CCIpole
newERIList.Add("AntennaRedundantHorizontalBoltGrade3=" &amp; .AntennaRedundantHorizontalBoltGrade3)
End If</v>
      </c>
      <c r="P67" s="11" t="str">
        <f t="shared" ref="P67:P130" si="17">"SQLInsertValues = SQLInsertValues.AddtoDBString(Me."&amp;A67&amp;".NullableToString.FormatDBValue)"</f>
        <v>SQLInsertValues = SQLInsertValues.AddtoDBString(Me.AntennaRedundantHorizontalBoltGrade3.NullableToString.FormatDBValue)</v>
      </c>
      <c r="Q67" s="11" t="str">
        <f t="shared" ref="Q67:Q130" si="18">"SQLInsertFields = SQLInsertFields.AddtoDBString("""&amp;A67&amp;""")"</f>
        <v>SQLInsertFields = SQLInsertFields.AddtoDBString("AntennaRedundantHorizontalBoltGrade3")</v>
      </c>
      <c r="R67" s="11" t="str">
        <f t="shared" ref="R67:R130" si="19">"SQLUpdateFieldsandValues = SQLUpdateFieldsandValues.AddtoDBString("""&amp;A67&amp;" = "" &amp; Me."&amp;A67&amp;".NullableToString.FormatDBValue)"</f>
        <v>SQLUpdateFieldsandValues = SQLUpdateFieldsandValues.AddtoDBString("AntennaRedundantHorizontalBoltGrade3 = " &amp; Me.AntennaRedundantHorizontalBoltGrade3.NullableToString.FormatDBValue)</v>
      </c>
      <c r="S67" s="10" t="s">
        <v>286</v>
      </c>
    </row>
    <row r="68" spans="1:19" ht="150" x14ac:dyDescent="0.25">
      <c r="A68" s="11" t="s">
        <v>1110</v>
      </c>
      <c r="B68" s="11" t="str" cm="1">
        <f t="array" ref="B68">Addspaces(A68)</f>
        <v>Antenna Redundant Horizontal Bolt Size 3</v>
      </c>
      <c r="C68" s="15" t="s">
        <v>1225</v>
      </c>
      <c r="D68" s="13" t="str">
        <f>VLOOKUP(C68,Sheet8!A:C,2,FALSE)</f>
        <v>decimal(18, 6)</v>
      </c>
      <c r="E68" s="15"/>
      <c r="F68" s="13" t="str">
        <f>VLOOKUP(C68,Sheet8!A:C,3,FALSE)</f>
        <v>Double?</v>
      </c>
      <c r="G68" s="15"/>
      <c r="H68" s="11" t="str">
        <f t="shared" si="10"/>
        <v>ADD AntennaRedundantHorizontalBoltSize3 decimal(18, 6),</v>
      </c>
      <c r="I68" s="11" t="str">
        <f t="shared" si="11"/>
        <v xml:space="preserve">Private _AntennaRedundantHorizontalBoltSize3 As Double? </v>
      </c>
      <c r="J68" s="12" t="str">
        <f t="shared" si="12"/>
        <v xml:space="preserve">     		&lt;Category("TNX Antenna Record"), Description(""), DisplayName("Antenna Redundant Horizontal Bolt Size 3")&gt;
    		&lt;DataMember()&gt; Public Property AntennaRedundantHorizontalBoltSize3() As Double?
        			Get
            				Return Me._AntennaRedundantHorizontalBoltSize3
        			End Get
        			Set
            				Me._AntennaRedundantHorizontalBoltSize3 = Value
        			End Set
    		End Property</v>
      </c>
      <c r="K68" s="11" t="str">
        <f>"Me."&amp;A68&amp; " = " &amp; VLOOKUP(C68,Sheet8!A:D,4,FALSE)&amp;"(recRow.Item("""&amp;A68 &amp;""")" &amp; IF(C68="Number",",6","")&amp;")"</f>
        <v>Me.AntennaRedundantHorizontalBoltSize3 = DBtoNullableDec(recRow.Item("AntennaRedundantHorizontalBoltSize3"),6)</v>
      </c>
      <c r="L68" s="11" t="str">
        <f t="shared" si="13"/>
        <v>insertString = insertString.AddtoDBString(Me.AntennaRedundantHorizontalBoltSize3.ToString)</v>
      </c>
      <c r="M68" s="11" t="str">
        <f t="shared" si="14"/>
        <v>Equals = If(Me.AntennaRedundantHorizontalBoltSize3.CheckChange(otherToCompare.AntennaRedundantHorizontalBoltSize3, changes, categoryName, "Antenna Redundant Horizontal Bolt Size 3"), Equals, False)</v>
      </c>
      <c r="N68" s="12" t="str">
        <f t="shared" si="15"/>
        <v xml:space="preserve"> 	Case tnxVar.Equals("AntennaRedundantHorizontalBoltSize3")
                            Try
                                Me.geometry.upperStructure(recIndex).AntennaRedundantHorizontalBoltSize3 = tnxValue
                            Catch ex As Exception
                                Debug.Print("Error parsing TNX variable: " &amp; tnxVar)
                            End Try</v>
      </c>
      <c r="O68" s="12" t="str">
        <f t="shared" si="16"/>
        <v>If Not IsNothing(Me.settings.USUnits.Strength.convertToERIUnits(.AntennaRedundantHorizontalBoltSize3)) Then 'This field does not get saved when generated from CCIpole
                                newERIList.Add("AntennaRedundantHorizontalBoltSize3=" &amp; Me.settings.USUnits.Strength.convertToERIUnits(.AntennaRedundantHorizontalBoltSize3))
                            End If</v>
      </c>
      <c r="P68" s="11" t="str">
        <f t="shared" si="17"/>
        <v>SQLInsertValues = SQLInsertValues.AddtoDBString(Me.AntennaRedundantHorizontalBoltSize3.NullableToString.FormatDBValue)</v>
      </c>
      <c r="Q68" s="11" t="str">
        <f t="shared" si="18"/>
        <v>SQLInsertFields = SQLInsertFields.AddtoDBString("AntennaRedundantHorizontalBoltSize3")</v>
      </c>
      <c r="R68" s="11" t="str">
        <f t="shared" si="19"/>
        <v>SQLUpdateFieldsandValues = SQLUpdateFieldsandValues.AddtoDBString("AntennaRedundantHorizontalBoltSize3 = " &amp; Me.AntennaRedundantHorizontalBoltSize3.NullableToString.FormatDBValue)</v>
      </c>
      <c r="S68" s="10" t="s">
        <v>286</v>
      </c>
    </row>
    <row r="69" spans="1:19" ht="150" x14ac:dyDescent="0.25">
      <c r="A69" s="11" t="s">
        <v>1111</v>
      </c>
      <c r="B69" s="11" t="str" cm="1">
        <f t="array" ref="B69">Addspaces(A69)</f>
        <v>Antenna Redundant Horizontal Num Bolts 3</v>
      </c>
      <c r="C69" s="15" t="s">
        <v>1234</v>
      </c>
      <c r="D69" s="13" t="str">
        <f>VLOOKUP(C69,Sheet8!A:C,2,FALSE)</f>
        <v>int</v>
      </c>
      <c r="E69" s="15"/>
      <c r="F69" s="13" t="str">
        <f>VLOOKUP(C69,Sheet8!A:C,3,FALSE)</f>
        <v>Integer?</v>
      </c>
      <c r="G69" s="15"/>
      <c r="H69" s="11" t="str">
        <f t="shared" si="10"/>
        <v>ADD AntennaRedundantHorizontalNumBolts3 int,</v>
      </c>
      <c r="I69" s="11" t="str">
        <f t="shared" si="11"/>
        <v xml:space="preserve">Private _AntennaRedundantHorizontalNumBolts3 As Integer? </v>
      </c>
      <c r="J69" s="12" t="str">
        <f t="shared" si="12"/>
        <v xml:space="preserve">     		&lt;Category("TNX Antenna Record"), Description(""), DisplayName("Antenna Redundant Horizontal Num Bolts 3")&gt;
    		&lt;DataMember()&gt; Public Property AntennaRedundantHorizontalNumBolts3() As Integer?
        			Get
            				Return Me._AntennaRedundantHorizontalNumBolts3
        			End Get
        			Set
            				Me._AntennaRedundantHorizontalNumBolts3 = Value
        			End Set
    		End Property</v>
      </c>
      <c r="K69" s="11" t="str">
        <f>"Me."&amp;A69&amp; " = " &amp; VLOOKUP(C69,Sheet8!A:D,4,FALSE)&amp;"(recRow.Item("""&amp;A69 &amp;""")" &amp; IF(C69="Number",",6","")&amp;")"</f>
        <v>Me.AntennaRedundantHorizontalNumBolts3 = DBtoNullableInt(recRow.Item("AntennaRedundantHorizontalNumBolts3"))</v>
      </c>
      <c r="L69" s="11" t="str">
        <f t="shared" si="13"/>
        <v>insertString = insertString.AddtoDBString(Me.AntennaRedundantHorizontalNumBolts3.ToString)</v>
      </c>
      <c r="M69" s="11" t="str">
        <f t="shared" si="14"/>
        <v>Equals = If(Me.AntennaRedundantHorizontalNumBolts3.CheckChange(otherToCompare.AntennaRedundantHorizontalNumBolts3, changes, categoryName, "Antenna Redundant Horizontal Num Bolts 3"), Equals, False)</v>
      </c>
      <c r="N69" s="12" t="str">
        <f t="shared" si="15"/>
        <v xml:space="preserve"> 	Case tnxVar.Equals("AntennaRedundantHorizontalNumBolts3")
                            Try
                                Me.geometry.upperStructure(recIndex).AntennaRedundantHorizontalNumBolts3 = tnxValue
                            Catch ex As Exception
                                Debug.Print("Error parsing TNX variable: " &amp; tnxVar)
                            End Try</v>
      </c>
      <c r="O69" s="12" t="str">
        <f t="shared" si="16"/>
        <v>newERIList.Add("AntennaRedundantHorizontalNumBolts3=" &amp; .AntennaRedundantHorizontalNumBolts3)</v>
      </c>
      <c r="P69" s="11" t="str">
        <f t="shared" si="17"/>
        <v>SQLInsertValues = SQLInsertValues.AddtoDBString(Me.AntennaRedundantHorizontalNumBolts3.NullableToString.FormatDBValue)</v>
      </c>
      <c r="Q69" s="11" t="str">
        <f t="shared" si="18"/>
        <v>SQLInsertFields = SQLInsertFields.AddtoDBString("AntennaRedundantHorizontalNumBolts3")</v>
      </c>
      <c r="R69" s="11" t="str">
        <f t="shared" si="19"/>
        <v>SQLUpdateFieldsandValues = SQLUpdateFieldsandValues.AddtoDBString("AntennaRedundantHorizontalNumBolts3 = " &amp; Me.AntennaRedundantHorizontalNumBolts3.NullableToString.FormatDBValue)</v>
      </c>
      <c r="S69" s="10" t="s">
        <v>286</v>
      </c>
    </row>
    <row r="70" spans="1:19" ht="165" x14ac:dyDescent="0.25">
      <c r="A70" s="11" t="s">
        <v>1112</v>
      </c>
      <c r="B70" s="11" t="str" cm="1">
        <f t="array" ref="B70">Addspaces(A70)</f>
        <v>Antenna Redundant Horizontal Bolt Edge Distance 3</v>
      </c>
      <c r="C70" s="15" t="s">
        <v>1225</v>
      </c>
      <c r="D70" s="13" t="str">
        <f>VLOOKUP(C70,Sheet8!A:C,2,FALSE)</f>
        <v>decimal(18, 6)</v>
      </c>
      <c r="E70" s="15"/>
      <c r="F70" s="13" t="str">
        <f>VLOOKUP(C70,Sheet8!A:C,3,FALSE)</f>
        <v>Double?</v>
      </c>
      <c r="G70" s="15"/>
      <c r="H70" s="11" t="str">
        <f t="shared" si="10"/>
        <v>ADD AntennaRedundantHorizontalBoltEdgeDistance3 decimal(18, 6),</v>
      </c>
      <c r="I70" s="11" t="str">
        <f t="shared" si="11"/>
        <v xml:space="preserve">Private _AntennaRedundantHorizontalBoltEdgeDistance3 As Double? </v>
      </c>
      <c r="J70" s="12" t="str">
        <f t="shared" si="12"/>
        <v xml:space="preserve">     		&lt;Category("TNX Antenna Record"), Description(""), DisplayName("Antenna Redundant Horizontal Bolt Edge Distance 3")&gt;
    		&lt;DataMember()&gt; Public Property AntennaRedundantHorizontalBoltEdgeDistance3() As Double?
        			Get
            				Return Me._AntennaRedundantHorizontalBoltEdgeDistance3
        			End Get
        			Set
            				Me._AntennaRedundantHorizontalBoltEdgeDistance3 = Value
        			End Set
    		End Property</v>
      </c>
      <c r="K70" s="11" t="str">
        <f>"Me."&amp;A70&amp; " = " &amp; VLOOKUP(C70,Sheet8!A:D,4,FALSE)&amp;"(recRow.Item("""&amp;A70 &amp;""")" &amp; IF(C70="Number",",6","")&amp;")"</f>
        <v>Me.AntennaRedundantHorizontalBoltEdgeDistance3 = DBtoNullableDec(recRow.Item("AntennaRedundantHorizontalBoltEdgeDistance3"),6)</v>
      </c>
      <c r="L70" s="11" t="str">
        <f t="shared" si="13"/>
        <v>insertString = insertString.AddtoDBString(Me.AntennaRedundantHorizontalBoltEdgeDistance3.ToString)</v>
      </c>
      <c r="M70" s="11" t="str">
        <f t="shared" si="14"/>
        <v>Equals = If(Me.AntennaRedundantHorizontalBoltEdgeDistance3.CheckChange(otherToCompare.AntennaRedundantHorizontalBoltEdgeDistance3, changes, categoryName, "Antenna Redundant Horizontal Bolt Edge Distance 3"), Equals, False)</v>
      </c>
      <c r="N70" s="12" t="str">
        <f t="shared" si="15"/>
        <v xml:space="preserve"> 	Case tnxVar.Equals("AntennaRedundantHorizontalBoltEdgeDistance3")
                            Try
                                Me.geometry.upperStructure(recIndex).AntennaRedundantHorizontalBoltEdgeDistance3 = tnxValue
                            Catch ex As Exception
                                Debug.Print("Error parsing TNX variable: " &amp; tnxVar)
                            End Try</v>
      </c>
      <c r="O70" s="12" t="str">
        <f t="shared" si="16"/>
        <v>If Not IsNothing(Me.settings.USUnits.Strength.convertToERIUnits(.AntennaRedundantHorizontalBoltEdgeDistance3)) Then 'This field does not get saved when generated from CCIpole
                                newERIList.Add("AntennaRedundantHorizontalBoltEdgeDistance3=" &amp; Me.settings.USUnits.Strength.convertToERIUnits(.AntennaRedundantHorizontalBoltEdgeDistance3))
                            End If</v>
      </c>
      <c r="P70" s="11" t="str">
        <f t="shared" si="17"/>
        <v>SQLInsertValues = SQLInsertValues.AddtoDBString(Me.AntennaRedundantHorizontalBoltEdgeDistance3.NullableToString.FormatDBValue)</v>
      </c>
      <c r="Q70" s="11" t="str">
        <f t="shared" si="18"/>
        <v>SQLInsertFields = SQLInsertFields.AddtoDBString("AntennaRedundantHorizontalBoltEdgeDistance3")</v>
      </c>
      <c r="R70" s="11" t="str">
        <f t="shared" si="19"/>
        <v>SQLUpdateFieldsandValues = SQLUpdateFieldsandValues.AddtoDBString("AntennaRedundantHorizontalBoltEdgeDistance3 = " &amp; Me.AntennaRedundantHorizontalBoltEdgeDistance3.NullableToString.FormatDBValue)</v>
      </c>
      <c r="S70" s="10" t="s">
        <v>286</v>
      </c>
    </row>
    <row r="71" spans="1:19" ht="165" x14ac:dyDescent="0.25">
      <c r="A71" s="11" t="s">
        <v>1113</v>
      </c>
      <c r="B71" s="11" t="str" cm="1">
        <f t="array" ref="B71">Addspaces(A71)</f>
        <v>Antenna Redundant Horizontal Gage G 1 Distance 3</v>
      </c>
      <c r="C71" s="15" t="s">
        <v>1225</v>
      </c>
      <c r="D71" s="13" t="str">
        <f>VLOOKUP(C71,Sheet8!A:C,2,FALSE)</f>
        <v>decimal(18, 6)</v>
      </c>
      <c r="E71" s="15"/>
      <c r="F71" s="13" t="str">
        <f>VLOOKUP(C71,Sheet8!A:C,3,FALSE)</f>
        <v>Double?</v>
      </c>
      <c r="G71" s="15"/>
      <c r="H71" s="11" t="str">
        <f t="shared" si="10"/>
        <v>ADD AntennaRedundantHorizontalGageG1Distance3 decimal(18, 6),</v>
      </c>
      <c r="I71" s="11" t="str">
        <f t="shared" si="11"/>
        <v xml:space="preserve">Private _AntennaRedundantHorizontalGageG1Distance3 As Double? </v>
      </c>
      <c r="J71" s="12" t="str">
        <f t="shared" si="12"/>
        <v xml:space="preserve">     		&lt;Category("TNX Antenna Record"), Description(""), DisplayName("Antenna Redundant Horizontal Gage G 1 Distance 3")&gt;
    		&lt;DataMember()&gt; Public Property AntennaRedundantHorizontalGageG1Distance3() As Double?
        			Get
            				Return Me._AntennaRedundantHorizontalGageG1Distance3
        			End Get
        			Set
            				Me._AntennaRedundantHorizontalGageG1Distance3 = Value
        			End Set
    		End Property</v>
      </c>
      <c r="K71" s="11" t="str">
        <f>"Me."&amp;A71&amp; " = " &amp; VLOOKUP(C71,Sheet8!A:D,4,FALSE)&amp;"(recRow.Item("""&amp;A71 &amp;""")" &amp; IF(C71="Number",",6","")&amp;")"</f>
        <v>Me.AntennaRedundantHorizontalGageG1Distance3 = DBtoNullableDec(recRow.Item("AntennaRedundantHorizontalGageG1Distance3"),6)</v>
      </c>
      <c r="L71" s="11" t="str">
        <f t="shared" si="13"/>
        <v>insertString = insertString.AddtoDBString(Me.AntennaRedundantHorizontalGageG1Distance3.ToString)</v>
      </c>
      <c r="M71" s="11" t="str">
        <f t="shared" si="14"/>
        <v>Equals = If(Me.AntennaRedundantHorizontalGageG1Distance3.CheckChange(otherToCompare.AntennaRedundantHorizontalGageG1Distance3, changes, categoryName, "Antenna Redundant Horizontal Gage G 1 Distance 3"), Equals, False)</v>
      </c>
      <c r="N71" s="12" t="str">
        <f t="shared" si="15"/>
        <v xml:space="preserve"> 	Case tnxVar.Equals("AntennaRedundantHorizontalGageG1Distance3")
                            Try
                                Me.geometry.upperStructure(recIndex).AntennaRedundantHorizontalGageG1Distance3 = tnxValue
                            Catch ex As Exception
                                Debug.Print("Error parsing TNX variable: " &amp; tnxVar)
                            End Try</v>
      </c>
      <c r="O71" s="12" t="str">
        <f t="shared" si="16"/>
        <v>If Not IsNothing(Me.settings.USUnits.Strength.convertToERIUnits(.AntennaRedundantHorizontalGageG1Distance3)) Then 'This field does not get saved when generated from CCIpole
                                newERIList.Add("AntennaRedundantHorizontalGageG1Distance3=" &amp; Me.settings.USUnits.Strength.convertToERIUnits(.AntennaRedundantHorizontalGageG1Distance3))
                            End If</v>
      </c>
      <c r="P71" s="11" t="str">
        <f t="shared" si="17"/>
        <v>SQLInsertValues = SQLInsertValues.AddtoDBString(Me.AntennaRedundantHorizontalGageG1Distance3.NullableToString.FormatDBValue)</v>
      </c>
      <c r="Q71" s="11" t="str">
        <f t="shared" si="18"/>
        <v>SQLInsertFields = SQLInsertFields.AddtoDBString("AntennaRedundantHorizontalGageG1Distance3")</v>
      </c>
      <c r="R71" s="11" t="str">
        <f t="shared" si="19"/>
        <v>SQLUpdateFieldsandValues = SQLUpdateFieldsandValues.AddtoDBString("AntennaRedundantHorizontalGageG1Distance3 = " &amp; Me.AntennaRedundantHorizontalGageG1Distance3.NullableToString.FormatDBValue)</v>
      </c>
      <c r="S71" s="10" t="s">
        <v>286</v>
      </c>
    </row>
    <row r="72" spans="1:19" ht="165" x14ac:dyDescent="0.25">
      <c r="A72" s="11" t="s">
        <v>1114</v>
      </c>
      <c r="B72" s="11" t="str" cm="1">
        <f t="array" ref="B72">Addspaces(A72)</f>
        <v>Antenna Redundant Horizontal Net Width Deduct 3</v>
      </c>
      <c r="C72" s="15" t="s">
        <v>1225</v>
      </c>
      <c r="D72" s="13" t="str">
        <f>VLOOKUP(C72,Sheet8!A:C,2,FALSE)</f>
        <v>decimal(18, 6)</v>
      </c>
      <c r="E72" s="15"/>
      <c r="F72" s="13" t="str">
        <f>VLOOKUP(C72,Sheet8!A:C,3,FALSE)</f>
        <v>Double?</v>
      </c>
      <c r="G72" s="15"/>
      <c r="H72" s="11" t="str">
        <f t="shared" si="10"/>
        <v>ADD AntennaRedundantHorizontalNetWidthDeduct3 decimal(18, 6),</v>
      </c>
      <c r="I72" s="11" t="str">
        <f t="shared" si="11"/>
        <v xml:space="preserve">Private _AntennaRedundantHorizontalNetWidthDeduct3 As Double? </v>
      </c>
      <c r="J72" s="12" t="str">
        <f t="shared" si="12"/>
        <v xml:space="preserve">     		&lt;Category("TNX Antenna Record"), Description(""), DisplayName("Antenna Redundant Horizontal Net Width Deduct 3")&gt;
    		&lt;DataMember()&gt; Public Property AntennaRedundantHorizontalNetWidthDeduct3() As Double?
        			Get
            				Return Me._AntennaRedundantHorizontalNetWidthDeduct3
        			End Get
        			Set
            				Me._AntennaRedundantHorizontalNetWidthDeduct3 = Value
        			End Set
    		End Property</v>
      </c>
      <c r="K72" s="11" t="str">
        <f>"Me."&amp;A72&amp; " = " &amp; VLOOKUP(C72,Sheet8!A:D,4,FALSE)&amp;"(recRow.Item("""&amp;A72 &amp;""")" &amp; IF(C72="Number",",6","")&amp;")"</f>
        <v>Me.AntennaRedundantHorizontalNetWidthDeduct3 = DBtoNullableDec(recRow.Item("AntennaRedundantHorizontalNetWidthDeduct3"),6)</v>
      </c>
      <c r="L72" s="11" t="str">
        <f t="shared" si="13"/>
        <v>insertString = insertString.AddtoDBString(Me.AntennaRedundantHorizontalNetWidthDeduct3.ToString)</v>
      </c>
      <c r="M72" s="11" t="str">
        <f t="shared" si="14"/>
        <v>Equals = If(Me.AntennaRedundantHorizontalNetWidthDeduct3.CheckChange(otherToCompare.AntennaRedundantHorizontalNetWidthDeduct3, changes, categoryName, "Antenna Redundant Horizontal Net Width Deduct 3"), Equals, False)</v>
      </c>
      <c r="N72" s="12" t="str">
        <f t="shared" si="15"/>
        <v xml:space="preserve"> 	Case tnxVar.Equals("AntennaRedundantHorizontalNetWidthDeduct3")
                            Try
                                Me.geometry.upperStructure(recIndex).AntennaRedundantHorizontalNetWidthDeduct3 = tnxValue
                            Catch ex As Exception
                                Debug.Print("Error parsing TNX variable: " &amp; tnxVar)
                            End Try</v>
      </c>
      <c r="O72" s="12" t="str">
        <f t="shared" si="16"/>
        <v>If Not IsNothing(Me.settings.USUnits.Strength.convertToERIUnits(.AntennaRedundantHorizontalNetWidthDeduct3)) Then 'This field does not get saved when generated from CCIpole
                                newERIList.Add("AntennaRedundantHorizontalNetWidthDeduct3=" &amp; Me.settings.USUnits.Strength.convertToERIUnits(.AntennaRedundantHorizontalNetWidthDeduct3))
                            End If</v>
      </c>
      <c r="P72" s="11" t="str">
        <f t="shared" si="17"/>
        <v>SQLInsertValues = SQLInsertValues.AddtoDBString(Me.AntennaRedundantHorizontalNetWidthDeduct3.NullableToString.FormatDBValue)</v>
      </c>
      <c r="Q72" s="11" t="str">
        <f t="shared" si="18"/>
        <v>SQLInsertFields = SQLInsertFields.AddtoDBString("AntennaRedundantHorizontalNetWidthDeduct3")</v>
      </c>
      <c r="R72" s="11" t="str">
        <f t="shared" si="19"/>
        <v>SQLUpdateFieldsandValues = SQLUpdateFieldsandValues.AddtoDBString("AntennaRedundantHorizontalNetWidthDeduct3 = " &amp; Me.AntennaRedundantHorizontalNetWidthDeduct3.NullableToString.FormatDBValue)</v>
      </c>
      <c r="S72" s="10" t="s">
        <v>286</v>
      </c>
    </row>
    <row r="73" spans="1:19" ht="150" x14ac:dyDescent="0.25">
      <c r="A73" s="11" t="s">
        <v>1115</v>
      </c>
      <c r="B73" s="11" t="str" cm="1">
        <f t="array" ref="B73">Addspaces(A73)</f>
        <v>Antenna Redundant Horizontal U Factor 3</v>
      </c>
      <c r="C73" s="15" t="s">
        <v>1225</v>
      </c>
      <c r="D73" s="13" t="str">
        <f>VLOOKUP(C73,Sheet8!A:C,2,FALSE)</f>
        <v>decimal(18, 6)</v>
      </c>
      <c r="E73" s="15"/>
      <c r="F73" s="13" t="str">
        <f>VLOOKUP(C73,Sheet8!A:C,3,FALSE)</f>
        <v>Double?</v>
      </c>
      <c r="G73" s="15"/>
      <c r="H73" s="11" t="str">
        <f t="shared" si="10"/>
        <v>ADD AntennaRedundantHorizontalUFactor3 decimal(18, 6),</v>
      </c>
      <c r="I73" s="11" t="str">
        <f t="shared" si="11"/>
        <v xml:space="preserve">Private _AntennaRedundantHorizontalUFactor3 As Double? </v>
      </c>
      <c r="J73" s="12" t="str">
        <f t="shared" si="12"/>
        <v xml:space="preserve">     		&lt;Category("TNX Antenna Record"), Description(""), DisplayName("Antenna Redundant Horizontal U Factor 3")&gt;
    		&lt;DataMember()&gt; Public Property AntennaRedundantHorizontalUFactor3() As Double?
        			Get
            				Return Me._AntennaRedundantHorizontalUFactor3
        			End Get
        			Set
            				Me._AntennaRedundantHorizontalUFactor3 = Value
        			End Set
    		End Property</v>
      </c>
      <c r="K73" s="11" t="str">
        <f>"Me."&amp;A73&amp; " = " &amp; VLOOKUP(C73,Sheet8!A:D,4,FALSE)&amp;"(recRow.Item("""&amp;A73 &amp;""")" &amp; IF(C73="Number",",6","")&amp;")"</f>
        <v>Me.AntennaRedundantHorizontalUFactor3 = DBtoNullableDec(recRow.Item("AntennaRedundantHorizontalUFactor3"),6)</v>
      </c>
      <c r="L73" s="11" t="str">
        <f t="shared" si="13"/>
        <v>insertString = insertString.AddtoDBString(Me.AntennaRedundantHorizontalUFactor3.ToString)</v>
      </c>
      <c r="M73" s="11" t="str">
        <f t="shared" si="14"/>
        <v>Equals = If(Me.AntennaRedundantHorizontalUFactor3.CheckChange(otherToCompare.AntennaRedundantHorizontalUFactor3, changes, categoryName, "Antenna Redundant Horizontal U Factor 3"), Equals, False)</v>
      </c>
      <c r="N73" s="12" t="str">
        <f t="shared" si="15"/>
        <v xml:space="preserve"> 	Case tnxVar.Equals("AntennaRedundantHorizontalUFactor3")
                            Try
                                Me.geometry.upperStructure(recIndex).AntennaRedundantHorizontalUFactor3 = tnxValue
                            Catch ex As Exception
                                Debug.Print("Error parsing TNX variable: " &amp; tnxVar)
                            End Try</v>
      </c>
      <c r="O73" s="12" t="str">
        <f t="shared" si="16"/>
        <v>If Not IsNothing(Me.settings.USUnits.Strength.convertToERIUnits(.AntennaRedundantHorizontalUFactor3)) Then 'This field does not get saved when generated from CCIpole
                                newERIList.Add("AntennaRedundantHorizontalUFactor3=" &amp; Me.settings.USUnits.Strength.convertToERIUnits(.AntennaRedundantHorizontalUFactor3))
                            End If</v>
      </c>
      <c r="P73" s="11" t="str">
        <f t="shared" si="17"/>
        <v>SQLInsertValues = SQLInsertValues.AddtoDBString(Me.AntennaRedundantHorizontalUFactor3.NullableToString.FormatDBValue)</v>
      </c>
      <c r="Q73" s="11" t="str">
        <f t="shared" si="18"/>
        <v>SQLInsertFields = SQLInsertFields.AddtoDBString("AntennaRedundantHorizontalUFactor3")</v>
      </c>
      <c r="R73" s="11" t="str">
        <f t="shared" si="19"/>
        <v>SQLUpdateFieldsandValues = SQLUpdateFieldsandValues.AddtoDBString("AntennaRedundantHorizontalUFactor3 = " &amp; Me.AntennaRedundantHorizontalUFactor3.NullableToString.FormatDBValue)</v>
      </c>
      <c r="S73" s="10" t="s">
        <v>286</v>
      </c>
    </row>
    <row r="74" spans="1:19" ht="150" x14ac:dyDescent="0.25">
      <c r="A74" s="11" t="s">
        <v>1116</v>
      </c>
      <c r="B74" s="11" t="str" cm="1">
        <f t="array" ref="B74">Addspaces(A74)</f>
        <v>Antenna Redundant Horizontal Bolt Grade 4</v>
      </c>
      <c r="C74" s="15" t="s">
        <v>1224</v>
      </c>
      <c r="D74" s="13" t="str">
        <f>VLOOKUP(C74,Sheet8!A:C,2,FALSE)</f>
        <v>varchar</v>
      </c>
      <c r="E74" s="15">
        <v>100</v>
      </c>
      <c r="F74" s="13" t="str">
        <f>VLOOKUP(C74,Sheet8!A:C,3,FALSE)</f>
        <v>String</v>
      </c>
      <c r="G74" s="15"/>
      <c r="H74" s="11" t="str">
        <f t="shared" si="10"/>
        <v>ADD AntennaRedundantHorizontalBoltGrade4 varchar(100),</v>
      </c>
      <c r="I74" s="11" t="str">
        <f t="shared" si="11"/>
        <v xml:space="preserve">Private _AntennaRedundantHorizontalBoltGrade4 As String </v>
      </c>
      <c r="J74" s="12" t="str">
        <f t="shared" si="12"/>
        <v xml:space="preserve">     		&lt;Category("TNX Antenna Record"), Description(""), DisplayName("Antenna Redundant Horizontal Bolt Grade 4")&gt;
    		&lt;DataMember()&gt; Public Property AntennaRedundantHorizontalBoltGrade4() As String
        			Get
            				Return Me._AntennaRedundantHorizontalBoltGrade4
        			End Get
        			Set
            				Me._AntennaRedundantHorizontalBoltGrade4 = Value
        			End Set
    		End Property</v>
      </c>
      <c r="K74" s="11" t="str">
        <f>"Me."&amp;A74&amp; " = " &amp; VLOOKUP(C74,Sheet8!A:D,4,FALSE)&amp;"(recRow.Item("""&amp;A74 &amp;""")" &amp; IF(C74="Number",",6","")&amp;")"</f>
        <v>Me.AntennaRedundantHorizontalBoltGrade4 = DBtoStr(recRow.Item("AntennaRedundantHorizontalBoltGrade4"))</v>
      </c>
      <c r="L74" s="11" t="str">
        <f t="shared" si="13"/>
        <v>insertString = insertString.AddtoDBString(Me.AntennaRedundantHorizontalBoltGrade4.ToString)</v>
      </c>
      <c r="M74" s="11" t="str">
        <f t="shared" si="14"/>
        <v>Equals = If(Me.AntennaRedundantHorizontalBoltGrade4.CheckChange(otherToCompare.AntennaRedundantHorizontalBoltGrade4, changes, categoryName, "Antenna Redundant Horizontal Bolt Grade 4"), Equals, False)</v>
      </c>
      <c r="N74" s="12" t="str">
        <f t="shared" si="15"/>
        <v xml:space="preserve"> 	Case tnxVar.Equals("AntennaRedundantHorizontalBoltGrade4")
                            Try
                                Me.geometry.upperStructure(recIndex).AntennaRedundantHorizontalBoltGrade4 = tnxValue
                            Catch ex As Exception
                                Debug.Print("Error parsing TNX variable: " &amp; tnxVar)
                            End Try</v>
      </c>
      <c r="O74" s="12" t="str">
        <f t="shared" si="16"/>
        <v>If IsSomethingString(.AntennaRedundantHorizontalBoltGrade4) Then 'This field does not get saved when generated from CCIpole
newERIList.Add("AntennaRedundantHorizontalBoltGrade4=" &amp; .AntennaRedundantHorizontalBoltGrade4)
End If</v>
      </c>
      <c r="P74" s="11" t="str">
        <f t="shared" si="17"/>
        <v>SQLInsertValues = SQLInsertValues.AddtoDBString(Me.AntennaRedundantHorizontalBoltGrade4.NullableToString.FormatDBValue)</v>
      </c>
      <c r="Q74" s="11" t="str">
        <f t="shared" si="18"/>
        <v>SQLInsertFields = SQLInsertFields.AddtoDBString("AntennaRedundantHorizontalBoltGrade4")</v>
      </c>
      <c r="R74" s="11" t="str">
        <f t="shared" si="19"/>
        <v>SQLUpdateFieldsandValues = SQLUpdateFieldsandValues.AddtoDBString("AntennaRedundantHorizontalBoltGrade4 = " &amp; Me.AntennaRedundantHorizontalBoltGrade4.NullableToString.FormatDBValue)</v>
      </c>
      <c r="S74" s="10" t="s">
        <v>286</v>
      </c>
    </row>
    <row r="75" spans="1:19" ht="150" x14ac:dyDescent="0.25">
      <c r="A75" s="11" t="s">
        <v>1117</v>
      </c>
      <c r="B75" s="11" t="str" cm="1">
        <f t="array" ref="B75">Addspaces(A75)</f>
        <v>Antenna Redundant Horizontal Bolt Size 4</v>
      </c>
      <c r="C75" s="15" t="s">
        <v>1225</v>
      </c>
      <c r="D75" s="13" t="str">
        <f>VLOOKUP(C75,Sheet8!A:C,2,FALSE)</f>
        <v>decimal(18, 6)</v>
      </c>
      <c r="E75" s="15"/>
      <c r="F75" s="13" t="str">
        <f>VLOOKUP(C75,Sheet8!A:C,3,FALSE)</f>
        <v>Double?</v>
      </c>
      <c r="G75" s="15"/>
      <c r="H75" s="11" t="str">
        <f t="shared" si="10"/>
        <v>ADD AntennaRedundantHorizontalBoltSize4 decimal(18, 6),</v>
      </c>
      <c r="I75" s="11" t="str">
        <f t="shared" si="11"/>
        <v xml:space="preserve">Private _AntennaRedundantHorizontalBoltSize4 As Double? </v>
      </c>
      <c r="J75" s="12" t="str">
        <f t="shared" si="12"/>
        <v xml:space="preserve">     		&lt;Category("TNX Antenna Record"), Description(""), DisplayName("Antenna Redundant Horizontal Bolt Size 4")&gt;
    		&lt;DataMember()&gt; Public Property AntennaRedundantHorizontalBoltSize4() As Double?
        			Get
            				Return Me._AntennaRedundantHorizontalBoltSize4
        			End Get
        			Set
            				Me._AntennaRedundantHorizontalBoltSize4 = Value
        			End Set
    		End Property</v>
      </c>
      <c r="K75" s="11" t="str">
        <f>"Me."&amp;A75&amp; " = " &amp; VLOOKUP(C75,Sheet8!A:D,4,FALSE)&amp;"(recRow.Item("""&amp;A75 &amp;""")" &amp; IF(C75="Number",",6","")&amp;")"</f>
        <v>Me.AntennaRedundantHorizontalBoltSize4 = DBtoNullableDec(recRow.Item("AntennaRedundantHorizontalBoltSize4"),6)</v>
      </c>
      <c r="L75" s="11" t="str">
        <f t="shared" si="13"/>
        <v>insertString = insertString.AddtoDBString(Me.AntennaRedundantHorizontalBoltSize4.ToString)</v>
      </c>
      <c r="M75" s="11" t="str">
        <f t="shared" si="14"/>
        <v>Equals = If(Me.AntennaRedundantHorizontalBoltSize4.CheckChange(otherToCompare.AntennaRedundantHorizontalBoltSize4, changes, categoryName, "Antenna Redundant Horizontal Bolt Size 4"), Equals, False)</v>
      </c>
      <c r="N75" s="12" t="str">
        <f t="shared" si="15"/>
        <v xml:space="preserve"> 	Case tnxVar.Equals("AntennaRedundantHorizontalBoltSize4")
                            Try
                                Me.geometry.upperStructure(recIndex).AntennaRedundantHorizontalBoltSize4 = tnxValue
                            Catch ex As Exception
                                Debug.Print("Error parsing TNX variable: " &amp; tnxVar)
                            End Try</v>
      </c>
      <c r="O75" s="12" t="str">
        <f t="shared" si="16"/>
        <v>If Not IsNothing(Me.settings.USUnits.Strength.convertToERIUnits(.AntennaRedundantHorizontalBoltSize4)) Then 'This field does not get saved when generated from CCIpole
                                newERIList.Add("AntennaRedundantHorizontalBoltSize4=" &amp; Me.settings.USUnits.Strength.convertToERIUnits(.AntennaRedundantHorizontalBoltSize4))
                            End If</v>
      </c>
      <c r="P75" s="11" t="str">
        <f t="shared" si="17"/>
        <v>SQLInsertValues = SQLInsertValues.AddtoDBString(Me.AntennaRedundantHorizontalBoltSize4.NullableToString.FormatDBValue)</v>
      </c>
      <c r="Q75" s="11" t="str">
        <f t="shared" si="18"/>
        <v>SQLInsertFields = SQLInsertFields.AddtoDBString("AntennaRedundantHorizontalBoltSize4")</v>
      </c>
      <c r="R75" s="11" t="str">
        <f t="shared" si="19"/>
        <v>SQLUpdateFieldsandValues = SQLUpdateFieldsandValues.AddtoDBString("AntennaRedundantHorizontalBoltSize4 = " &amp; Me.AntennaRedundantHorizontalBoltSize4.NullableToString.FormatDBValue)</v>
      </c>
      <c r="S75" s="10" t="s">
        <v>286</v>
      </c>
    </row>
    <row r="76" spans="1:19" ht="150" x14ac:dyDescent="0.25">
      <c r="A76" s="11" t="s">
        <v>1118</v>
      </c>
      <c r="B76" s="11" t="str" cm="1">
        <f t="array" ref="B76">Addspaces(A76)</f>
        <v>Antenna Redundant Horizontal Num Bolts 4</v>
      </c>
      <c r="C76" s="15" t="s">
        <v>1234</v>
      </c>
      <c r="D76" s="13" t="str">
        <f>VLOOKUP(C76,Sheet8!A:C,2,FALSE)</f>
        <v>int</v>
      </c>
      <c r="E76" s="15"/>
      <c r="F76" s="13" t="str">
        <f>VLOOKUP(C76,Sheet8!A:C,3,FALSE)</f>
        <v>Integer?</v>
      </c>
      <c r="G76" s="15"/>
      <c r="H76" s="11" t="str">
        <f t="shared" si="10"/>
        <v>ADD AntennaRedundantHorizontalNumBolts4 int,</v>
      </c>
      <c r="I76" s="11" t="str">
        <f t="shared" si="11"/>
        <v xml:space="preserve">Private _AntennaRedundantHorizontalNumBolts4 As Integer? </v>
      </c>
      <c r="J76" s="12" t="str">
        <f t="shared" si="12"/>
        <v xml:space="preserve">     		&lt;Category("TNX Antenna Record"), Description(""), DisplayName("Antenna Redundant Horizontal Num Bolts 4")&gt;
    		&lt;DataMember()&gt; Public Property AntennaRedundantHorizontalNumBolts4() As Integer?
        			Get
            				Return Me._AntennaRedundantHorizontalNumBolts4
        			End Get
        			Set
            				Me._AntennaRedundantHorizontalNumBolts4 = Value
        			End Set
    		End Property</v>
      </c>
      <c r="K76" s="11" t="str">
        <f>"Me."&amp;A76&amp; " = " &amp; VLOOKUP(C76,Sheet8!A:D,4,FALSE)&amp;"(recRow.Item("""&amp;A76 &amp;""")" &amp; IF(C76="Number",",6","")&amp;")"</f>
        <v>Me.AntennaRedundantHorizontalNumBolts4 = DBtoNullableInt(recRow.Item("AntennaRedundantHorizontalNumBolts4"))</v>
      </c>
      <c r="L76" s="11" t="str">
        <f t="shared" si="13"/>
        <v>insertString = insertString.AddtoDBString(Me.AntennaRedundantHorizontalNumBolts4.ToString)</v>
      </c>
      <c r="M76" s="11" t="str">
        <f t="shared" si="14"/>
        <v>Equals = If(Me.AntennaRedundantHorizontalNumBolts4.CheckChange(otherToCompare.AntennaRedundantHorizontalNumBolts4, changes, categoryName, "Antenna Redundant Horizontal Num Bolts 4"), Equals, False)</v>
      </c>
      <c r="N76" s="12" t="str">
        <f t="shared" si="15"/>
        <v xml:space="preserve"> 	Case tnxVar.Equals("AntennaRedundantHorizontalNumBolts4")
                            Try
                                Me.geometry.upperStructure(recIndex).AntennaRedundantHorizontalNumBolts4 = tnxValue
                            Catch ex As Exception
                                Debug.Print("Error parsing TNX variable: " &amp; tnxVar)
                            End Try</v>
      </c>
      <c r="O76" s="12" t="str">
        <f t="shared" si="16"/>
        <v>newERIList.Add("AntennaRedundantHorizontalNumBolts4=" &amp; .AntennaRedundantHorizontalNumBolts4)</v>
      </c>
      <c r="P76" s="11" t="str">
        <f t="shared" si="17"/>
        <v>SQLInsertValues = SQLInsertValues.AddtoDBString(Me.AntennaRedundantHorizontalNumBolts4.NullableToString.FormatDBValue)</v>
      </c>
      <c r="Q76" s="11" t="str">
        <f t="shared" si="18"/>
        <v>SQLInsertFields = SQLInsertFields.AddtoDBString("AntennaRedundantHorizontalNumBolts4")</v>
      </c>
      <c r="R76" s="11" t="str">
        <f t="shared" si="19"/>
        <v>SQLUpdateFieldsandValues = SQLUpdateFieldsandValues.AddtoDBString("AntennaRedundantHorizontalNumBolts4 = " &amp; Me.AntennaRedundantHorizontalNumBolts4.NullableToString.FormatDBValue)</v>
      </c>
      <c r="S76" s="10" t="s">
        <v>286</v>
      </c>
    </row>
    <row r="77" spans="1:19" ht="165" x14ac:dyDescent="0.25">
      <c r="A77" s="11" t="s">
        <v>1119</v>
      </c>
      <c r="B77" s="11" t="str" cm="1">
        <f t="array" ref="B77">Addspaces(A77)</f>
        <v>Antenna Redundant Horizontal Bolt Edge Distance 4</v>
      </c>
      <c r="C77" s="15" t="s">
        <v>1225</v>
      </c>
      <c r="D77" s="13" t="str">
        <f>VLOOKUP(C77,Sheet8!A:C,2,FALSE)</f>
        <v>decimal(18, 6)</v>
      </c>
      <c r="E77" s="15"/>
      <c r="F77" s="13" t="str">
        <f>VLOOKUP(C77,Sheet8!A:C,3,FALSE)</f>
        <v>Double?</v>
      </c>
      <c r="G77" s="15"/>
      <c r="H77" s="11" t="str">
        <f t="shared" si="10"/>
        <v>ADD AntennaRedundantHorizontalBoltEdgeDistance4 decimal(18, 6),</v>
      </c>
      <c r="I77" s="11" t="str">
        <f t="shared" si="11"/>
        <v xml:space="preserve">Private _AntennaRedundantHorizontalBoltEdgeDistance4 As Double? </v>
      </c>
      <c r="J77" s="12" t="str">
        <f t="shared" si="12"/>
        <v xml:space="preserve">     		&lt;Category("TNX Antenna Record"), Description(""), DisplayName("Antenna Redundant Horizontal Bolt Edge Distance 4")&gt;
    		&lt;DataMember()&gt; Public Property AntennaRedundantHorizontalBoltEdgeDistance4() As Double?
        			Get
            				Return Me._AntennaRedundantHorizontalBoltEdgeDistance4
        			End Get
        			Set
            				Me._AntennaRedundantHorizontalBoltEdgeDistance4 = Value
        			End Set
    		End Property</v>
      </c>
      <c r="K77" s="11" t="str">
        <f>"Me."&amp;A77&amp; " = " &amp; VLOOKUP(C77,Sheet8!A:D,4,FALSE)&amp;"(recRow.Item("""&amp;A77 &amp;""")" &amp; IF(C77="Number",",6","")&amp;")"</f>
        <v>Me.AntennaRedundantHorizontalBoltEdgeDistance4 = DBtoNullableDec(recRow.Item("AntennaRedundantHorizontalBoltEdgeDistance4"),6)</v>
      </c>
      <c r="L77" s="11" t="str">
        <f t="shared" si="13"/>
        <v>insertString = insertString.AddtoDBString(Me.AntennaRedundantHorizontalBoltEdgeDistance4.ToString)</v>
      </c>
      <c r="M77" s="11" t="str">
        <f t="shared" si="14"/>
        <v>Equals = If(Me.AntennaRedundantHorizontalBoltEdgeDistance4.CheckChange(otherToCompare.AntennaRedundantHorizontalBoltEdgeDistance4, changes, categoryName, "Antenna Redundant Horizontal Bolt Edge Distance 4"), Equals, False)</v>
      </c>
      <c r="N77" s="12" t="str">
        <f t="shared" si="15"/>
        <v xml:space="preserve"> 	Case tnxVar.Equals("AntennaRedundantHorizontalBoltEdgeDistance4")
                            Try
                                Me.geometry.upperStructure(recIndex).AntennaRedundantHorizontalBoltEdgeDistance4 = tnxValue
                            Catch ex As Exception
                                Debug.Print("Error parsing TNX variable: " &amp; tnxVar)
                            End Try</v>
      </c>
      <c r="O77" s="12" t="str">
        <f t="shared" si="16"/>
        <v>If Not IsNothing(Me.settings.USUnits.Strength.convertToERIUnits(.AntennaRedundantHorizontalBoltEdgeDistance4)) Then 'This field does not get saved when generated from CCIpole
                                newERIList.Add("AntennaRedundantHorizontalBoltEdgeDistance4=" &amp; Me.settings.USUnits.Strength.convertToERIUnits(.AntennaRedundantHorizontalBoltEdgeDistance4))
                            End If</v>
      </c>
      <c r="P77" s="11" t="str">
        <f t="shared" si="17"/>
        <v>SQLInsertValues = SQLInsertValues.AddtoDBString(Me.AntennaRedundantHorizontalBoltEdgeDistance4.NullableToString.FormatDBValue)</v>
      </c>
      <c r="Q77" s="11" t="str">
        <f t="shared" si="18"/>
        <v>SQLInsertFields = SQLInsertFields.AddtoDBString("AntennaRedundantHorizontalBoltEdgeDistance4")</v>
      </c>
      <c r="R77" s="11" t="str">
        <f t="shared" si="19"/>
        <v>SQLUpdateFieldsandValues = SQLUpdateFieldsandValues.AddtoDBString("AntennaRedundantHorizontalBoltEdgeDistance4 = " &amp; Me.AntennaRedundantHorizontalBoltEdgeDistance4.NullableToString.FormatDBValue)</v>
      </c>
      <c r="S77" s="10" t="s">
        <v>286</v>
      </c>
    </row>
    <row r="78" spans="1:19" ht="165" x14ac:dyDescent="0.25">
      <c r="A78" s="11" t="s">
        <v>1120</v>
      </c>
      <c r="B78" s="11" t="str" cm="1">
        <f t="array" ref="B78">Addspaces(A78)</f>
        <v>Antenna Redundant Horizontal Gage G 1 Distance 4</v>
      </c>
      <c r="C78" s="15" t="s">
        <v>1225</v>
      </c>
      <c r="D78" s="13" t="str">
        <f>VLOOKUP(C78,Sheet8!A:C,2,FALSE)</f>
        <v>decimal(18, 6)</v>
      </c>
      <c r="E78" s="15"/>
      <c r="F78" s="13" t="str">
        <f>VLOOKUP(C78,Sheet8!A:C,3,FALSE)</f>
        <v>Double?</v>
      </c>
      <c r="G78" s="15"/>
      <c r="H78" s="11" t="str">
        <f t="shared" si="10"/>
        <v>ADD AntennaRedundantHorizontalGageG1Distance4 decimal(18, 6),</v>
      </c>
      <c r="I78" s="11" t="str">
        <f t="shared" si="11"/>
        <v xml:space="preserve">Private _AntennaRedundantHorizontalGageG1Distance4 As Double? </v>
      </c>
      <c r="J78" s="12" t="str">
        <f t="shared" si="12"/>
        <v xml:space="preserve">     		&lt;Category("TNX Antenna Record"), Description(""), DisplayName("Antenna Redundant Horizontal Gage G 1 Distance 4")&gt;
    		&lt;DataMember()&gt; Public Property AntennaRedundantHorizontalGageG1Distance4() As Double?
        			Get
            				Return Me._AntennaRedundantHorizontalGageG1Distance4
        			End Get
        			Set
            				Me._AntennaRedundantHorizontalGageG1Distance4 = Value
        			End Set
    		End Property</v>
      </c>
      <c r="K78" s="11" t="str">
        <f>"Me."&amp;A78&amp; " = " &amp; VLOOKUP(C78,Sheet8!A:D,4,FALSE)&amp;"(recRow.Item("""&amp;A78 &amp;""")" &amp; IF(C78="Number",",6","")&amp;")"</f>
        <v>Me.AntennaRedundantHorizontalGageG1Distance4 = DBtoNullableDec(recRow.Item("AntennaRedundantHorizontalGageG1Distance4"),6)</v>
      </c>
      <c r="L78" s="11" t="str">
        <f t="shared" si="13"/>
        <v>insertString = insertString.AddtoDBString(Me.AntennaRedundantHorizontalGageG1Distance4.ToString)</v>
      </c>
      <c r="M78" s="11" t="str">
        <f t="shared" si="14"/>
        <v>Equals = If(Me.AntennaRedundantHorizontalGageG1Distance4.CheckChange(otherToCompare.AntennaRedundantHorizontalGageG1Distance4, changes, categoryName, "Antenna Redundant Horizontal Gage G 1 Distance 4"), Equals, False)</v>
      </c>
      <c r="N78" s="12" t="str">
        <f t="shared" si="15"/>
        <v xml:space="preserve"> 	Case tnxVar.Equals("AntennaRedundantHorizontalGageG1Distance4")
                            Try
                                Me.geometry.upperStructure(recIndex).AntennaRedundantHorizontalGageG1Distance4 = tnxValue
                            Catch ex As Exception
                                Debug.Print("Error parsing TNX variable: " &amp; tnxVar)
                            End Try</v>
      </c>
      <c r="O78" s="12" t="str">
        <f t="shared" si="16"/>
        <v>If Not IsNothing(Me.settings.USUnits.Strength.convertToERIUnits(.AntennaRedundantHorizontalGageG1Distance4)) Then 'This field does not get saved when generated from CCIpole
                                newERIList.Add("AntennaRedundantHorizontalGageG1Distance4=" &amp; Me.settings.USUnits.Strength.convertToERIUnits(.AntennaRedundantHorizontalGageG1Distance4))
                            End If</v>
      </c>
      <c r="P78" s="11" t="str">
        <f t="shared" si="17"/>
        <v>SQLInsertValues = SQLInsertValues.AddtoDBString(Me.AntennaRedundantHorizontalGageG1Distance4.NullableToString.FormatDBValue)</v>
      </c>
      <c r="Q78" s="11" t="str">
        <f t="shared" si="18"/>
        <v>SQLInsertFields = SQLInsertFields.AddtoDBString("AntennaRedundantHorizontalGageG1Distance4")</v>
      </c>
      <c r="R78" s="11" t="str">
        <f t="shared" si="19"/>
        <v>SQLUpdateFieldsandValues = SQLUpdateFieldsandValues.AddtoDBString("AntennaRedundantHorizontalGageG1Distance4 = " &amp; Me.AntennaRedundantHorizontalGageG1Distance4.NullableToString.FormatDBValue)</v>
      </c>
      <c r="S78" s="10" t="s">
        <v>286</v>
      </c>
    </row>
    <row r="79" spans="1:19" ht="165" x14ac:dyDescent="0.25">
      <c r="A79" s="11" t="s">
        <v>1121</v>
      </c>
      <c r="B79" s="11" t="str" cm="1">
        <f t="array" ref="B79">Addspaces(A79)</f>
        <v>Antenna Redundant Horizontal Net Width Deduct 4</v>
      </c>
      <c r="C79" s="15" t="s">
        <v>1225</v>
      </c>
      <c r="D79" s="13" t="str">
        <f>VLOOKUP(C79,Sheet8!A:C,2,FALSE)</f>
        <v>decimal(18, 6)</v>
      </c>
      <c r="E79" s="15"/>
      <c r="F79" s="13" t="str">
        <f>VLOOKUP(C79,Sheet8!A:C,3,FALSE)</f>
        <v>Double?</v>
      </c>
      <c r="G79" s="15"/>
      <c r="H79" s="11" t="str">
        <f t="shared" si="10"/>
        <v>ADD AntennaRedundantHorizontalNetWidthDeduct4 decimal(18, 6),</v>
      </c>
      <c r="I79" s="11" t="str">
        <f t="shared" si="11"/>
        <v xml:space="preserve">Private _AntennaRedundantHorizontalNetWidthDeduct4 As Double? </v>
      </c>
      <c r="J79" s="12" t="str">
        <f t="shared" si="12"/>
        <v xml:space="preserve">     		&lt;Category("TNX Antenna Record"), Description(""), DisplayName("Antenna Redundant Horizontal Net Width Deduct 4")&gt;
    		&lt;DataMember()&gt; Public Property AntennaRedundantHorizontalNetWidthDeduct4() As Double?
        			Get
            				Return Me._AntennaRedundantHorizontalNetWidthDeduct4
        			End Get
        			Set
            				Me._AntennaRedundantHorizontalNetWidthDeduct4 = Value
        			End Set
    		End Property</v>
      </c>
      <c r="K79" s="11" t="str">
        <f>"Me."&amp;A79&amp; " = " &amp; VLOOKUP(C79,Sheet8!A:D,4,FALSE)&amp;"(recRow.Item("""&amp;A79 &amp;""")" &amp; IF(C79="Number",",6","")&amp;")"</f>
        <v>Me.AntennaRedundantHorizontalNetWidthDeduct4 = DBtoNullableDec(recRow.Item("AntennaRedundantHorizontalNetWidthDeduct4"),6)</v>
      </c>
      <c r="L79" s="11" t="str">
        <f t="shared" si="13"/>
        <v>insertString = insertString.AddtoDBString(Me.AntennaRedundantHorizontalNetWidthDeduct4.ToString)</v>
      </c>
      <c r="M79" s="11" t="str">
        <f t="shared" si="14"/>
        <v>Equals = If(Me.AntennaRedundantHorizontalNetWidthDeduct4.CheckChange(otherToCompare.AntennaRedundantHorizontalNetWidthDeduct4, changes, categoryName, "Antenna Redundant Horizontal Net Width Deduct 4"), Equals, False)</v>
      </c>
      <c r="N79" s="12" t="str">
        <f t="shared" si="15"/>
        <v xml:space="preserve"> 	Case tnxVar.Equals("AntennaRedundantHorizontalNetWidthDeduct4")
                            Try
                                Me.geometry.upperStructure(recIndex).AntennaRedundantHorizontalNetWidthDeduct4 = tnxValue
                            Catch ex As Exception
                                Debug.Print("Error parsing TNX variable: " &amp; tnxVar)
                            End Try</v>
      </c>
      <c r="O79" s="12" t="str">
        <f t="shared" si="16"/>
        <v>If Not IsNothing(Me.settings.USUnits.Strength.convertToERIUnits(.AntennaRedundantHorizontalNetWidthDeduct4)) Then 'This field does not get saved when generated from CCIpole
                                newERIList.Add("AntennaRedundantHorizontalNetWidthDeduct4=" &amp; Me.settings.USUnits.Strength.convertToERIUnits(.AntennaRedundantHorizontalNetWidthDeduct4))
                            End If</v>
      </c>
      <c r="P79" s="11" t="str">
        <f t="shared" si="17"/>
        <v>SQLInsertValues = SQLInsertValues.AddtoDBString(Me.AntennaRedundantHorizontalNetWidthDeduct4.NullableToString.FormatDBValue)</v>
      </c>
      <c r="Q79" s="11" t="str">
        <f t="shared" si="18"/>
        <v>SQLInsertFields = SQLInsertFields.AddtoDBString("AntennaRedundantHorizontalNetWidthDeduct4")</v>
      </c>
      <c r="R79" s="11" t="str">
        <f t="shared" si="19"/>
        <v>SQLUpdateFieldsandValues = SQLUpdateFieldsandValues.AddtoDBString("AntennaRedundantHorizontalNetWidthDeduct4 = " &amp; Me.AntennaRedundantHorizontalNetWidthDeduct4.NullableToString.FormatDBValue)</v>
      </c>
      <c r="S79" s="10" t="s">
        <v>286</v>
      </c>
    </row>
    <row r="80" spans="1:19" ht="150" x14ac:dyDescent="0.25">
      <c r="A80" s="11" t="s">
        <v>1122</v>
      </c>
      <c r="B80" s="11" t="str" cm="1">
        <f t="array" ref="B80">Addspaces(A80)</f>
        <v>Antenna Redundant Horizontal U Factor 4</v>
      </c>
      <c r="C80" s="15" t="s">
        <v>1225</v>
      </c>
      <c r="D80" s="13" t="str">
        <f>VLOOKUP(C80,Sheet8!A:C,2,FALSE)</f>
        <v>decimal(18, 6)</v>
      </c>
      <c r="E80" s="15"/>
      <c r="F80" s="13" t="str">
        <f>VLOOKUP(C80,Sheet8!A:C,3,FALSE)</f>
        <v>Double?</v>
      </c>
      <c r="G80" s="15"/>
      <c r="H80" s="11" t="str">
        <f t="shared" si="10"/>
        <v>ADD AntennaRedundantHorizontalUFactor4 decimal(18, 6),</v>
      </c>
      <c r="I80" s="11" t="str">
        <f t="shared" si="11"/>
        <v xml:space="preserve">Private _AntennaRedundantHorizontalUFactor4 As Double? </v>
      </c>
      <c r="J80" s="12" t="str">
        <f t="shared" si="12"/>
        <v xml:space="preserve">     		&lt;Category("TNX Antenna Record"), Description(""), DisplayName("Antenna Redundant Horizontal U Factor 4")&gt;
    		&lt;DataMember()&gt; Public Property AntennaRedundantHorizontalUFactor4() As Double?
        			Get
            				Return Me._AntennaRedundantHorizontalUFactor4
        			End Get
        			Set
            				Me._AntennaRedundantHorizontalUFactor4 = Value
        			End Set
    		End Property</v>
      </c>
      <c r="K80" s="11" t="str">
        <f>"Me."&amp;A80&amp; " = " &amp; VLOOKUP(C80,Sheet8!A:D,4,FALSE)&amp;"(recRow.Item("""&amp;A80 &amp;""")" &amp; IF(C80="Number",",6","")&amp;")"</f>
        <v>Me.AntennaRedundantHorizontalUFactor4 = DBtoNullableDec(recRow.Item("AntennaRedundantHorizontalUFactor4"),6)</v>
      </c>
      <c r="L80" s="11" t="str">
        <f t="shared" si="13"/>
        <v>insertString = insertString.AddtoDBString(Me.AntennaRedundantHorizontalUFactor4.ToString)</v>
      </c>
      <c r="M80" s="11" t="str">
        <f t="shared" si="14"/>
        <v>Equals = If(Me.AntennaRedundantHorizontalUFactor4.CheckChange(otherToCompare.AntennaRedundantHorizontalUFactor4, changes, categoryName, "Antenna Redundant Horizontal U Factor 4"), Equals, False)</v>
      </c>
      <c r="N80" s="12" t="str">
        <f t="shared" si="15"/>
        <v xml:space="preserve"> 	Case tnxVar.Equals("AntennaRedundantHorizontalUFactor4")
                            Try
                                Me.geometry.upperStructure(recIndex).AntennaRedundantHorizontalUFactor4 = tnxValue
                            Catch ex As Exception
                                Debug.Print("Error parsing TNX variable: " &amp; tnxVar)
                            End Try</v>
      </c>
      <c r="O80" s="12" t="str">
        <f t="shared" si="16"/>
        <v>If Not IsNothing(Me.settings.USUnits.Strength.convertToERIUnits(.AntennaRedundantHorizontalUFactor4)) Then 'This field does not get saved when generated from CCIpole
                                newERIList.Add("AntennaRedundantHorizontalUFactor4=" &amp; Me.settings.USUnits.Strength.convertToERIUnits(.AntennaRedundantHorizontalUFactor4))
                            End If</v>
      </c>
      <c r="P80" s="11" t="str">
        <f t="shared" si="17"/>
        <v>SQLInsertValues = SQLInsertValues.AddtoDBString(Me.AntennaRedundantHorizontalUFactor4.NullableToString.FormatDBValue)</v>
      </c>
      <c r="Q80" s="11" t="str">
        <f t="shared" si="18"/>
        <v>SQLInsertFields = SQLInsertFields.AddtoDBString("AntennaRedundantHorizontalUFactor4")</v>
      </c>
      <c r="R80" s="11" t="str">
        <f t="shared" si="19"/>
        <v>SQLUpdateFieldsandValues = SQLUpdateFieldsandValues.AddtoDBString("AntennaRedundantHorizontalUFactor4 = " &amp; Me.AntennaRedundantHorizontalUFactor4.NullableToString.FormatDBValue)</v>
      </c>
      <c r="S80" s="10" t="s">
        <v>286</v>
      </c>
    </row>
    <row r="81" spans="1:19" ht="150" x14ac:dyDescent="0.25">
      <c r="A81" s="11" t="s">
        <v>1123</v>
      </c>
      <c r="B81" s="11" t="str" cm="1">
        <f t="array" ref="B81">Addspaces(A81)</f>
        <v>Antenna Redundant Diagonal Bolt Grade 1</v>
      </c>
      <c r="C81" s="15" t="s">
        <v>1224</v>
      </c>
      <c r="D81" s="13" t="str">
        <f>VLOOKUP(C81,Sheet8!A:C,2,FALSE)</f>
        <v>varchar</v>
      </c>
      <c r="E81" s="15">
        <v>100</v>
      </c>
      <c r="F81" s="13" t="str">
        <f>VLOOKUP(C81,Sheet8!A:C,3,FALSE)</f>
        <v>String</v>
      </c>
      <c r="G81" s="15"/>
      <c r="H81" s="11" t="str">
        <f t="shared" si="10"/>
        <v>ADD AntennaRedundantDiagonalBoltGrade1 varchar(100),</v>
      </c>
      <c r="I81" s="11" t="str">
        <f t="shared" si="11"/>
        <v xml:space="preserve">Private _AntennaRedundantDiagonalBoltGrade1 As String </v>
      </c>
      <c r="J81" s="12" t="str">
        <f t="shared" si="12"/>
        <v xml:space="preserve">     		&lt;Category("TNX Antenna Record"), Description(""), DisplayName("Antenna Redundant Diagonal Bolt Grade 1")&gt;
    		&lt;DataMember()&gt; Public Property AntennaRedundantDiagonalBoltGrade1() As String
        			Get
            				Return Me._AntennaRedundantDiagonalBoltGrade1
        			End Get
        			Set
            				Me._AntennaRedundantDiagonalBoltGrade1 = Value
        			End Set
    		End Property</v>
      </c>
      <c r="K81" s="11" t="str">
        <f>"Me."&amp;A81&amp; " = " &amp; VLOOKUP(C81,Sheet8!A:D,4,FALSE)&amp;"(recRow.Item("""&amp;A81 &amp;""")" &amp; IF(C81="Number",",6","")&amp;")"</f>
        <v>Me.AntennaRedundantDiagonalBoltGrade1 = DBtoStr(recRow.Item("AntennaRedundantDiagonalBoltGrade1"))</v>
      </c>
      <c r="L81" s="11" t="str">
        <f t="shared" si="13"/>
        <v>insertString = insertString.AddtoDBString(Me.AntennaRedundantDiagonalBoltGrade1.ToString)</v>
      </c>
      <c r="M81" s="11" t="str">
        <f t="shared" si="14"/>
        <v>Equals = If(Me.AntennaRedundantDiagonalBoltGrade1.CheckChange(otherToCompare.AntennaRedundantDiagonalBoltGrade1, changes, categoryName, "Antenna Redundant Diagonal Bolt Grade 1"), Equals, False)</v>
      </c>
      <c r="N81" s="12" t="str">
        <f t="shared" si="15"/>
        <v xml:space="preserve"> 	Case tnxVar.Equals("AntennaRedundantDiagonalBoltGrade1")
                            Try
                                Me.geometry.upperStructure(recIndex).AntennaRedundantDiagonalBoltGrade1 = tnxValue
                            Catch ex As Exception
                                Debug.Print("Error parsing TNX variable: " &amp; tnxVar)
                            End Try</v>
      </c>
      <c r="O81" s="12" t="str">
        <f t="shared" si="16"/>
        <v>If IsSomethingString(.AntennaRedundantDiagonalBoltGrade1) Then 'This field does not get saved when generated from CCIpole
newERIList.Add("AntennaRedundantDiagonalBoltGrade1=" &amp; .AntennaRedundantDiagonalBoltGrade1)
End If</v>
      </c>
      <c r="P81" s="11" t="str">
        <f t="shared" si="17"/>
        <v>SQLInsertValues = SQLInsertValues.AddtoDBString(Me.AntennaRedundantDiagonalBoltGrade1.NullableToString.FormatDBValue)</v>
      </c>
      <c r="Q81" s="11" t="str">
        <f t="shared" si="18"/>
        <v>SQLInsertFields = SQLInsertFields.AddtoDBString("AntennaRedundantDiagonalBoltGrade1")</v>
      </c>
      <c r="R81" s="11" t="str">
        <f t="shared" si="19"/>
        <v>SQLUpdateFieldsandValues = SQLUpdateFieldsandValues.AddtoDBString("AntennaRedundantDiagonalBoltGrade1 = " &amp; Me.AntennaRedundantDiagonalBoltGrade1.NullableToString.FormatDBValue)</v>
      </c>
      <c r="S81" s="10" t="s">
        <v>286</v>
      </c>
    </row>
    <row r="82" spans="1:19" ht="150" x14ac:dyDescent="0.25">
      <c r="A82" s="11" t="s">
        <v>1124</v>
      </c>
      <c r="B82" s="11" t="str" cm="1">
        <f t="array" ref="B82">Addspaces(A82)</f>
        <v>Antenna Redundant Diagonal Bolt Size 1</v>
      </c>
      <c r="C82" s="15" t="s">
        <v>1225</v>
      </c>
      <c r="D82" s="13" t="str">
        <f>VLOOKUP(C82,Sheet8!A:C,2,FALSE)</f>
        <v>decimal(18, 6)</v>
      </c>
      <c r="E82" s="15"/>
      <c r="F82" s="13" t="str">
        <f>VLOOKUP(C82,Sheet8!A:C,3,FALSE)</f>
        <v>Double?</v>
      </c>
      <c r="G82" s="15"/>
      <c r="H82" s="11" t="str">
        <f t="shared" si="10"/>
        <v>ADD AntennaRedundantDiagonalBoltSize1 decimal(18, 6),</v>
      </c>
      <c r="I82" s="11" t="str">
        <f t="shared" si="11"/>
        <v xml:space="preserve">Private _AntennaRedundantDiagonalBoltSize1 As Double? </v>
      </c>
      <c r="J82" s="12" t="str">
        <f t="shared" si="12"/>
        <v xml:space="preserve">     		&lt;Category("TNX Antenna Record"), Description(""), DisplayName("Antenna Redundant Diagonal Bolt Size 1")&gt;
    		&lt;DataMember()&gt; Public Property AntennaRedundantDiagonalBoltSize1() As Double?
        			Get
            				Return Me._AntennaRedundantDiagonalBoltSize1
        			End Get
        			Set
            				Me._AntennaRedundantDiagonalBoltSize1 = Value
        			End Set
    		End Property</v>
      </c>
      <c r="K82" s="11" t="str">
        <f>"Me."&amp;A82&amp; " = " &amp; VLOOKUP(C82,Sheet8!A:D,4,FALSE)&amp;"(recRow.Item("""&amp;A82 &amp;""")" &amp; IF(C82="Number",",6","")&amp;")"</f>
        <v>Me.AntennaRedundantDiagonalBoltSize1 = DBtoNullableDec(recRow.Item("AntennaRedundantDiagonalBoltSize1"),6)</v>
      </c>
      <c r="L82" s="11" t="str">
        <f t="shared" si="13"/>
        <v>insertString = insertString.AddtoDBString(Me.AntennaRedundantDiagonalBoltSize1.ToString)</v>
      </c>
      <c r="M82" s="11" t="str">
        <f t="shared" si="14"/>
        <v>Equals = If(Me.AntennaRedundantDiagonalBoltSize1.CheckChange(otherToCompare.AntennaRedundantDiagonalBoltSize1, changes, categoryName, "Antenna Redundant Diagonal Bolt Size 1"), Equals, False)</v>
      </c>
      <c r="N82" s="12" t="str">
        <f t="shared" si="15"/>
        <v xml:space="preserve"> 	Case tnxVar.Equals("AntennaRedundantDiagonalBoltSize1")
                            Try
                                Me.geometry.upperStructure(recIndex).AntennaRedundantDiagonalBoltSize1 = tnxValue
                            Catch ex As Exception
                                Debug.Print("Error parsing TNX variable: " &amp; tnxVar)
                            End Try</v>
      </c>
      <c r="O82" s="12" t="str">
        <f t="shared" si="16"/>
        <v>If Not IsNothing(Me.settings.USUnits.Strength.convertToERIUnits(.AntennaRedundantDiagonalBoltSize1)) Then 'This field does not get saved when generated from CCIpole
                                newERIList.Add("AntennaRedundantDiagonalBoltSize1=" &amp; Me.settings.USUnits.Strength.convertToERIUnits(.AntennaRedundantDiagonalBoltSize1))
                            End If</v>
      </c>
      <c r="P82" s="11" t="str">
        <f t="shared" si="17"/>
        <v>SQLInsertValues = SQLInsertValues.AddtoDBString(Me.AntennaRedundantDiagonalBoltSize1.NullableToString.FormatDBValue)</v>
      </c>
      <c r="Q82" s="11" t="str">
        <f t="shared" si="18"/>
        <v>SQLInsertFields = SQLInsertFields.AddtoDBString("AntennaRedundantDiagonalBoltSize1")</v>
      </c>
      <c r="R82" s="11" t="str">
        <f t="shared" si="19"/>
        <v>SQLUpdateFieldsandValues = SQLUpdateFieldsandValues.AddtoDBString("AntennaRedundantDiagonalBoltSize1 = " &amp; Me.AntennaRedundantDiagonalBoltSize1.NullableToString.FormatDBValue)</v>
      </c>
      <c r="S82" s="10" t="s">
        <v>286</v>
      </c>
    </row>
    <row r="83" spans="1:19" ht="150" x14ac:dyDescent="0.25">
      <c r="A83" s="11" t="s">
        <v>1125</v>
      </c>
      <c r="B83" s="11" t="str" cm="1">
        <f t="array" ref="B83">Addspaces(A83)</f>
        <v>Antenna Redundant Diagonal Num Bolts 1</v>
      </c>
      <c r="C83" s="15" t="s">
        <v>1234</v>
      </c>
      <c r="D83" s="13" t="str">
        <f>VLOOKUP(C83,Sheet8!A:C,2,FALSE)</f>
        <v>int</v>
      </c>
      <c r="E83" s="15"/>
      <c r="F83" s="13" t="str">
        <f>VLOOKUP(C83,Sheet8!A:C,3,FALSE)</f>
        <v>Integer?</v>
      </c>
      <c r="G83" s="15"/>
      <c r="H83" s="11" t="str">
        <f t="shared" si="10"/>
        <v>ADD AntennaRedundantDiagonalNumBolts1 int,</v>
      </c>
      <c r="I83" s="11" t="str">
        <f t="shared" si="11"/>
        <v xml:space="preserve">Private _AntennaRedundantDiagonalNumBolts1 As Integer? </v>
      </c>
      <c r="J83" s="12" t="str">
        <f t="shared" si="12"/>
        <v xml:space="preserve">     		&lt;Category("TNX Antenna Record"), Description(""), DisplayName("Antenna Redundant Diagonal Num Bolts 1")&gt;
    		&lt;DataMember()&gt; Public Property AntennaRedundantDiagonalNumBolts1() As Integer?
        			Get
            				Return Me._AntennaRedundantDiagonalNumBolts1
        			End Get
        			Set
            				Me._AntennaRedundantDiagonalNumBolts1 = Value
        			End Set
    		End Property</v>
      </c>
      <c r="K83" s="11" t="str">
        <f>"Me."&amp;A83&amp; " = " &amp; VLOOKUP(C83,Sheet8!A:D,4,FALSE)&amp;"(recRow.Item("""&amp;A83 &amp;""")" &amp; IF(C83="Number",",6","")&amp;")"</f>
        <v>Me.AntennaRedundantDiagonalNumBolts1 = DBtoNullableInt(recRow.Item("AntennaRedundantDiagonalNumBolts1"))</v>
      </c>
      <c r="L83" s="11" t="str">
        <f t="shared" si="13"/>
        <v>insertString = insertString.AddtoDBString(Me.AntennaRedundantDiagonalNumBolts1.ToString)</v>
      </c>
      <c r="M83" s="11" t="str">
        <f t="shared" si="14"/>
        <v>Equals = If(Me.AntennaRedundantDiagonalNumBolts1.CheckChange(otherToCompare.AntennaRedundantDiagonalNumBolts1, changes, categoryName, "Antenna Redundant Diagonal Num Bolts 1"), Equals, False)</v>
      </c>
      <c r="N83" s="12" t="str">
        <f t="shared" si="15"/>
        <v xml:space="preserve"> 	Case tnxVar.Equals("AntennaRedundantDiagonalNumBolts1")
                            Try
                                Me.geometry.upperStructure(recIndex).AntennaRedundantDiagonalNumBolts1 = tnxValue
                            Catch ex As Exception
                                Debug.Print("Error parsing TNX variable: " &amp; tnxVar)
                            End Try</v>
      </c>
      <c r="O83" s="12" t="str">
        <f t="shared" si="16"/>
        <v>newERIList.Add("AntennaRedundantDiagonalNumBolts1=" &amp; .AntennaRedundantDiagonalNumBolts1)</v>
      </c>
      <c r="P83" s="11" t="str">
        <f t="shared" si="17"/>
        <v>SQLInsertValues = SQLInsertValues.AddtoDBString(Me.AntennaRedundantDiagonalNumBolts1.NullableToString.FormatDBValue)</v>
      </c>
      <c r="Q83" s="11" t="str">
        <f t="shared" si="18"/>
        <v>SQLInsertFields = SQLInsertFields.AddtoDBString("AntennaRedundantDiagonalNumBolts1")</v>
      </c>
      <c r="R83" s="11" t="str">
        <f t="shared" si="19"/>
        <v>SQLUpdateFieldsandValues = SQLUpdateFieldsandValues.AddtoDBString("AntennaRedundantDiagonalNumBolts1 = " &amp; Me.AntennaRedundantDiagonalNumBolts1.NullableToString.FormatDBValue)</v>
      </c>
      <c r="S83" s="10" t="s">
        <v>286</v>
      </c>
    </row>
    <row r="84" spans="1:19" ht="165" x14ac:dyDescent="0.25">
      <c r="A84" s="11" t="s">
        <v>1126</v>
      </c>
      <c r="B84" s="11" t="str" cm="1">
        <f t="array" ref="B84">Addspaces(A84)</f>
        <v>Antenna Redundant Diagonal Bolt Edge Distance 1</v>
      </c>
      <c r="C84" s="15" t="s">
        <v>1225</v>
      </c>
      <c r="D84" s="13" t="str">
        <f>VLOOKUP(C84,Sheet8!A:C,2,FALSE)</f>
        <v>decimal(18, 6)</v>
      </c>
      <c r="E84" s="15"/>
      <c r="F84" s="13" t="str">
        <f>VLOOKUP(C84,Sheet8!A:C,3,FALSE)</f>
        <v>Double?</v>
      </c>
      <c r="G84" s="15"/>
      <c r="H84" s="11" t="str">
        <f t="shared" si="10"/>
        <v>ADD AntennaRedundantDiagonalBoltEdgeDistance1 decimal(18, 6),</v>
      </c>
      <c r="I84" s="11" t="str">
        <f t="shared" si="11"/>
        <v xml:space="preserve">Private _AntennaRedundantDiagonalBoltEdgeDistance1 As Double? </v>
      </c>
      <c r="J84" s="12" t="str">
        <f t="shared" si="12"/>
        <v xml:space="preserve">     		&lt;Category("TNX Antenna Record"), Description(""), DisplayName("Antenna Redundant Diagonal Bolt Edge Distance 1")&gt;
    		&lt;DataMember()&gt; Public Property AntennaRedundantDiagonalBoltEdgeDistance1() As Double?
        			Get
            				Return Me._AntennaRedundantDiagonalBoltEdgeDistance1
        			End Get
        			Set
            				Me._AntennaRedundantDiagonalBoltEdgeDistance1 = Value
        			End Set
    		End Property</v>
      </c>
      <c r="K84" s="11" t="str">
        <f>"Me."&amp;A84&amp; " = " &amp; VLOOKUP(C84,Sheet8!A:D,4,FALSE)&amp;"(recRow.Item("""&amp;A84 &amp;""")" &amp; IF(C84="Number",",6","")&amp;")"</f>
        <v>Me.AntennaRedundantDiagonalBoltEdgeDistance1 = DBtoNullableDec(recRow.Item("AntennaRedundantDiagonalBoltEdgeDistance1"),6)</v>
      </c>
      <c r="L84" s="11" t="str">
        <f t="shared" si="13"/>
        <v>insertString = insertString.AddtoDBString(Me.AntennaRedundantDiagonalBoltEdgeDistance1.ToString)</v>
      </c>
      <c r="M84" s="11" t="str">
        <f t="shared" si="14"/>
        <v>Equals = If(Me.AntennaRedundantDiagonalBoltEdgeDistance1.CheckChange(otherToCompare.AntennaRedundantDiagonalBoltEdgeDistance1, changes, categoryName, "Antenna Redundant Diagonal Bolt Edge Distance 1"), Equals, False)</v>
      </c>
      <c r="N84" s="12" t="str">
        <f t="shared" si="15"/>
        <v xml:space="preserve"> 	Case tnxVar.Equals("AntennaRedundantDiagonalBoltEdgeDistance1")
                            Try
                                Me.geometry.upperStructure(recIndex).AntennaRedundantDiagonalBoltEdgeDistance1 = tnxValue
                            Catch ex As Exception
                                Debug.Print("Error parsing TNX variable: " &amp; tnxVar)
                            End Try</v>
      </c>
      <c r="O84" s="12" t="str">
        <f t="shared" si="16"/>
        <v>If Not IsNothing(Me.settings.USUnits.Strength.convertToERIUnits(.AntennaRedundantDiagonalBoltEdgeDistance1)) Then 'This field does not get saved when generated from CCIpole
                                newERIList.Add("AntennaRedundantDiagonalBoltEdgeDistance1=" &amp; Me.settings.USUnits.Strength.convertToERIUnits(.AntennaRedundantDiagonalBoltEdgeDistance1))
                            End If</v>
      </c>
      <c r="P84" s="11" t="str">
        <f t="shared" si="17"/>
        <v>SQLInsertValues = SQLInsertValues.AddtoDBString(Me.AntennaRedundantDiagonalBoltEdgeDistance1.NullableToString.FormatDBValue)</v>
      </c>
      <c r="Q84" s="11" t="str">
        <f t="shared" si="18"/>
        <v>SQLInsertFields = SQLInsertFields.AddtoDBString("AntennaRedundantDiagonalBoltEdgeDistance1")</v>
      </c>
      <c r="R84" s="11" t="str">
        <f t="shared" si="19"/>
        <v>SQLUpdateFieldsandValues = SQLUpdateFieldsandValues.AddtoDBString("AntennaRedundantDiagonalBoltEdgeDistance1 = " &amp; Me.AntennaRedundantDiagonalBoltEdgeDistance1.NullableToString.FormatDBValue)</v>
      </c>
      <c r="S84" s="10" t="s">
        <v>286</v>
      </c>
    </row>
    <row r="85" spans="1:19" ht="165" x14ac:dyDescent="0.25">
      <c r="A85" s="11" t="s">
        <v>1127</v>
      </c>
      <c r="B85" s="11" t="str" cm="1">
        <f t="array" ref="B85">Addspaces(A85)</f>
        <v>Antenna Redundant Diagonal Gage G 1 Distance 1</v>
      </c>
      <c r="C85" s="15" t="s">
        <v>1225</v>
      </c>
      <c r="D85" s="13" t="str">
        <f>VLOOKUP(C85,Sheet8!A:C,2,FALSE)</f>
        <v>decimal(18, 6)</v>
      </c>
      <c r="E85" s="15"/>
      <c r="F85" s="13" t="str">
        <f>VLOOKUP(C85,Sheet8!A:C,3,FALSE)</f>
        <v>Double?</v>
      </c>
      <c r="G85" s="15"/>
      <c r="H85" s="11" t="str">
        <f t="shared" si="10"/>
        <v>ADD AntennaRedundantDiagonalGageG1Distance1 decimal(18, 6),</v>
      </c>
      <c r="I85" s="11" t="str">
        <f t="shared" si="11"/>
        <v xml:space="preserve">Private _AntennaRedundantDiagonalGageG1Distance1 As Double? </v>
      </c>
      <c r="J85" s="12" t="str">
        <f t="shared" si="12"/>
        <v xml:space="preserve">     		&lt;Category("TNX Antenna Record"), Description(""), DisplayName("Antenna Redundant Diagonal Gage G 1 Distance 1")&gt;
    		&lt;DataMember()&gt; Public Property AntennaRedundantDiagonalGageG1Distance1() As Double?
        			Get
            				Return Me._AntennaRedundantDiagonalGageG1Distance1
        			End Get
        			Set
            				Me._AntennaRedundantDiagonalGageG1Distance1 = Value
        			End Set
    		End Property</v>
      </c>
      <c r="K85" s="11" t="str">
        <f>"Me."&amp;A85&amp; " = " &amp; VLOOKUP(C85,Sheet8!A:D,4,FALSE)&amp;"(recRow.Item("""&amp;A85 &amp;""")" &amp; IF(C85="Number",",6","")&amp;")"</f>
        <v>Me.AntennaRedundantDiagonalGageG1Distance1 = DBtoNullableDec(recRow.Item("AntennaRedundantDiagonalGageG1Distance1"),6)</v>
      </c>
      <c r="L85" s="11" t="str">
        <f t="shared" si="13"/>
        <v>insertString = insertString.AddtoDBString(Me.AntennaRedundantDiagonalGageG1Distance1.ToString)</v>
      </c>
      <c r="M85" s="11" t="str">
        <f t="shared" si="14"/>
        <v>Equals = If(Me.AntennaRedundantDiagonalGageG1Distance1.CheckChange(otherToCompare.AntennaRedundantDiagonalGageG1Distance1, changes, categoryName, "Antenna Redundant Diagonal Gage G 1 Distance 1"), Equals, False)</v>
      </c>
      <c r="N85" s="12" t="str">
        <f t="shared" si="15"/>
        <v xml:space="preserve"> 	Case tnxVar.Equals("AntennaRedundantDiagonalGageG1Distance1")
                            Try
                                Me.geometry.upperStructure(recIndex).AntennaRedundantDiagonalGageG1Distance1 = tnxValue
                            Catch ex As Exception
                                Debug.Print("Error parsing TNX variable: " &amp; tnxVar)
                            End Try</v>
      </c>
      <c r="O85" s="12" t="str">
        <f t="shared" si="16"/>
        <v>If Not IsNothing(Me.settings.USUnits.Strength.convertToERIUnits(.AntennaRedundantDiagonalGageG1Distance1)) Then 'This field does not get saved when generated from CCIpole
                                newERIList.Add("AntennaRedundantDiagonalGageG1Distance1=" &amp; Me.settings.USUnits.Strength.convertToERIUnits(.AntennaRedundantDiagonalGageG1Distance1))
                            End If</v>
      </c>
      <c r="P85" s="11" t="str">
        <f t="shared" si="17"/>
        <v>SQLInsertValues = SQLInsertValues.AddtoDBString(Me.AntennaRedundantDiagonalGageG1Distance1.NullableToString.FormatDBValue)</v>
      </c>
      <c r="Q85" s="11" t="str">
        <f t="shared" si="18"/>
        <v>SQLInsertFields = SQLInsertFields.AddtoDBString("AntennaRedundantDiagonalGageG1Distance1")</v>
      </c>
      <c r="R85" s="11" t="str">
        <f t="shared" si="19"/>
        <v>SQLUpdateFieldsandValues = SQLUpdateFieldsandValues.AddtoDBString("AntennaRedundantDiagonalGageG1Distance1 = " &amp; Me.AntennaRedundantDiagonalGageG1Distance1.NullableToString.FormatDBValue)</v>
      </c>
      <c r="S85" s="10" t="s">
        <v>286</v>
      </c>
    </row>
    <row r="86" spans="1:19" ht="165" x14ac:dyDescent="0.25">
      <c r="A86" s="11" t="s">
        <v>1128</v>
      </c>
      <c r="B86" s="11" t="str" cm="1">
        <f t="array" ref="B86">Addspaces(A86)</f>
        <v>Antenna Redundant Diagonal Net Width Deduct 1</v>
      </c>
      <c r="C86" s="15" t="s">
        <v>1225</v>
      </c>
      <c r="D86" s="13" t="str">
        <f>VLOOKUP(C86,Sheet8!A:C,2,FALSE)</f>
        <v>decimal(18, 6)</v>
      </c>
      <c r="E86" s="15"/>
      <c r="F86" s="13" t="str">
        <f>VLOOKUP(C86,Sheet8!A:C,3,FALSE)</f>
        <v>Double?</v>
      </c>
      <c r="G86" s="15"/>
      <c r="H86" s="11" t="str">
        <f t="shared" si="10"/>
        <v>ADD AntennaRedundantDiagonalNetWidthDeduct1 decimal(18, 6),</v>
      </c>
      <c r="I86" s="11" t="str">
        <f t="shared" si="11"/>
        <v xml:space="preserve">Private _AntennaRedundantDiagonalNetWidthDeduct1 As Double? </v>
      </c>
      <c r="J86" s="12" t="str">
        <f t="shared" si="12"/>
        <v xml:space="preserve">     		&lt;Category("TNX Antenna Record"), Description(""), DisplayName("Antenna Redundant Diagonal Net Width Deduct 1")&gt;
    		&lt;DataMember()&gt; Public Property AntennaRedundantDiagonalNetWidthDeduct1() As Double?
        			Get
            				Return Me._AntennaRedundantDiagonalNetWidthDeduct1
        			End Get
        			Set
            				Me._AntennaRedundantDiagonalNetWidthDeduct1 = Value
        			End Set
    		End Property</v>
      </c>
      <c r="K86" s="11" t="str">
        <f>"Me."&amp;A86&amp; " = " &amp; VLOOKUP(C86,Sheet8!A:D,4,FALSE)&amp;"(recRow.Item("""&amp;A86 &amp;""")" &amp; IF(C86="Number",",6","")&amp;")"</f>
        <v>Me.AntennaRedundantDiagonalNetWidthDeduct1 = DBtoNullableDec(recRow.Item("AntennaRedundantDiagonalNetWidthDeduct1"),6)</v>
      </c>
      <c r="L86" s="11" t="str">
        <f t="shared" si="13"/>
        <v>insertString = insertString.AddtoDBString(Me.AntennaRedundantDiagonalNetWidthDeduct1.ToString)</v>
      </c>
      <c r="M86" s="11" t="str">
        <f t="shared" si="14"/>
        <v>Equals = If(Me.AntennaRedundantDiagonalNetWidthDeduct1.CheckChange(otherToCompare.AntennaRedundantDiagonalNetWidthDeduct1, changes, categoryName, "Antenna Redundant Diagonal Net Width Deduct 1"), Equals, False)</v>
      </c>
      <c r="N86" s="12" t="str">
        <f t="shared" si="15"/>
        <v xml:space="preserve"> 	Case tnxVar.Equals("AntennaRedundantDiagonalNetWidthDeduct1")
                            Try
                                Me.geometry.upperStructure(recIndex).AntennaRedundantDiagonalNetWidthDeduct1 = tnxValue
                            Catch ex As Exception
                                Debug.Print("Error parsing TNX variable: " &amp; tnxVar)
                            End Try</v>
      </c>
      <c r="O86" s="12" t="str">
        <f t="shared" si="16"/>
        <v>If Not IsNothing(Me.settings.USUnits.Strength.convertToERIUnits(.AntennaRedundantDiagonalNetWidthDeduct1)) Then 'This field does not get saved when generated from CCIpole
                                newERIList.Add("AntennaRedundantDiagonalNetWidthDeduct1=" &amp; Me.settings.USUnits.Strength.convertToERIUnits(.AntennaRedundantDiagonalNetWidthDeduct1))
                            End If</v>
      </c>
      <c r="P86" s="11" t="str">
        <f t="shared" si="17"/>
        <v>SQLInsertValues = SQLInsertValues.AddtoDBString(Me.AntennaRedundantDiagonalNetWidthDeduct1.NullableToString.FormatDBValue)</v>
      </c>
      <c r="Q86" s="11" t="str">
        <f t="shared" si="18"/>
        <v>SQLInsertFields = SQLInsertFields.AddtoDBString("AntennaRedundantDiagonalNetWidthDeduct1")</v>
      </c>
      <c r="R86" s="11" t="str">
        <f t="shared" si="19"/>
        <v>SQLUpdateFieldsandValues = SQLUpdateFieldsandValues.AddtoDBString("AntennaRedundantDiagonalNetWidthDeduct1 = " &amp; Me.AntennaRedundantDiagonalNetWidthDeduct1.NullableToString.FormatDBValue)</v>
      </c>
      <c r="S86" s="10" t="s">
        <v>286</v>
      </c>
    </row>
    <row r="87" spans="1:19" ht="150" x14ac:dyDescent="0.25">
      <c r="A87" s="11" t="s">
        <v>1129</v>
      </c>
      <c r="B87" s="11" t="str" cm="1">
        <f t="array" ref="B87">Addspaces(A87)</f>
        <v>Antenna Redundant Diagonal U Factor 1</v>
      </c>
      <c r="C87" s="15" t="s">
        <v>1225</v>
      </c>
      <c r="D87" s="13" t="str">
        <f>VLOOKUP(C87,Sheet8!A:C,2,FALSE)</f>
        <v>decimal(18, 6)</v>
      </c>
      <c r="E87" s="15"/>
      <c r="F87" s="13" t="str">
        <f>VLOOKUP(C87,Sheet8!A:C,3,FALSE)</f>
        <v>Double?</v>
      </c>
      <c r="G87" s="15"/>
      <c r="H87" s="11" t="str">
        <f t="shared" si="10"/>
        <v>ADD AntennaRedundantDiagonalUFactor1 decimal(18, 6),</v>
      </c>
      <c r="I87" s="11" t="str">
        <f t="shared" si="11"/>
        <v xml:space="preserve">Private _AntennaRedundantDiagonalUFactor1 As Double? </v>
      </c>
      <c r="J87" s="12" t="str">
        <f t="shared" si="12"/>
        <v xml:space="preserve">     		&lt;Category("TNX Antenna Record"), Description(""), DisplayName("Antenna Redundant Diagonal U Factor 1")&gt;
    		&lt;DataMember()&gt; Public Property AntennaRedundantDiagonalUFactor1() As Double?
        			Get
            				Return Me._AntennaRedundantDiagonalUFactor1
        			End Get
        			Set
            				Me._AntennaRedundantDiagonalUFactor1 = Value
        			End Set
    		End Property</v>
      </c>
      <c r="K87" s="11" t="str">
        <f>"Me."&amp;A87&amp; " = " &amp; VLOOKUP(C87,Sheet8!A:D,4,FALSE)&amp;"(recRow.Item("""&amp;A87 &amp;""")" &amp; IF(C87="Number",",6","")&amp;")"</f>
        <v>Me.AntennaRedundantDiagonalUFactor1 = DBtoNullableDec(recRow.Item("AntennaRedundantDiagonalUFactor1"),6)</v>
      </c>
      <c r="L87" s="11" t="str">
        <f t="shared" si="13"/>
        <v>insertString = insertString.AddtoDBString(Me.AntennaRedundantDiagonalUFactor1.ToString)</v>
      </c>
      <c r="M87" s="11" t="str">
        <f t="shared" si="14"/>
        <v>Equals = If(Me.AntennaRedundantDiagonalUFactor1.CheckChange(otherToCompare.AntennaRedundantDiagonalUFactor1, changes, categoryName, "Antenna Redundant Diagonal U Factor 1"), Equals, False)</v>
      </c>
      <c r="N87" s="12" t="str">
        <f t="shared" si="15"/>
        <v xml:space="preserve"> 	Case tnxVar.Equals("AntennaRedundantDiagonalUFactor1")
                            Try
                                Me.geometry.upperStructure(recIndex).AntennaRedundantDiagonalUFactor1 = tnxValue
                            Catch ex As Exception
                                Debug.Print("Error parsing TNX variable: " &amp; tnxVar)
                            End Try</v>
      </c>
      <c r="O87" s="12" t="str">
        <f t="shared" si="16"/>
        <v>If Not IsNothing(Me.settings.USUnits.Strength.convertToERIUnits(.AntennaRedundantDiagonalUFactor1)) Then 'This field does not get saved when generated from CCIpole
                                newERIList.Add("AntennaRedundantDiagonalUFactor1=" &amp; Me.settings.USUnits.Strength.convertToERIUnits(.AntennaRedundantDiagonalUFactor1))
                            End If</v>
      </c>
      <c r="P87" s="11" t="str">
        <f t="shared" si="17"/>
        <v>SQLInsertValues = SQLInsertValues.AddtoDBString(Me.AntennaRedundantDiagonalUFactor1.NullableToString.FormatDBValue)</v>
      </c>
      <c r="Q87" s="11" t="str">
        <f t="shared" si="18"/>
        <v>SQLInsertFields = SQLInsertFields.AddtoDBString("AntennaRedundantDiagonalUFactor1")</v>
      </c>
      <c r="R87" s="11" t="str">
        <f t="shared" si="19"/>
        <v>SQLUpdateFieldsandValues = SQLUpdateFieldsandValues.AddtoDBString("AntennaRedundantDiagonalUFactor1 = " &amp; Me.AntennaRedundantDiagonalUFactor1.NullableToString.FormatDBValue)</v>
      </c>
      <c r="S87" s="10" t="s">
        <v>286</v>
      </c>
    </row>
    <row r="88" spans="1:19" ht="150" x14ac:dyDescent="0.25">
      <c r="A88" s="11" t="s">
        <v>1130</v>
      </c>
      <c r="B88" s="11" t="str" cm="1">
        <f t="array" ref="B88">Addspaces(A88)</f>
        <v>Antenna Redundant Diagonal Bolt Grade 2</v>
      </c>
      <c r="C88" s="15" t="s">
        <v>1224</v>
      </c>
      <c r="D88" s="13" t="str">
        <f>VLOOKUP(C88,Sheet8!A:C,2,FALSE)</f>
        <v>varchar</v>
      </c>
      <c r="E88" s="15">
        <v>100</v>
      </c>
      <c r="F88" s="13" t="str">
        <f>VLOOKUP(C88,Sheet8!A:C,3,FALSE)</f>
        <v>String</v>
      </c>
      <c r="G88" s="15"/>
      <c r="H88" s="11" t="str">
        <f t="shared" si="10"/>
        <v>ADD AntennaRedundantDiagonalBoltGrade2 varchar(100),</v>
      </c>
      <c r="I88" s="11" t="str">
        <f t="shared" si="11"/>
        <v xml:space="preserve">Private _AntennaRedundantDiagonalBoltGrade2 As String </v>
      </c>
      <c r="J88" s="12" t="str">
        <f t="shared" si="12"/>
        <v xml:space="preserve">     		&lt;Category("TNX Antenna Record"), Description(""), DisplayName("Antenna Redundant Diagonal Bolt Grade 2")&gt;
    		&lt;DataMember()&gt; Public Property AntennaRedundantDiagonalBoltGrade2() As String
        			Get
            				Return Me._AntennaRedundantDiagonalBoltGrade2
        			End Get
        			Set
            				Me._AntennaRedundantDiagonalBoltGrade2 = Value
        			End Set
    		End Property</v>
      </c>
      <c r="K88" s="11" t="str">
        <f>"Me."&amp;A88&amp; " = " &amp; VLOOKUP(C88,Sheet8!A:D,4,FALSE)&amp;"(recRow.Item("""&amp;A88 &amp;""")" &amp; IF(C88="Number",",6","")&amp;")"</f>
        <v>Me.AntennaRedundantDiagonalBoltGrade2 = DBtoStr(recRow.Item("AntennaRedundantDiagonalBoltGrade2"))</v>
      </c>
      <c r="L88" s="11" t="str">
        <f t="shared" si="13"/>
        <v>insertString = insertString.AddtoDBString(Me.AntennaRedundantDiagonalBoltGrade2.ToString)</v>
      </c>
      <c r="M88" s="11" t="str">
        <f t="shared" si="14"/>
        <v>Equals = If(Me.AntennaRedundantDiagonalBoltGrade2.CheckChange(otherToCompare.AntennaRedundantDiagonalBoltGrade2, changes, categoryName, "Antenna Redundant Diagonal Bolt Grade 2"), Equals, False)</v>
      </c>
      <c r="N88" s="12" t="str">
        <f t="shared" si="15"/>
        <v xml:space="preserve"> 	Case tnxVar.Equals("AntennaRedundantDiagonalBoltGrade2")
                            Try
                                Me.geometry.upperStructure(recIndex).AntennaRedundantDiagonalBoltGrade2 = tnxValue
                            Catch ex As Exception
                                Debug.Print("Error parsing TNX variable: " &amp; tnxVar)
                            End Try</v>
      </c>
      <c r="O88" s="12" t="str">
        <f t="shared" si="16"/>
        <v>If IsSomethingString(.AntennaRedundantDiagonalBoltGrade2) Then 'This field does not get saved when generated from CCIpole
newERIList.Add("AntennaRedundantDiagonalBoltGrade2=" &amp; .AntennaRedundantDiagonalBoltGrade2)
End If</v>
      </c>
      <c r="P88" s="11" t="str">
        <f t="shared" si="17"/>
        <v>SQLInsertValues = SQLInsertValues.AddtoDBString(Me.AntennaRedundantDiagonalBoltGrade2.NullableToString.FormatDBValue)</v>
      </c>
      <c r="Q88" s="11" t="str">
        <f t="shared" si="18"/>
        <v>SQLInsertFields = SQLInsertFields.AddtoDBString("AntennaRedundantDiagonalBoltGrade2")</v>
      </c>
      <c r="R88" s="11" t="str">
        <f t="shared" si="19"/>
        <v>SQLUpdateFieldsandValues = SQLUpdateFieldsandValues.AddtoDBString("AntennaRedundantDiagonalBoltGrade2 = " &amp; Me.AntennaRedundantDiagonalBoltGrade2.NullableToString.FormatDBValue)</v>
      </c>
      <c r="S88" s="10" t="s">
        <v>286</v>
      </c>
    </row>
    <row r="89" spans="1:19" ht="150" x14ac:dyDescent="0.25">
      <c r="A89" s="11" t="s">
        <v>1131</v>
      </c>
      <c r="B89" s="11" t="str" cm="1">
        <f t="array" ref="B89">Addspaces(A89)</f>
        <v>Antenna Redundant Diagonal Bolt Size 2</v>
      </c>
      <c r="C89" s="15" t="s">
        <v>1225</v>
      </c>
      <c r="D89" s="13" t="str">
        <f>VLOOKUP(C89,Sheet8!A:C,2,FALSE)</f>
        <v>decimal(18, 6)</v>
      </c>
      <c r="E89" s="15"/>
      <c r="F89" s="13" t="str">
        <f>VLOOKUP(C89,Sheet8!A:C,3,FALSE)</f>
        <v>Double?</v>
      </c>
      <c r="G89" s="15"/>
      <c r="H89" s="11" t="str">
        <f t="shared" si="10"/>
        <v>ADD AntennaRedundantDiagonalBoltSize2 decimal(18, 6),</v>
      </c>
      <c r="I89" s="11" t="str">
        <f t="shared" si="11"/>
        <v xml:space="preserve">Private _AntennaRedundantDiagonalBoltSize2 As Double? </v>
      </c>
      <c r="J89" s="12" t="str">
        <f t="shared" si="12"/>
        <v xml:space="preserve">     		&lt;Category("TNX Antenna Record"), Description(""), DisplayName("Antenna Redundant Diagonal Bolt Size 2")&gt;
    		&lt;DataMember()&gt; Public Property AntennaRedundantDiagonalBoltSize2() As Double?
        			Get
            				Return Me._AntennaRedundantDiagonalBoltSize2
        			End Get
        			Set
            				Me._AntennaRedundantDiagonalBoltSize2 = Value
        			End Set
    		End Property</v>
      </c>
      <c r="K89" s="11" t="str">
        <f>"Me."&amp;A89&amp; " = " &amp; VLOOKUP(C89,Sheet8!A:D,4,FALSE)&amp;"(recRow.Item("""&amp;A89 &amp;""")" &amp; IF(C89="Number",",6","")&amp;")"</f>
        <v>Me.AntennaRedundantDiagonalBoltSize2 = DBtoNullableDec(recRow.Item("AntennaRedundantDiagonalBoltSize2"),6)</v>
      </c>
      <c r="L89" s="11" t="str">
        <f t="shared" si="13"/>
        <v>insertString = insertString.AddtoDBString(Me.AntennaRedundantDiagonalBoltSize2.ToString)</v>
      </c>
      <c r="M89" s="11" t="str">
        <f t="shared" si="14"/>
        <v>Equals = If(Me.AntennaRedundantDiagonalBoltSize2.CheckChange(otherToCompare.AntennaRedundantDiagonalBoltSize2, changes, categoryName, "Antenna Redundant Diagonal Bolt Size 2"), Equals, False)</v>
      </c>
      <c r="N89" s="12" t="str">
        <f t="shared" si="15"/>
        <v xml:space="preserve"> 	Case tnxVar.Equals("AntennaRedundantDiagonalBoltSize2")
                            Try
                                Me.geometry.upperStructure(recIndex).AntennaRedundantDiagonalBoltSize2 = tnxValue
                            Catch ex As Exception
                                Debug.Print("Error parsing TNX variable: " &amp; tnxVar)
                            End Try</v>
      </c>
      <c r="O89" s="12" t="str">
        <f t="shared" si="16"/>
        <v>If Not IsNothing(Me.settings.USUnits.Strength.convertToERIUnits(.AntennaRedundantDiagonalBoltSize2)) Then 'This field does not get saved when generated from CCIpole
                                newERIList.Add("AntennaRedundantDiagonalBoltSize2=" &amp; Me.settings.USUnits.Strength.convertToERIUnits(.AntennaRedundantDiagonalBoltSize2))
                            End If</v>
      </c>
      <c r="P89" s="11" t="str">
        <f t="shared" si="17"/>
        <v>SQLInsertValues = SQLInsertValues.AddtoDBString(Me.AntennaRedundantDiagonalBoltSize2.NullableToString.FormatDBValue)</v>
      </c>
      <c r="Q89" s="11" t="str">
        <f t="shared" si="18"/>
        <v>SQLInsertFields = SQLInsertFields.AddtoDBString("AntennaRedundantDiagonalBoltSize2")</v>
      </c>
      <c r="R89" s="11" t="str">
        <f t="shared" si="19"/>
        <v>SQLUpdateFieldsandValues = SQLUpdateFieldsandValues.AddtoDBString("AntennaRedundantDiagonalBoltSize2 = " &amp; Me.AntennaRedundantDiagonalBoltSize2.NullableToString.FormatDBValue)</v>
      </c>
      <c r="S89" s="10" t="s">
        <v>286</v>
      </c>
    </row>
    <row r="90" spans="1:19" ht="150" x14ac:dyDescent="0.25">
      <c r="A90" s="11" t="s">
        <v>1132</v>
      </c>
      <c r="B90" s="11" t="str" cm="1">
        <f t="array" ref="B90">Addspaces(A90)</f>
        <v>Antenna Redundant Diagonal Num Bolts 2</v>
      </c>
      <c r="C90" s="15" t="s">
        <v>1234</v>
      </c>
      <c r="D90" s="13" t="str">
        <f>VLOOKUP(C90,Sheet8!A:C,2,FALSE)</f>
        <v>int</v>
      </c>
      <c r="E90" s="15"/>
      <c r="F90" s="13" t="str">
        <f>VLOOKUP(C90,Sheet8!A:C,3,FALSE)</f>
        <v>Integer?</v>
      </c>
      <c r="G90" s="15"/>
      <c r="H90" s="11" t="str">
        <f t="shared" si="10"/>
        <v>ADD AntennaRedundantDiagonalNumBolts2 int,</v>
      </c>
      <c r="I90" s="11" t="str">
        <f t="shared" si="11"/>
        <v xml:space="preserve">Private _AntennaRedundantDiagonalNumBolts2 As Integer? </v>
      </c>
      <c r="J90" s="12" t="str">
        <f t="shared" si="12"/>
        <v xml:space="preserve">     		&lt;Category("TNX Antenna Record"), Description(""), DisplayName("Antenna Redundant Diagonal Num Bolts 2")&gt;
    		&lt;DataMember()&gt; Public Property AntennaRedundantDiagonalNumBolts2() As Integer?
        			Get
            				Return Me._AntennaRedundantDiagonalNumBolts2
        			End Get
        			Set
            				Me._AntennaRedundantDiagonalNumBolts2 = Value
        			End Set
    		End Property</v>
      </c>
      <c r="K90" s="11" t="str">
        <f>"Me."&amp;A90&amp; " = " &amp; VLOOKUP(C90,Sheet8!A:D,4,FALSE)&amp;"(recRow.Item("""&amp;A90 &amp;""")" &amp; IF(C90="Number",",6","")&amp;")"</f>
        <v>Me.AntennaRedundantDiagonalNumBolts2 = DBtoNullableInt(recRow.Item("AntennaRedundantDiagonalNumBolts2"))</v>
      </c>
      <c r="L90" s="11" t="str">
        <f t="shared" si="13"/>
        <v>insertString = insertString.AddtoDBString(Me.AntennaRedundantDiagonalNumBolts2.ToString)</v>
      </c>
      <c r="M90" s="11" t="str">
        <f t="shared" si="14"/>
        <v>Equals = If(Me.AntennaRedundantDiagonalNumBolts2.CheckChange(otherToCompare.AntennaRedundantDiagonalNumBolts2, changes, categoryName, "Antenna Redundant Diagonal Num Bolts 2"), Equals, False)</v>
      </c>
      <c r="N90" s="12" t="str">
        <f t="shared" si="15"/>
        <v xml:space="preserve"> 	Case tnxVar.Equals("AntennaRedundantDiagonalNumBolts2")
                            Try
                                Me.geometry.upperStructure(recIndex).AntennaRedundantDiagonalNumBolts2 = tnxValue
                            Catch ex As Exception
                                Debug.Print("Error parsing TNX variable: " &amp; tnxVar)
                            End Try</v>
      </c>
      <c r="O90" s="12" t="str">
        <f t="shared" si="16"/>
        <v>newERIList.Add("AntennaRedundantDiagonalNumBolts2=" &amp; .AntennaRedundantDiagonalNumBolts2)</v>
      </c>
      <c r="P90" s="11" t="str">
        <f t="shared" si="17"/>
        <v>SQLInsertValues = SQLInsertValues.AddtoDBString(Me.AntennaRedundantDiagonalNumBolts2.NullableToString.FormatDBValue)</v>
      </c>
      <c r="Q90" s="11" t="str">
        <f t="shared" si="18"/>
        <v>SQLInsertFields = SQLInsertFields.AddtoDBString("AntennaRedundantDiagonalNumBolts2")</v>
      </c>
      <c r="R90" s="11" t="str">
        <f t="shared" si="19"/>
        <v>SQLUpdateFieldsandValues = SQLUpdateFieldsandValues.AddtoDBString("AntennaRedundantDiagonalNumBolts2 = " &amp; Me.AntennaRedundantDiagonalNumBolts2.NullableToString.FormatDBValue)</v>
      </c>
      <c r="S90" s="10" t="s">
        <v>286</v>
      </c>
    </row>
    <row r="91" spans="1:19" ht="165" x14ac:dyDescent="0.25">
      <c r="A91" s="11" t="s">
        <v>1133</v>
      </c>
      <c r="B91" s="11" t="str" cm="1">
        <f t="array" ref="B91">Addspaces(A91)</f>
        <v>Antenna Redundant Diagonal Bolt Edge Distance 2</v>
      </c>
      <c r="C91" s="15" t="s">
        <v>1225</v>
      </c>
      <c r="D91" s="13" t="str">
        <f>VLOOKUP(C91,Sheet8!A:C,2,FALSE)</f>
        <v>decimal(18, 6)</v>
      </c>
      <c r="E91" s="15"/>
      <c r="F91" s="13" t="str">
        <f>VLOOKUP(C91,Sheet8!A:C,3,FALSE)</f>
        <v>Double?</v>
      </c>
      <c r="G91" s="15"/>
      <c r="H91" s="11" t="str">
        <f t="shared" si="10"/>
        <v>ADD AntennaRedundantDiagonalBoltEdgeDistance2 decimal(18, 6),</v>
      </c>
      <c r="I91" s="11" t="str">
        <f t="shared" si="11"/>
        <v xml:space="preserve">Private _AntennaRedundantDiagonalBoltEdgeDistance2 As Double? </v>
      </c>
      <c r="J91" s="12" t="str">
        <f t="shared" si="12"/>
        <v xml:space="preserve">     		&lt;Category("TNX Antenna Record"), Description(""), DisplayName("Antenna Redundant Diagonal Bolt Edge Distance 2")&gt;
    		&lt;DataMember()&gt; Public Property AntennaRedundantDiagonalBoltEdgeDistance2() As Double?
        			Get
            				Return Me._AntennaRedundantDiagonalBoltEdgeDistance2
        			End Get
        			Set
            				Me._AntennaRedundantDiagonalBoltEdgeDistance2 = Value
        			End Set
    		End Property</v>
      </c>
      <c r="K91" s="11" t="str">
        <f>"Me."&amp;A91&amp; " = " &amp; VLOOKUP(C91,Sheet8!A:D,4,FALSE)&amp;"(recRow.Item("""&amp;A91 &amp;""")" &amp; IF(C91="Number",",6","")&amp;")"</f>
        <v>Me.AntennaRedundantDiagonalBoltEdgeDistance2 = DBtoNullableDec(recRow.Item("AntennaRedundantDiagonalBoltEdgeDistance2"),6)</v>
      </c>
      <c r="L91" s="11" t="str">
        <f t="shared" si="13"/>
        <v>insertString = insertString.AddtoDBString(Me.AntennaRedundantDiagonalBoltEdgeDistance2.ToString)</v>
      </c>
      <c r="M91" s="11" t="str">
        <f t="shared" si="14"/>
        <v>Equals = If(Me.AntennaRedundantDiagonalBoltEdgeDistance2.CheckChange(otherToCompare.AntennaRedundantDiagonalBoltEdgeDistance2, changes, categoryName, "Antenna Redundant Diagonal Bolt Edge Distance 2"), Equals, False)</v>
      </c>
      <c r="N91" s="12" t="str">
        <f t="shared" si="15"/>
        <v xml:space="preserve"> 	Case tnxVar.Equals("AntennaRedundantDiagonalBoltEdgeDistance2")
                            Try
                                Me.geometry.upperStructure(recIndex).AntennaRedundantDiagonalBoltEdgeDistance2 = tnxValue
                            Catch ex As Exception
                                Debug.Print("Error parsing TNX variable: " &amp; tnxVar)
                            End Try</v>
      </c>
      <c r="O91" s="12" t="str">
        <f t="shared" si="16"/>
        <v>If Not IsNothing(Me.settings.USUnits.Strength.convertToERIUnits(.AntennaRedundantDiagonalBoltEdgeDistance2)) Then 'This field does not get saved when generated from CCIpole
                                newERIList.Add("AntennaRedundantDiagonalBoltEdgeDistance2=" &amp; Me.settings.USUnits.Strength.convertToERIUnits(.AntennaRedundantDiagonalBoltEdgeDistance2))
                            End If</v>
      </c>
      <c r="P91" s="11" t="str">
        <f t="shared" si="17"/>
        <v>SQLInsertValues = SQLInsertValues.AddtoDBString(Me.AntennaRedundantDiagonalBoltEdgeDistance2.NullableToString.FormatDBValue)</v>
      </c>
      <c r="Q91" s="11" t="str">
        <f t="shared" si="18"/>
        <v>SQLInsertFields = SQLInsertFields.AddtoDBString("AntennaRedundantDiagonalBoltEdgeDistance2")</v>
      </c>
      <c r="R91" s="11" t="str">
        <f t="shared" si="19"/>
        <v>SQLUpdateFieldsandValues = SQLUpdateFieldsandValues.AddtoDBString("AntennaRedundantDiagonalBoltEdgeDistance2 = " &amp; Me.AntennaRedundantDiagonalBoltEdgeDistance2.NullableToString.FormatDBValue)</v>
      </c>
      <c r="S91" s="10" t="s">
        <v>286</v>
      </c>
    </row>
    <row r="92" spans="1:19" ht="165" x14ac:dyDescent="0.25">
      <c r="A92" s="11" t="s">
        <v>1134</v>
      </c>
      <c r="B92" s="11" t="str" cm="1">
        <f t="array" ref="B92">Addspaces(A92)</f>
        <v>Antenna Redundant Diagonal Gage G 1 Distance 2</v>
      </c>
      <c r="C92" s="15" t="s">
        <v>1225</v>
      </c>
      <c r="D92" s="13" t="str">
        <f>VLOOKUP(C92,Sheet8!A:C,2,FALSE)</f>
        <v>decimal(18, 6)</v>
      </c>
      <c r="E92" s="15"/>
      <c r="F92" s="13" t="str">
        <f>VLOOKUP(C92,Sheet8!A:C,3,FALSE)</f>
        <v>Double?</v>
      </c>
      <c r="G92" s="15"/>
      <c r="H92" s="11" t="str">
        <f t="shared" si="10"/>
        <v>ADD AntennaRedundantDiagonalGageG1Distance2 decimal(18, 6),</v>
      </c>
      <c r="I92" s="11" t="str">
        <f t="shared" si="11"/>
        <v xml:space="preserve">Private _AntennaRedundantDiagonalGageG1Distance2 As Double? </v>
      </c>
      <c r="J92" s="12" t="str">
        <f t="shared" si="12"/>
        <v xml:space="preserve">     		&lt;Category("TNX Antenna Record"), Description(""), DisplayName("Antenna Redundant Diagonal Gage G 1 Distance 2")&gt;
    		&lt;DataMember()&gt; Public Property AntennaRedundantDiagonalGageG1Distance2() As Double?
        			Get
            				Return Me._AntennaRedundantDiagonalGageG1Distance2
        			End Get
        			Set
            				Me._AntennaRedundantDiagonalGageG1Distance2 = Value
        			End Set
    		End Property</v>
      </c>
      <c r="K92" s="11" t="str">
        <f>"Me."&amp;A92&amp; " = " &amp; VLOOKUP(C92,Sheet8!A:D,4,FALSE)&amp;"(recRow.Item("""&amp;A92 &amp;""")" &amp; IF(C92="Number",",6","")&amp;")"</f>
        <v>Me.AntennaRedundantDiagonalGageG1Distance2 = DBtoNullableDec(recRow.Item("AntennaRedundantDiagonalGageG1Distance2"),6)</v>
      </c>
      <c r="L92" s="11" t="str">
        <f t="shared" si="13"/>
        <v>insertString = insertString.AddtoDBString(Me.AntennaRedundantDiagonalGageG1Distance2.ToString)</v>
      </c>
      <c r="M92" s="11" t="str">
        <f t="shared" si="14"/>
        <v>Equals = If(Me.AntennaRedundantDiagonalGageG1Distance2.CheckChange(otherToCompare.AntennaRedundantDiagonalGageG1Distance2, changes, categoryName, "Antenna Redundant Diagonal Gage G 1 Distance 2"), Equals, False)</v>
      </c>
      <c r="N92" s="12" t="str">
        <f t="shared" si="15"/>
        <v xml:space="preserve"> 	Case tnxVar.Equals("AntennaRedundantDiagonalGageG1Distance2")
                            Try
                                Me.geometry.upperStructure(recIndex).AntennaRedundantDiagonalGageG1Distance2 = tnxValue
                            Catch ex As Exception
                                Debug.Print("Error parsing TNX variable: " &amp; tnxVar)
                            End Try</v>
      </c>
      <c r="O92" s="12" t="str">
        <f t="shared" si="16"/>
        <v>If Not IsNothing(Me.settings.USUnits.Strength.convertToERIUnits(.AntennaRedundantDiagonalGageG1Distance2)) Then 'This field does not get saved when generated from CCIpole
                                newERIList.Add("AntennaRedundantDiagonalGageG1Distance2=" &amp; Me.settings.USUnits.Strength.convertToERIUnits(.AntennaRedundantDiagonalGageG1Distance2))
                            End If</v>
      </c>
      <c r="P92" s="11" t="str">
        <f t="shared" si="17"/>
        <v>SQLInsertValues = SQLInsertValues.AddtoDBString(Me.AntennaRedundantDiagonalGageG1Distance2.NullableToString.FormatDBValue)</v>
      </c>
      <c r="Q92" s="11" t="str">
        <f t="shared" si="18"/>
        <v>SQLInsertFields = SQLInsertFields.AddtoDBString("AntennaRedundantDiagonalGageG1Distance2")</v>
      </c>
      <c r="R92" s="11" t="str">
        <f t="shared" si="19"/>
        <v>SQLUpdateFieldsandValues = SQLUpdateFieldsandValues.AddtoDBString("AntennaRedundantDiagonalGageG1Distance2 = " &amp; Me.AntennaRedundantDiagonalGageG1Distance2.NullableToString.FormatDBValue)</v>
      </c>
      <c r="S92" s="10" t="s">
        <v>286</v>
      </c>
    </row>
    <row r="93" spans="1:19" ht="165" x14ac:dyDescent="0.25">
      <c r="A93" s="11" t="s">
        <v>1135</v>
      </c>
      <c r="B93" s="11" t="str" cm="1">
        <f t="array" ref="B93">Addspaces(A93)</f>
        <v>Antenna Redundant Diagonal Net Width Deduct 2</v>
      </c>
      <c r="C93" s="15" t="s">
        <v>1225</v>
      </c>
      <c r="D93" s="13" t="str">
        <f>VLOOKUP(C93,Sheet8!A:C,2,FALSE)</f>
        <v>decimal(18, 6)</v>
      </c>
      <c r="E93" s="15"/>
      <c r="F93" s="13" t="str">
        <f>VLOOKUP(C93,Sheet8!A:C,3,FALSE)</f>
        <v>Double?</v>
      </c>
      <c r="G93" s="15"/>
      <c r="H93" s="11" t="str">
        <f t="shared" si="10"/>
        <v>ADD AntennaRedundantDiagonalNetWidthDeduct2 decimal(18, 6),</v>
      </c>
      <c r="I93" s="11" t="str">
        <f t="shared" si="11"/>
        <v xml:space="preserve">Private _AntennaRedundantDiagonalNetWidthDeduct2 As Double? </v>
      </c>
      <c r="J93" s="12" t="str">
        <f t="shared" si="12"/>
        <v xml:space="preserve">     		&lt;Category("TNX Antenna Record"), Description(""), DisplayName("Antenna Redundant Diagonal Net Width Deduct 2")&gt;
    		&lt;DataMember()&gt; Public Property AntennaRedundantDiagonalNetWidthDeduct2() As Double?
        			Get
            				Return Me._AntennaRedundantDiagonalNetWidthDeduct2
        			End Get
        			Set
            				Me._AntennaRedundantDiagonalNetWidthDeduct2 = Value
        			End Set
    		End Property</v>
      </c>
      <c r="K93" s="11" t="str">
        <f>"Me."&amp;A93&amp; " = " &amp; VLOOKUP(C93,Sheet8!A:D,4,FALSE)&amp;"(recRow.Item("""&amp;A93 &amp;""")" &amp; IF(C93="Number",",6","")&amp;")"</f>
        <v>Me.AntennaRedundantDiagonalNetWidthDeduct2 = DBtoNullableDec(recRow.Item("AntennaRedundantDiagonalNetWidthDeduct2"),6)</v>
      </c>
      <c r="L93" s="11" t="str">
        <f t="shared" si="13"/>
        <v>insertString = insertString.AddtoDBString(Me.AntennaRedundantDiagonalNetWidthDeduct2.ToString)</v>
      </c>
      <c r="M93" s="11" t="str">
        <f t="shared" si="14"/>
        <v>Equals = If(Me.AntennaRedundantDiagonalNetWidthDeduct2.CheckChange(otherToCompare.AntennaRedundantDiagonalNetWidthDeduct2, changes, categoryName, "Antenna Redundant Diagonal Net Width Deduct 2"), Equals, False)</v>
      </c>
      <c r="N93" s="12" t="str">
        <f t="shared" si="15"/>
        <v xml:space="preserve"> 	Case tnxVar.Equals("AntennaRedundantDiagonalNetWidthDeduct2")
                            Try
                                Me.geometry.upperStructure(recIndex).AntennaRedundantDiagonalNetWidthDeduct2 = tnxValue
                            Catch ex As Exception
                                Debug.Print("Error parsing TNX variable: " &amp; tnxVar)
                            End Try</v>
      </c>
      <c r="O93" s="12" t="str">
        <f t="shared" si="16"/>
        <v>If Not IsNothing(Me.settings.USUnits.Strength.convertToERIUnits(.AntennaRedundantDiagonalNetWidthDeduct2)) Then 'This field does not get saved when generated from CCIpole
                                newERIList.Add("AntennaRedundantDiagonalNetWidthDeduct2=" &amp; Me.settings.USUnits.Strength.convertToERIUnits(.AntennaRedundantDiagonalNetWidthDeduct2))
                            End If</v>
      </c>
      <c r="P93" s="11" t="str">
        <f t="shared" si="17"/>
        <v>SQLInsertValues = SQLInsertValues.AddtoDBString(Me.AntennaRedundantDiagonalNetWidthDeduct2.NullableToString.FormatDBValue)</v>
      </c>
      <c r="Q93" s="11" t="str">
        <f t="shared" si="18"/>
        <v>SQLInsertFields = SQLInsertFields.AddtoDBString("AntennaRedundantDiagonalNetWidthDeduct2")</v>
      </c>
      <c r="R93" s="11" t="str">
        <f t="shared" si="19"/>
        <v>SQLUpdateFieldsandValues = SQLUpdateFieldsandValues.AddtoDBString("AntennaRedundantDiagonalNetWidthDeduct2 = " &amp; Me.AntennaRedundantDiagonalNetWidthDeduct2.NullableToString.FormatDBValue)</v>
      </c>
      <c r="S93" s="10" t="s">
        <v>286</v>
      </c>
    </row>
    <row r="94" spans="1:19" ht="150" x14ac:dyDescent="0.25">
      <c r="A94" s="11" t="s">
        <v>1136</v>
      </c>
      <c r="B94" s="11" t="str" cm="1">
        <f t="array" ref="B94">Addspaces(A94)</f>
        <v>Antenna Redundant Diagonal U Factor 2</v>
      </c>
      <c r="C94" s="15" t="s">
        <v>1225</v>
      </c>
      <c r="D94" s="13" t="str">
        <f>VLOOKUP(C94,Sheet8!A:C,2,FALSE)</f>
        <v>decimal(18, 6)</v>
      </c>
      <c r="E94" s="15"/>
      <c r="F94" s="13" t="str">
        <f>VLOOKUP(C94,Sheet8!A:C,3,FALSE)</f>
        <v>Double?</v>
      </c>
      <c r="G94" s="15"/>
      <c r="H94" s="11" t="str">
        <f t="shared" si="10"/>
        <v>ADD AntennaRedundantDiagonalUFactor2 decimal(18, 6),</v>
      </c>
      <c r="I94" s="11" t="str">
        <f t="shared" si="11"/>
        <v xml:space="preserve">Private _AntennaRedundantDiagonalUFactor2 As Double? </v>
      </c>
      <c r="J94" s="12" t="str">
        <f t="shared" si="12"/>
        <v xml:space="preserve">     		&lt;Category("TNX Antenna Record"), Description(""), DisplayName("Antenna Redundant Diagonal U Factor 2")&gt;
    		&lt;DataMember()&gt; Public Property AntennaRedundantDiagonalUFactor2() As Double?
        			Get
            				Return Me._AntennaRedundantDiagonalUFactor2
        			End Get
        			Set
            				Me._AntennaRedundantDiagonalUFactor2 = Value
        			End Set
    		End Property</v>
      </c>
      <c r="K94" s="11" t="str">
        <f>"Me."&amp;A94&amp; " = " &amp; VLOOKUP(C94,Sheet8!A:D,4,FALSE)&amp;"(recRow.Item("""&amp;A94 &amp;""")" &amp; IF(C94="Number",",6","")&amp;")"</f>
        <v>Me.AntennaRedundantDiagonalUFactor2 = DBtoNullableDec(recRow.Item("AntennaRedundantDiagonalUFactor2"),6)</v>
      </c>
      <c r="L94" s="11" t="str">
        <f t="shared" si="13"/>
        <v>insertString = insertString.AddtoDBString(Me.AntennaRedundantDiagonalUFactor2.ToString)</v>
      </c>
      <c r="M94" s="11" t="str">
        <f t="shared" si="14"/>
        <v>Equals = If(Me.AntennaRedundantDiagonalUFactor2.CheckChange(otherToCompare.AntennaRedundantDiagonalUFactor2, changes, categoryName, "Antenna Redundant Diagonal U Factor 2"), Equals, False)</v>
      </c>
      <c r="N94" s="12" t="str">
        <f t="shared" si="15"/>
        <v xml:space="preserve"> 	Case tnxVar.Equals("AntennaRedundantDiagonalUFactor2")
                            Try
                                Me.geometry.upperStructure(recIndex).AntennaRedundantDiagonalUFactor2 = tnxValue
                            Catch ex As Exception
                                Debug.Print("Error parsing TNX variable: " &amp; tnxVar)
                            End Try</v>
      </c>
      <c r="O94" s="12" t="str">
        <f t="shared" si="16"/>
        <v>If Not IsNothing(Me.settings.USUnits.Strength.convertToERIUnits(.AntennaRedundantDiagonalUFactor2)) Then 'This field does not get saved when generated from CCIpole
                                newERIList.Add("AntennaRedundantDiagonalUFactor2=" &amp; Me.settings.USUnits.Strength.convertToERIUnits(.AntennaRedundantDiagonalUFactor2))
                            End If</v>
      </c>
      <c r="P94" s="11" t="str">
        <f t="shared" si="17"/>
        <v>SQLInsertValues = SQLInsertValues.AddtoDBString(Me.AntennaRedundantDiagonalUFactor2.NullableToString.FormatDBValue)</v>
      </c>
      <c r="Q94" s="11" t="str">
        <f t="shared" si="18"/>
        <v>SQLInsertFields = SQLInsertFields.AddtoDBString("AntennaRedundantDiagonalUFactor2")</v>
      </c>
      <c r="R94" s="11" t="str">
        <f t="shared" si="19"/>
        <v>SQLUpdateFieldsandValues = SQLUpdateFieldsandValues.AddtoDBString("AntennaRedundantDiagonalUFactor2 = " &amp; Me.AntennaRedundantDiagonalUFactor2.NullableToString.FormatDBValue)</v>
      </c>
      <c r="S94" s="10" t="s">
        <v>286</v>
      </c>
    </row>
    <row r="95" spans="1:19" ht="150" x14ac:dyDescent="0.25">
      <c r="A95" s="11" t="s">
        <v>1137</v>
      </c>
      <c r="B95" s="11" t="str" cm="1">
        <f t="array" ref="B95">Addspaces(A95)</f>
        <v>Antenna Redundant Diagonal Bolt Grade 3</v>
      </c>
      <c r="C95" s="15" t="s">
        <v>1224</v>
      </c>
      <c r="D95" s="13" t="str">
        <f>VLOOKUP(C95,Sheet8!A:C,2,FALSE)</f>
        <v>varchar</v>
      </c>
      <c r="E95" s="15">
        <v>100</v>
      </c>
      <c r="F95" s="13" t="str">
        <f>VLOOKUP(C95,Sheet8!A:C,3,FALSE)</f>
        <v>String</v>
      </c>
      <c r="G95" s="15"/>
      <c r="H95" s="11" t="str">
        <f t="shared" si="10"/>
        <v>ADD AntennaRedundantDiagonalBoltGrade3 varchar(100),</v>
      </c>
      <c r="I95" s="11" t="str">
        <f t="shared" si="11"/>
        <v xml:space="preserve">Private _AntennaRedundantDiagonalBoltGrade3 As String </v>
      </c>
      <c r="J95" s="12" t="str">
        <f t="shared" si="12"/>
        <v xml:space="preserve">     		&lt;Category("TNX Antenna Record"), Description(""), DisplayName("Antenna Redundant Diagonal Bolt Grade 3")&gt;
    		&lt;DataMember()&gt; Public Property AntennaRedundantDiagonalBoltGrade3() As String
        			Get
            				Return Me._AntennaRedundantDiagonalBoltGrade3
        			End Get
        			Set
            				Me._AntennaRedundantDiagonalBoltGrade3 = Value
        			End Set
    		End Property</v>
      </c>
      <c r="K95" s="11" t="str">
        <f>"Me."&amp;A95&amp; " = " &amp; VLOOKUP(C95,Sheet8!A:D,4,FALSE)&amp;"(recRow.Item("""&amp;A95 &amp;""")" &amp; IF(C95="Number",",6","")&amp;")"</f>
        <v>Me.AntennaRedundantDiagonalBoltGrade3 = DBtoStr(recRow.Item("AntennaRedundantDiagonalBoltGrade3"))</v>
      </c>
      <c r="L95" s="11" t="str">
        <f t="shared" si="13"/>
        <v>insertString = insertString.AddtoDBString(Me.AntennaRedundantDiagonalBoltGrade3.ToString)</v>
      </c>
      <c r="M95" s="11" t="str">
        <f t="shared" si="14"/>
        <v>Equals = If(Me.AntennaRedundantDiagonalBoltGrade3.CheckChange(otherToCompare.AntennaRedundantDiagonalBoltGrade3, changes, categoryName, "Antenna Redundant Diagonal Bolt Grade 3"), Equals, False)</v>
      </c>
      <c r="N95" s="12" t="str">
        <f t="shared" si="15"/>
        <v xml:space="preserve"> 	Case tnxVar.Equals("AntennaRedundantDiagonalBoltGrade3")
                            Try
                                Me.geometry.upperStructure(recIndex).AntennaRedundantDiagonalBoltGrade3 = tnxValue
                            Catch ex As Exception
                                Debug.Print("Error parsing TNX variable: " &amp; tnxVar)
                            End Try</v>
      </c>
      <c r="O95" s="12" t="str">
        <f t="shared" si="16"/>
        <v>If IsSomethingString(.AntennaRedundantDiagonalBoltGrade3) Then 'This field does not get saved when generated from CCIpole
newERIList.Add("AntennaRedundantDiagonalBoltGrade3=" &amp; .AntennaRedundantDiagonalBoltGrade3)
End If</v>
      </c>
      <c r="P95" s="11" t="str">
        <f t="shared" si="17"/>
        <v>SQLInsertValues = SQLInsertValues.AddtoDBString(Me.AntennaRedundantDiagonalBoltGrade3.NullableToString.FormatDBValue)</v>
      </c>
      <c r="Q95" s="11" t="str">
        <f t="shared" si="18"/>
        <v>SQLInsertFields = SQLInsertFields.AddtoDBString("AntennaRedundantDiagonalBoltGrade3")</v>
      </c>
      <c r="R95" s="11" t="str">
        <f t="shared" si="19"/>
        <v>SQLUpdateFieldsandValues = SQLUpdateFieldsandValues.AddtoDBString("AntennaRedundantDiagonalBoltGrade3 = " &amp; Me.AntennaRedundantDiagonalBoltGrade3.NullableToString.FormatDBValue)</v>
      </c>
      <c r="S95" s="10" t="s">
        <v>286</v>
      </c>
    </row>
    <row r="96" spans="1:19" ht="150" x14ac:dyDescent="0.25">
      <c r="A96" s="11" t="s">
        <v>1138</v>
      </c>
      <c r="B96" s="11" t="str" cm="1">
        <f t="array" ref="B96">Addspaces(A96)</f>
        <v>Antenna Redundant Diagonal Bolt Size 3</v>
      </c>
      <c r="C96" s="15" t="s">
        <v>1225</v>
      </c>
      <c r="D96" s="13" t="str">
        <f>VLOOKUP(C96,Sheet8!A:C,2,FALSE)</f>
        <v>decimal(18, 6)</v>
      </c>
      <c r="E96" s="15"/>
      <c r="F96" s="13" t="str">
        <f>VLOOKUP(C96,Sheet8!A:C,3,FALSE)</f>
        <v>Double?</v>
      </c>
      <c r="G96" s="15"/>
      <c r="H96" s="11" t="str">
        <f t="shared" si="10"/>
        <v>ADD AntennaRedundantDiagonalBoltSize3 decimal(18, 6),</v>
      </c>
      <c r="I96" s="11" t="str">
        <f t="shared" si="11"/>
        <v xml:space="preserve">Private _AntennaRedundantDiagonalBoltSize3 As Double? </v>
      </c>
      <c r="J96" s="12" t="str">
        <f t="shared" si="12"/>
        <v xml:space="preserve">     		&lt;Category("TNX Antenna Record"), Description(""), DisplayName("Antenna Redundant Diagonal Bolt Size 3")&gt;
    		&lt;DataMember()&gt; Public Property AntennaRedundantDiagonalBoltSize3() As Double?
        			Get
            				Return Me._AntennaRedundantDiagonalBoltSize3
        			End Get
        			Set
            				Me._AntennaRedundantDiagonalBoltSize3 = Value
        			End Set
    		End Property</v>
      </c>
      <c r="K96" s="11" t="str">
        <f>"Me."&amp;A96&amp; " = " &amp; VLOOKUP(C96,Sheet8!A:D,4,FALSE)&amp;"(recRow.Item("""&amp;A96 &amp;""")" &amp; IF(C96="Number",",6","")&amp;")"</f>
        <v>Me.AntennaRedundantDiagonalBoltSize3 = DBtoNullableDec(recRow.Item("AntennaRedundantDiagonalBoltSize3"),6)</v>
      </c>
      <c r="L96" s="11" t="str">
        <f t="shared" si="13"/>
        <v>insertString = insertString.AddtoDBString(Me.AntennaRedundantDiagonalBoltSize3.ToString)</v>
      </c>
      <c r="M96" s="11" t="str">
        <f t="shared" si="14"/>
        <v>Equals = If(Me.AntennaRedundantDiagonalBoltSize3.CheckChange(otherToCompare.AntennaRedundantDiagonalBoltSize3, changes, categoryName, "Antenna Redundant Diagonal Bolt Size 3"), Equals, False)</v>
      </c>
      <c r="N96" s="12" t="str">
        <f t="shared" si="15"/>
        <v xml:space="preserve"> 	Case tnxVar.Equals("AntennaRedundantDiagonalBoltSize3")
                            Try
                                Me.geometry.upperStructure(recIndex).AntennaRedundantDiagonalBoltSize3 = tnxValue
                            Catch ex As Exception
                                Debug.Print("Error parsing TNX variable: " &amp; tnxVar)
                            End Try</v>
      </c>
      <c r="O96" s="12" t="str">
        <f t="shared" si="16"/>
        <v>If Not IsNothing(Me.settings.USUnits.Strength.convertToERIUnits(.AntennaRedundantDiagonalBoltSize3)) Then 'This field does not get saved when generated from CCIpole
                                newERIList.Add("AntennaRedundantDiagonalBoltSize3=" &amp; Me.settings.USUnits.Strength.convertToERIUnits(.AntennaRedundantDiagonalBoltSize3))
                            End If</v>
      </c>
      <c r="P96" s="11" t="str">
        <f t="shared" si="17"/>
        <v>SQLInsertValues = SQLInsertValues.AddtoDBString(Me.AntennaRedundantDiagonalBoltSize3.NullableToString.FormatDBValue)</v>
      </c>
      <c r="Q96" s="11" t="str">
        <f t="shared" si="18"/>
        <v>SQLInsertFields = SQLInsertFields.AddtoDBString("AntennaRedundantDiagonalBoltSize3")</v>
      </c>
      <c r="R96" s="11" t="str">
        <f t="shared" si="19"/>
        <v>SQLUpdateFieldsandValues = SQLUpdateFieldsandValues.AddtoDBString("AntennaRedundantDiagonalBoltSize3 = " &amp; Me.AntennaRedundantDiagonalBoltSize3.NullableToString.FormatDBValue)</v>
      </c>
      <c r="S96" s="10" t="s">
        <v>286</v>
      </c>
    </row>
    <row r="97" spans="1:19" ht="150" x14ac:dyDescent="0.25">
      <c r="A97" s="11" t="s">
        <v>1139</v>
      </c>
      <c r="B97" s="11" t="str" cm="1">
        <f t="array" ref="B97">Addspaces(A97)</f>
        <v>Antenna Redundant Diagonal Num Bolts 3</v>
      </c>
      <c r="C97" s="15" t="s">
        <v>1234</v>
      </c>
      <c r="D97" s="13" t="str">
        <f>VLOOKUP(C97,Sheet8!A:C,2,FALSE)</f>
        <v>int</v>
      </c>
      <c r="E97" s="15"/>
      <c r="F97" s="13" t="str">
        <f>VLOOKUP(C97,Sheet8!A:C,3,FALSE)</f>
        <v>Integer?</v>
      </c>
      <c r="G97" s="15"/>
      <c r="H97" s="11" t="str">
        <f t="shared" si="10"/>
        <v>ADD AntennaRedundantDiagonalNumBolts3 int,</v>
      </c>
      <c r="I97" s="11" t="str">
        <f t="shared" si="11"/>
        <v xml:space="preserve">Private _AntennaRedundantDiagonalNumBolts3 As Integer? </v>
      </c>
      <c r="J97" s="12" t="str">
        <f t="shared" si="12"/>
        <v xml:space="preserve">     		&lt;Category("TNX Antenna Record"), Description(""), DisplayName("Antenna Redundant Diagonal Num Bolts 3")&gt;
    		&lt;DataMember()&gt; Public Property AntennaRedundantDiagonalNumBolts3() As Integer?
        			Get
            				Return Me._AntennaRedundantDiagonalNumBolts3
        			End Get
        			Set
            				Me._AntennaRedundantDiagonalNumBolts3 = Value
        			End Set
    		End Property</v>
      </c>
      <c r="K97" s="11" t="str">
        <f>"Me."&amp;A97&amp; " = " &amp; VLOOKUP(C97,Sheet8!A:D,4,FALSE)&amp;"(recRow.Item("""&amp;A97 &amp;""")" &amp; IF(C97="Number",",6","")&amp;")"</f>
        <v>Me.AntennaRedundantDiagonalNumBolts3 = DBtoNullableInt(recRow.Item("AntennaRedundantDiagonalNumBolts3"))</v>
      </c>
      <c r="L97" s="11" t="str">
        <f t="shared" si="13"/>
        <v>insertString = insertString.AddtoDBString(Me.AntennaRedundantDiagonalNumBolts3.ToString)</v>
      </c>
      <c r="M97" s="11" t="str">
        <f t="shared" si="14"/>
        <v>Equals = If(Me.AntennaRedundantDiagonalNumBolts3.CheckChange(otherToCompare.AntennaRedundantDiagonalNumBolts3, changes, categoryName, "Antenna Redundant Diagonal Num Bolts 3"), Equals, False)</v>
      </c>
      <c r="N97" s="12" t="str">
        <f t="shared" si="15"/>
        <v xml:space="preserve"> 	Case tnxVar.Equals("AntennaRedundantDiagonalNumBolts3")
                            Try
                                Me.geometry.upperStructure(recIndex).AntennaRedundantDiagonalNumBolts3 = tnxValue
                            Catch ex As Exception
                                Debug.Print("Error parsing TNX variable: " &amp; tnxVar)
                            End Try</v>
      </c>
      <c r="O97" s="12" t="str">
        <f t="shared" si="16"/>
        <v>newERIList.Add("AntennaRedundantDiagonalNumBolts3=" &amp; .AntennaRedundantDiagonalNumBolts3)</v>
      </c>
      <c r="P97" s="11" t="str">
        <f t="shared" si="17"/>
        <v>SQLInsertValues = SQLInsertValues.AddtoDBString(Me.AntennaRedundantDiagonalNumBolts3.NullableToString.FormatDBValue)</v>
      </c>
      <c r="Q97" s="11" t="str">
        <f t="shared" si="18"/>
        <v>SQLInsertFields = SQLInsertFields.AddtoDBString("AntennaRedundantDiagonalNumBolts3")</v>
      </c>
      <c r="R97" s="11" t="str">
        <f t="shared" si="19"/>
        <v>SQLUpdateFieldsandValues = SQLUpdateFieldsandValues.AddtoDBString("AntennaRedundantDiagonalNumBolts3 = " &amp; Me.AntennaRedundantDiagonalNumBolts3.NullableToString.FormatDBValue)</v>
      </c>
      <c r="S97" s="10" t="s">
        <v>286</v>
      </c>
    </row>
    <row r="98" spans="1:19" ht="165" x14ac:dyDescent="0.25">
      <c r="A98" s="11" t="s">
        <v>1140</v>
      </c>
      <c r="B98" s="11" t="str" cm="1">
        <f t="array" ref="B98">Addspaces(A98)</f>
        <v>Antenna Redundant Diagonal Bolt Edge Distance 3</v>
      </c>
      <c r="C98" s="15" t="s">
        <v>1225</v>
      </c>
      <c r="D98" s="13" t="str">
        <f>VLOOKUP(C98,Sheet8!A:C,2,FALSE)</f>
        <v>decimal(18, 6)</v>
      </c>
      <c r="E98" s="15"/>
      <c r="F98" s="13" t="str">
        <f>VLOOKUP(C98,Sheet8!A:C,3,FALSE)</f>
        <v>Double?</v>
      </c>
      <c r="G98" s="15"/>
      <c r="H98" s="11" t="str">
        <f t="shared" si="10"/>
        <v>ADD AntennaRedundantDiagonalBoltEdgeDistance3 decimal(18, 6),</v>
      </c>
      <c r="I98" s="11" t="str">
        <f t="shared" si="11"/>
        <v xml:space="preserve">Private _AntennaRedundantDiagonalBoltEdgeDistance3 As Double? </v>
      </c>
      <c r="J98" s="12" t="str">
        <f t="shared" si="12"/>
        <v xml:space="preserve">     		&lt;Category("TNX Antenna Record"), Description(""), DisplayName("Antenna Redundant Diagonal Bolt Edge Distance 3")&gt;
    		&lt;DataMember()&gt; Public Property AntennaRedundantDiagonalBoltEdgeDistance3() As Double?
        			Get
            				Return Me._AntennaRedundantDiagonalBoltEdgeDistance3
        			End Get
        			Set
            				Me._AntennaRedundantDiagonalBoltEdgeDistance3 = Value
        			End Set
    		End Property</v>
      </c>
      <c r="K98" s="11" t="str">
        <f>"Me."&amp;A98&amp; " = " &amp; VLOOKUP(C98,Sheet8!A:D,4,FALSE)&amp;"(recRow.Item("""&amp;A98 &amp;""")" &amp; IF(C98="Number",",6","")&amp;")"</f>
        <v>Me.AntennaRedundantDiagonalBoltEdgeDistance3 = DBtoNullableDec(recRow.Item("AntennaRedundantDiagonalBoltEdgeDistance3"),6)</v>
      </c>
      <c r="L98" s="11" t="str">
        <f t="shared" si="13"/>
        <v>insertString = insertString.AddtoDBString(Me.AntennaRedundantDiagonalBoltEdgeDistance3.ToString)</v>
      </c>
      <c r="M98" s="11" t="str">
        <f t="shared" si="14"/>
        <v>Equals = If(Me.AntennaRedundantDiagonalBoltEdgeDistance3.CheckChange(otherToCompare.AntennaRedundantDiagonalBoltEdgeDistance3, changes, categoryName, "Antenna Redundant Diagonal Bolt Edge Distance 3"), Equals, False)</v>
      </c>
      <c r="N98" s="12" t="str">
        <f t="shared" si="15"/>
        <v xml:space="preserve"> 	Case tnxVar.Equals("AntennaRedundantDiagonalBoltEdgeDistance3")
                            Try
                                Me.geometry.upperStructure(recIndex).AntennaRedundantDiagonalBoltEdgeDistance3 = tnxValue
                            Catch ex As Exception
                                Debug.Print("Error parsing TNX variable: " &amp; tnxVar)
                            End Try</v>
      </c>
      <c r="O98" s="12" t="str">
        <f t="shared" si="16"/>
        <v>If Not IsNothing(Me.settings.USUnits.Strength.convertToERIUnits(.AntennaRedundantDiagonalBoltEdgeDistance3)) Then 'This field does not get saved when generated from CCIpole
                                newERIList.Add("AntennaRedundantDiagonalBoltEdgeDistance3=" &amp; Me.settings.USUnits.Strength.convertToERIUnits(.AntennaRedundantDiagonalBoltEdgeDistance3))
                            End If</v>
      </c>
      <c r="P98" s="11" t="str">
        <f t="shared" si="17"/>
        <v>SQLInsertValues = SQLInsertValues.AddtoDBString(Me.AntennaRedundantDiagonalBoltEdgeDistance3.NullableToString.FormatDBValue)</v>
      </c>
      <c r="Q98" s="11" t="str">
        <f t="shared" si="18"/>
        <v>SQLInsertFields = SQLInsertFields.AddtoDBString("AntennaRedundantDiagonalBoltEdgeDistance3")</v>
      </c>
      <c r="R98" s="11" t="str">
        <f t="shared" si="19"/>
        <v>SQLUpdateFieldsandValues = SQLUpdateFieldsandValues.AddtoDBString("AntennaRedundantDiagonalBoltEdgeDistance3 = " &amp; Me.AntennaRedundantDiagonalBoltEdgeDistance3.NullableToString.FormatDBValue)</v>
      </c>
      <c r="S98" s="10" t="s">
        <v>286</v>
      </c>
    </row>
    <row r="99" spans="1:19" ht="165" x14ac:dyDescent="0.25">
      <c r="A99" s="11" t="s">
        <v>1141</v>
      </c>
      <c r="B99" s="11" t="str" cm="1">
        <f t="array" ref="B99">Addspaces(A99)</f>
        <v>Antenna Redundant Diagonal Gage G 1 Distance 3</v>
      </c>
      <c r="C99" s="15" t="s">
        <v>1225</v>
      </c>
      <c r="D99" s="13" t="str">
        <f>VLOOKUP(C99,Sheet8!A:C,2,FALSE)</f>
        <v>decimal(18, 6)</v>
      </c>
      <c r="E99" s="15"/>
      <c r="F99" s="13" t="str">
        <f>VLOOKUP(C99,Sheet8!A:C,3,FALSE)</f>
        <v>Double?</v>
      </c>
      <c r="G99" s="15"/>
      <c r="H99" s="11" t="str">
        <f t="shared" si="10"/>
        <v>ADD AntennaRedundantDiagonalGageG1Distance3 decimal(18, 6),</v>
      </c>
      <c r="I99" s="11" t="str">
        <f t="shared" si="11"/>
        <v xml:space="preserve">Private _AntennaRedundantDiagonalGageG1Distance3 As Double? </v>
      </c>
      <c r="J99" s="12" t="str">
        <f t="shared" si="12"/>
        <v xml:space="preserve">     		&lt;Category("TNX Antenna Record"), Description(""), DisplayName("Antenna Redundant Diagonal Gage G 1 Distance 3")&gt;
    		&lt;DataMember()&gt; Public Property AntennaRedundantDiagonalGageG1Distance3() As Double?
        			Get
            				Return Me._AntennaRedundantDiagonalGageG1Distance3
        			End Get
        			Set
            				Me._AntennaRedundantDiagonalGageG1Distance3 = Value
        			End Set
    		End Property</v>
      </c>
      <c r="K99" s="11" t="str">
        <f>"Me."&amp;A99&amp; " = " &amp; VLOOKUP(C99,Sheet8!A:D,4,FALSE)&amp;"(recRow.Item("""&amp;A99 &amp;""")" &amp; IF(C99="Number",",6","")&amp;")"</f>
        <v>Me.AntennaRedundantDiagonalGageG1Distance3 = DBtoNullableDec(recRow.Item("AntennaRedundantDiagonalGageG1Distance3"),6)</v>
      </c>
      <c r="L99" s="11" t="str">
        <f t="shared" si="13"/>
        <v>insertString = insertString.AddtoDBString(Me.AntennaRedundantDiagonalGageG1Distance3.ToString)</v>
      </c>
      <c r="M99" s="11" t="str">
        <f t="shared" si="14"/>
        <v>Equals = If(Me.AntennaRedundantDiagonalGageG1Distance3.CheckChange(otherToCompare.AntennaRedundantDiagonalGageG1Distance3, changes, categoryName, "Antenna Redundant Diagonal Gage G 1 Distance 3"), Equals, False)</v>
      </c>
      <c r="N99" s="12" t="str">
        <f t="shared" si="15"/>
        <v xml:space="preserve"> 	Case tnxVar.Equals("AntennaRedundantDiagonalGageG1Distance3")
                            Try
                                Me.geometry.upperStructure(recIndex).AntennaRedundantDiagonalGageG1Distance3 = tnxValue
                            Catch ex As Exception
                                Debug.Print("Error parsing TNX variable: " &amp; tnxVar)
                            End Try</v>
      </c>
      <c r="O99" s="12" t="str">
        <f t="shared" si="16"/>
        <v>If Not IsNothing(Me.settings.USUnits.Strength.convertToERIUnits(.AntennaRedundantDiagonalGageG1Distance3)) Then 'This field does not get saved when generated from CCIpole
                                newERIList.Add("AntennaRedundantDiagonalGageG1Distance3=" &amp; Me.settings.USUnits.Strength.convertToERIUnits(.AntennaRedundantDiagonalGageG1Distance3))
                            End If</v>
      </c>
      <c r="P99" s="11" t="str">
        <f t="shared" si="17"/>
        <v>SQLInsertValues = SQLInsertValues.AddtoDBString(Me.AntennaRedundantDiagonalGageG1Distance3.NullableToString.FormatDBValue)</v>
      </c>
      <c r="Q99" s="11" t="str">
        <f t="shared" si="18"/>
        <v>SQLInsertFields = SQLInsertFields.AddtoDBString("AntennaRedundantDiagonalGageG1Distance3")</v>
      </c>
      <c r="R99" s="11" t="str">
        <f t="shared" si="19"/>
        <v>SQLUpdateFieldsandValues = SQLUpdateFieldsandValues.AddtoDBString("AntennaRedundantDiagonalGageG1Distance3 = " &amp; Me.AntennaRedundantDiagonalGageG1Distance3.NullableToString.FormatDBValue)</v>
      </c>
      <c r="S99" s="10" t="s">
        <v>286</v>
      </c>
    </row>
    <row r="100" spans="1:19" ht="165" x14ac:dyDescent="0.25">
      <c r="A100" s="11" t="s">
        <v>1142</v>
      </c>
      <c r="B100" s="11" t="str" cm="1">
        <f t="array" ref="B100">Addspaces(A100)</f>
        <v>Antenna Redundant Diagonal Net Width Deduct 3</v>
      </c>
      <c r="C100" s="15" t="s">
        <v>1225</v>
      </c>
      <c r="D100" s="13" t="str">
        <f>VLOOKUP(C100,Sheet8!A:C,2,FALSE)</f>
        <v>decimal(18, 6)</v>
      </c>
      <c r="E100" s="15"/>
      <c r="F100" s="13" t="str">
        <f>VLOOKUP(C100,Sheet8!A:C,3,FALSE)</f>
        <v>Double?</v>
      </c>
      <c r="G100" s="15"/>
      <c r="H100" s="11" t="str">
        <f t="shared" si="10"/>
        <v>ADD AntennaRedundantDiagonalNetWidthDeduct3 decimal(18, 6),</v>
      </c>
      <c r="I100" s="11" t="str">
        <f t="shared" si="11"/>
        <v xml:space="preserve">Private _AntennaRedundantDiagonalNetWidthDeduct3 As Double? </v>
      </c>
      <c r="J100" s="12" t="str">
        <f t="shared" si="12"/>
        <v xml:space="preserve">     		&lt;Category("TNX Antenna Record"), Description(""), DisplayName("Antenna Redundant Diagonal Net Width Deduct 3")&gt;
    		&lt;DataMember()&gt; Public Property AntennaRedundantDiagonalNetWidthDeduct3() As Double?
        			Get
            				Return Me._AntennaRedundantDiagonalNetWidthDeduct3
        			End Get
        			Set
            				Me._AntennaRedundantDiagonalNetWidthDeduct3 = Value
        			End Set
    		End Property</v>
      </c>
      <c r="K100" s="11" t="str">
        <f>"Me."&amp;A100&amp; " = " &amp; VLOOKUP(C100,Sheet8!A:D,4,FALSE)&amp;"(recRow.Item("""&amp;A100 &amp;""")" &amp; IF(C100="Number",",6","")&amp;")"</f>
        <v>Me.AntennaRedundantDiagonalNetWidthDeduct3 = DBtoNullableDec(recRow.Item("AntennaRedundantDiagonalNetWidthDeduct3"),6)</v>
      </c>
      <c r="L100" s="11" t="str">
        <f t="shared" si="13"/>
        <v>insertString = insertString.AddtoDBString(Me.AntennaRedundantDiagonalNetWidthDeduct3.ToString)</v>
      </c>
      <c r="M100" s="11" t="str">
        <f t="shared" si="14"/>
        <v>Equals = If(Me.AntennaRedundantDiagonalNetWidthDeduct3.CheckChange(otherToCompare.AntennaRedundantDiagonalNetWidthDeduct3, changes, categoryName, "Antenna Redundant Diagonal Net Width Deduct 3"), Equals, False)</v>
      </c>
      <c r="N100" s="12" t="str">
        <f t="shared" si="15"/>
        <v xml:space="preserve"> 	Case tnxVar.Equals("AntennaRedundantDiagonalNetWidthDeduct3")
                            Try
                                Me.geometry.upperStructure(recIndex).AntennaRedundantDiagonalNetWidthDeduct3 = tnxValue
                            Catch ex As Exception
                                Debug.Print("Error parsing TNX variable: " &amp; tnxVar)
                            End Try</v>
      </c>
      <c r="O100" s="12" t="str">
        <f t="shared" si="16"/>
        <v>If Not IsNothing(Me.settings.USUnits.Strength.convertToERIUnits(.AntennaRedundantDiagonalNetWidthDeduct3)) Then 'This field does not get saved when generated from CCIpole
                                newERIList.Add("AntennaRedundantDiagonalNetWidthDeduct3=" &amp; Me.settings.USUnits.Strength.convertToERIUnits(.AntennaRedundantDiagonalNetWidthDeduct3))
                            End If</v>
      </c>
      <c r="P100" s="11" t="str">
        <f t="shared" si="17"/>
        <v>SQLInsertValues = SQLInsertValues.AddtoDBString(Me.AntennaRedundantDiagonalNetWidthDeduct3.NullableToString.FormatDBValue)</v>
      </c>
      <c r="Q100" s="11" t="str">
        <f t="shared" si="18"/>
        <v>SQLInsertFields = SQLInsertFields.AddtoDBString("AntennaRedundantDiagonalNetWidthDeduct3")</v>
      </c>
      <c r="R100" s="11" t="str">
        <f t="shared" si="19"/>
        <v>SQLUpdateFieldsandValues = SQLUpdateFieldsandValues.AddtoDBString("AntennaRedundantDiagonalNetWidthDeduct3 = " &amp; Me.AntennaRedundantDiagonalNetWidthDeduct3.NullableToString.FormatDBValue)</v>
      </c>
      <c r="S100" s="10" t="s">
        <v>286</v>
      </c>
    </row>
    <row r="101" spans="1:19" ht="150" x14ac:dyDescent="0.25">
      <c r="A101" s="11" t="s">
        <v>1143</v>
      </c>
      <c r="B101" s="11" t="str" cm="1">
        <f t="array" ref="B101">Addspaces(A101)</f>
        <v>Antenna Redundant Diagonal U Factor 3</v>
      </c>
      <c r="C101" s="15" t="s">
        <v>1225</v>
      </c>
      <c r="D101" s="13" t="str">
        <f>VLOOKUP(C101,Sheet8!A:C,2,FALSE)</f>
        <v>decimal(18, 6)</v>
      </c>
      <c r="E101" s="15"/>
      <c r="F101" s="13" t="str">
        <f>VLOOKUP(C101,Sheet8!A:C,3,FALSE)</f>
        <v>Double?</v>
      </c>
      <c r="G101" s="15"/>
      <c r="H101" s="11" t="str">
        <f t="shared" si="10"/>
        <v>ADD AntennaRedundantDiagonalUFactor3 decimal(18, 6),</v>
      </c>
      <c r="I101" s="11" t="str">
        <f t="shared" si="11"/>
        <v xml:space="preserve">Private _AntennaRedundantDiagonalUFactor3 As Double? </v>
      </c>
      <c r="J101" s="12" t="str">
        <f t="shared" si="12"/>
        <v xml:space="preserve">     		&lt;Category("TNX Antenna Record"), Description(""), DisplayName("Antenna Redundant Diagonal U Factor 3")&gt;
    		&lt;DataMember()&gt; Public Property AntennaRedundantDiagonalUFactor3() As Double?
        			Get
            				Return Me._AntennaRedundantDiagonalUFactor3
        			End Get
        			Set
            				Me._AntennaRedundantDiagonalUFactor3 = Value
        			End Set
    		End Property</v>
      </c>
      <c r="K101" s="11" t="str">
        <f>"Me."&amp;A101&amp; " = " &amp; VLOOKUP(C101,Sheet8!A:D,4,FALSE)&amp;"(recRow.Item("""&amp;A101 &amp;""")" &amp; IF(C101="Number",",6","")&amp;")"</f>
        <v>Me.AntennaRedundantDiagonalUFactor3 = DBtoNullableDec(recRow.Item("AntennaRedundantDiagonalUFactor3"),6)</v>
      </c>
      <c r="L101" s="11" t="str">
        <f t="shared" si="13"/>
        <v>insertString = insertString.AddtoDBString(Me.AntennaRedundantDiagonalUFactor3.ToString)</v>
      </c>
      <c r="M101" s="11" t="str">
        <f t="shared" si="14"/>
        <v>Equals = If(Me.AntennaRedundantDiagonalUFactor3.CheckChange(otherToCompare.AntennaRedundantDiagonalUFactor3, changes, categoryName, "Antenna Redundant Diagonal U Factor 3"), Equals, False)</v>
      </c>
      <c r="N101" s="12" t="str">
        <f t="shared" si="15"/>
        <v xml:space="preserve"> 	Case tnxVar.Equals("AntennaRedundantDiagonalUFactor3")
                            Try
                                Me.geometry.upperStructure(recIndex).AntennaRedundantDiagonalUFactor3 = tnxValue
                            Catch ex As Exception
                                Debug.Print("Error parsing TNX variable: " &amp; tnxVar)
                            End Try</v>
      </c>
      <c r="O101" s="12" t="str">
        <f t="shared" si="16"/>
        <v>If Not IsNothing(Me.settings.USUnits.Strength.convertToERIUnits(.AntennaRedundantDiagonalUFactor3)) Then 'This field does not get saved when generated from CCIpole
                                newERIList.Add("AntennaRedundantDiagonalUFactor3=" &amp; Me.settings.USUnits.Strength.convertToERIUnits(.AntennaRedundantDiagonalUFactor3))
                            End If</v>
      </c>
      <c r="P101" s="11" t="str">
        <f t="shared" si="17"/>
        <v>SQLInsertValues = SQLInsertValues.AddtoDBString(Me.AntennaRedundantDiagonalUFactor3.NullableToString.FormatDBValue)</v>
      </c>
      <c r="Q101" s="11" t="str">
        <f t="shared" si="18"/>
        <v>SQLInsertFields = SQLInsertFields.AddtoDBString("AntennaRedundantDiagonalUFactor3")</v>
      </c>
      <c r="R101" s="11" t="str">
        <f t="shared" si="19"/>
        <v>SQLUpdateFieldsandValues = SQLUpdateFieldsandValues.AddtoDBString("AntennaRedundantDiagonalUFactor3 = " &amp; Me.AntennaRedundantDiagonalUFactor3.NullableToString.FormatDBValue)</v>
      </c>
      <c r="S101" s="10" t="s">
        <v>286</v>
      </c>
    </row>
    <row r="102" spans="1:19" ht="150" x14ac:dyDescent="0.25">
      <c r="A102" s="11" t="s">
        <v>1144</v>
      </c>
      <c r="B102" s="11" t="str" cm="1">
        <f t="array" ref="B102">Addspaces(A102)</f>
        <v>Antenna Redundant Diagonal Bolt Grade 4</v>
      </c>
      <c r="C102" s="15" t="s">
        <v>1224</v>
      </c>
      <c r="D102" s="13" t="str">
        <f>VLOOKUP(C102,Sheet8!A:C,2,FALSE)</f>
        <v>varchar</v>
      </c>
      <c r="E102" s="15">
        <v>100</v>
      </c>
      <c r="F102" s="13" t="str">
        <f>VLOOKUP(C102,Sheet8!A:C,3,FALSE)</f>
        <v>String</v>
      </c>
      <c r="G102" s="15"/>
      <c r="H102" s="11" t="str">
        <f t="shared" si="10"/>
        <v>ADD AntennaRedundantDiagonalBoltGrade4 varchar(100),</v>
      </c>
      <c r="I102" s="11" t="str">
        <f t="shared" si="11"/>
        <v xml:space="preserve">Private _AntennaRedundantDiagonalBoltGrade4 As String </v>
      </c>
      <c r="J102" s="12" t="str">
        <f t="shared" si="12"/>
        <v xml:space="preserve">     		&lt;Category("TNX Antenna Record"), Description(""), DisplayName("Antenna Redundant Diagonal Bolt Grade 4")&gt;
    		&lt;DataMember()&gt; Public Property AntennaRedundantDiagonalBoltGrade4() As String
        			Get
            				Return Me._AntennaRedundantDiagonalBoltGrade4
        			End Get
        			Set
            				Me._AntennaRedundantDiagonalBoltGrade4 = Value
        			End Set
    		End Property</v>
      </c>
      <c r="K102" s="11" t="str">
        <f>"Me."&amp;A102&amp; " = " &amp; VLOOKUP(C102,Sheet8!A:D,4,FALSE)&amp;"(recRow.Item("""&amp;A102 &amp;""")" &amp; IF(C102="Number",",6","")&amp;")"</f>
        <v>Me.AntennaRedundantDiagonalBoltGrade4 = DBtoStr(recRow.Item("AntennaRedundantDiagonalBoltGrade4"))</v>
      </c>
      <c r="L102" s="11" t="str">
        <f t="shared" si="13"/>
        <v>insertString = insertString.AddtoDBString(Me.AntennaRedundantDiagonalBoltGrade4.ToString)</v>
      </c>
      <c r="M102" s="11" t="str">
        <f t="shared" si="14"/>
        <v>Equals = If(Me.AntennaRedundantDiagonalBoltGrade4.CheckChange(otherToCompare.AntennaRedundantDiagonalBoltGrade4, changes, categoryName, "Antenna Redundant Diagonal Bolt Grade 4"), Equals, False)</v>
      </c>
      <c r="N102" s="12" t="str">
        <f t="shared" si="15"/>
        <v xml:space="preserve"> 	Case tnxVar.Equals("AntennaRedundantDiagonalBoltGrade4")
                            Try
                                Me.geometry.upperStructure(recIndex).AntennaRedundantDiagonalBoltGrade4 = tnxValue
                            Catch ex As Exception
                                Debug.Print("Error parsing TNX variable: " &amp; tnxVar)
                            End Try</v>
      </c>
      <c r="O102" s="12" t="str">
        <f t="shared" si="16"/>
        <v>If IsSomethingString(.AntennaRedundantDiagonalBoltGrade4) Then 'This field does not get saved when generated from CCIpole
newERIList.Add("AntennaRedundantDiagonalBoltGrade4=" &amp; .AntennaRedundantDiagonalBoltGrade4)
End If</v>
      </c>
      <c r="P102" s="11" t="str">
        <f t="shared" si="17"/>
        <v>SQLInsertValues = SQLInsertValues.AddtoDBString(Me.AntennaRedundantDiagonalBoltGrade4.NullableToString.FormatDBValue)</v>
      </c>
      <c r="Q102" s="11" t="str">
        <f t="shared" si="18"/>
        <v>SQLInsertFields = SQLInsertFields.AddtoDBString("AntennaRedundantDiagonalBoltGrade4")</v>
      </c>
      <c r="R102" s="11" t="str">
        <f t="shared" si="19"/>
        <v>SQLUpdateFieldsandValues = SQLUpdateFieldsandValues.AddtoDBString("AntennaRedundantDiagonalBoltGrade4 = " &amp; Me.AntennaRedundantDiagonalBoltGrade4.NullableToString.FormatDBValue)</v>
      </c>
      <c r="S102" s="10" t="s">
        <v>286</v>
      </c>
    </row>
    <row r="103" spans="1:19" ht="150" x14ac:dyDescent="0.25">
      <c r="A103" s="11" t="s">
        <v>1145</v>
      </c>
      <c r="B103" s="11" t="str" cm="1">
        <f t="array" ref="B103">Addspaces(A103)</f>
        <v>Antenna Redundant Diagonal Bolt Size 4</v>
      </c>
      <c r="C103" s="15" t="s">
        <v>1225</v>
      </c>
      <c r="D103" s="13" t="str">
        <f>VLOOKUP(C103,Sheet8!A:C,2,FALSE)</f>
        <v>decimal(18, 6)</v>
      </c>
      <c r="E103" s="15"/>
      <c r="F103" s="13" t="str">
        <f>VLOOKUP(C103,Sheet8!A:C,3,FALSE)</f>
        <v>Double?</v>
      </c>
      <c r="G103" s="15"/>
      <c r="H103" s="11" t="str">
        <f t="shared" si="10"/>
        <v>ADD AntennaRedundantDiagonalBoltSize4 decimal(18, 6),</v>
      </c>
      <c r="I103" s="11" t="str">
        <f t="shared" si="11"/>
        <v xml:space="preserve">Private _AntennaRedundantDiagonalBoltSize4 As Double? </v>
      </c>
      <c r="J103" s="12" t="str">
        <f t="shared" si="12"/>
        <v xml:space="preserve">     		&lt;Category("TNX Antenna Record"), Description(""), DisplayName("Antenna Redundant Diagonal Bolt Size 4")&gt;
    		&lt;DataMember()&gt; Public Property AntennaRedundantDiagonalBoltSize4() As Double?
        			Get
            				Return Me._AntennaRedundantDiagonalBoltSize4
        			End Get
        			Set
            				Me._AntennaRedundantDiagonalBoltSize4 = Value
        			End Set
    		End Property</v>
      </c>
      <c r="K103" s="11" t="str">
        <f>"Me."&amp;A103&amp; " = " &amp; VLOOKUP(C103,Sheet8!A:D,4,FALSE)&amp;"(recRow.Item("""&amp;A103 &amp;""")" &amp; IF(C103="Number",",6","")&amp;")"</f>
        <v>Me.AntennaRedundantDiagonalBoltSize4 = DBtoNullableDec(recRow.Item("AntennaRedundantDiagonalBoltSize4"),6)</v>
      </c>
      <c r="L103" s="11" t="str">
        <f t="shared" si="13"/>
        <v>insertString = insertString.AddtoDBString(Me.AntennaRedundantDiagonalBoltSize4.ToString)</v>
      </c>
      <c r="M103" s="11" t="str">
        <f t="shared" si="14"/>
        <v>Equals = If(Me.AntennaRedundantDiagonalBoltSize4.CheckChange(otherToCompare.AntennaRedundantDiagonalBoltSize4, changes, categoryName, "Antenna Redundant Diagonal Bolt Size 4"), Equals, False)</v>
      </c>
      <c r="N103" s="12" t="str">
        <f t="shared" si="15"/>
        <v xml:space="preserve"> 	Case tnxVar.Equals("AntennaRedundantDiagonalBoltSize4")
                            Try
                                Me.geometry.upperStructure(recIndex).AntennaRedundantDiagonalBoltSize4 = tnxValue
                            Catch ex As Exception
                                Debug.Print("Error parsing TNX variable: " &amp; tnxVar)
                            End Try</v>
      </c>
      <c r="O103" s="12" t="str">
        <f t="shared" si="16"/>
        <v>If Not IsNothing(Me.settings.USUnits.Strength.convertToERIUnits(.AntennaRedundantDiagonalBoltSize4)) Then 'This field does not get saved when generated from CCIpole
                                newERIList.Add("AntennaRedundantDiagonalBoltSize4=" &amp; Me.settings.USUnits.Strength.convertToERIUnits(.AntennaRedundantDiagonalBoltSize4))
                            End If</v>
      </c>
      <c r="P103" s="11" t="str">
        <f t="shared" si="17"/>
        <v>SQLInsertValues = SQLInsertValues.AddtoDBString(Me.AntennaRedundantDiagonalBoltSize4.NullableToString.FormatDBValue)</v>
      </c>
      <c r="Q103" s="11" t="str">
        <f t="shared" si="18"/>
        <v>SQLInsertFields = SQLInsertFields.AddtoDBString("AntennaRedundantDiagonalBoltSize4")</v>
      </c>
      <c r="R103" s="11" t="str">
        <f t="shared" si="19"/>
        <v>SQLUpdateFieldsandValues = SQLUpdateFieldsandValues.AddtoDBString("AntennaRedundantDiagonalBoltSize4 = " &amp; Me.AntennaRedundantDiagonalBoltSize4.NullableToString.FormatDBValue)</v>
      </c>
      <c r="S103" s="10" t="s">
        <v>286</v>
      </c>
    </row>
    <row r="104" spans="1:19" ht="150" x14ac:dyDescent="0.25">
      <c r="A104" s="11" t="s">
        <v>1146</v>
      </c>
      <c r="B104" s="11" t="str" cm="1">
        <f t="array" ref="B104">Addspaces(A104)</f>
        <v>Antenna Redundant Diagonal Num Bolts 4</v>
      </c>
      <c r="C104" s="15" t="s">
        <v>1234</v>
      </c>
      <c r="D104" s="13" t="str">
        <f>VLOOKUP(C104,Sheet8!A:C,2,FALSE)</f>
        <v>int</v>
      </c>
      <c r="E104" s="15"/>
      <c r="F104" s="13" t="str">
        <f>VLOOKUP(C104,Sheet8!A:C,3,FALSE)</f>
        <v>Integer?</v>
      </c>
      <c r="G104" s="15"/>
      <c r="H104" s="11" t="str">
        <f t="shared" si="10"/>
        <v>ADD AntennaRedundantDiagonalNumBolts4 int,</v>
      </c>
      <c r="I104" s="11" t="str">
        <f t="shared" si="11"/>
        <v xml:space="preserve">Private _AntennaRedundantDiagonalNumBolts4 As Integer? </v>
      </c>
      <c r="J104" s="12" t="str">
        <f t="shared" si="12"/>
        <v xml:space="preserve">     		&lt;Category("TNX Antenna Record"), Description(""), DisplayName("Antenna Redundant Diagonal Num Bolts 4")&gt;
    		&lt;DataMember()&gt; Public Property AntennaRedundantDiagonalNumBolts4() As Integer?
        			Get
            				Return Me._AntennaRedundantDiagonalNumBolts4
        			End Get
        			Set
            				Me._AntennaRedundantDiagonalNumBolts4 = Value
        			End Set
    		End Property</v>
      </c>
      <c r="K104" s="11" t="str">
        <f>"Me."&amp;A104&amp; " = " &amp; VLOOKUP(C104,Sheet8!A:D,4,FALSE)&amp;"(recRow.Item("""&amp;A104 &amp;""")" &amp; IF(C104="Number",",6","")&amp;")"</f>
        <v>Me.AntennaRedundantDiagonalNumBolts4 = DBtoNullableInt(recRow.Item("AntennaRedundantDiagonalNumBolts4"))</v>
      </c>
      <c r="L104" s="11" t="str">
        <f t="shared" si="13"/>
        <v>insertString = insertString.AddtoDBString(Me.AntennaRedundantDiagonalNumBolts4.ToString)</v>
      </c>
      <c r="M104" s="11" t="str">
        <f t="shared" si="14"/>
        <v>Equals = If(Me.AntennaRedundantDiagonalNumBolts4.CheckChange(otherToCompare.AntennaRedundantDiagonalNumBolts4, changes, categoryName, "Antenna Redundant Diagonal Num Bolts 4"), Equals, False)</v>
      </c>
      <c r="N104" s="12" t="str">
        <f t="shared" si="15"/>
        <v xml:space="preserve"> 	Case tnxVar.Equals("AntennaRedundantDiagonalNumBolts4")
                            Try
                                Me.geometry.upperStructure(recIndex).AntennaRedundantDiagonalNumBolts4 = tnxValue
                            Catch ex As Exception
                                Debug.Print("Error parsing TNX variable: " &amp; tnxVar)
                            End Try</v>
      </c>
      <c r="O104" s="12" t="str">
        <f t="shared" si="16"/>
        <v>newERIList.Add("AntennaRedundantDiagonalNumBolts4=" &amp; .AntennaRedundantDiagonalNumBolts4)</v>
      </c>
      <c r="P104" s="11" t="str">
        <f t="shared" si="17"/>
        <v>SQLInsertValues = SQLInsertValues.AddtoDBString(Me.AntennaRedundantDiagonalNumBolts4.NullableToString.FormatDBValue)</v>
      </c>
      <c r="Q104" s="11" t="str">
        <f t="shared" si="18"/>
        <v>SQLInsertFields = SQLInsertFields.AddtoDBString("AntennaRedundantDiagonalNumBolts4")</v>
      </c>
      <c r="R104" s="11" t="str">
        <f t="shared" si="19"/>
        <v>SQLUpdateFieldsandValues = SQLUpdateFieldsandValues.AddtoDBString("AntennaRedundantDiagonalNumBolts4 = " &amp; Me.AntennaRedundantDiagonalNumBolts4.NullableToString.FormatDBValue)</v>
      </c>
      <c r="S104" s="10" t="s">
        <v>286</v>
      </c>
    </row>
    <row r="105" spans="1:19" ht="165" x14ac:dyDescent="0.25">
      <c r="A105" s="11" t="s">
        <v>1147</v>
      </c>
      <c r="B105" s="11" t="str" cm="1">
        <f t="array" ref="B105">Addspaces(A105)</f>
        <v>Antenna Redundant Diagonal Bolt Edge Distance 4</v>
      </c>
      <c r="C105" s="15" t="s">
        <v>1225</v>
      </c>
      <c r="D105" s="13" t="str">
        <f>VLOOKUP(C105,Sheet8!A:C,2,FALSE)</f>
        <v>decimal(18, 6)</v>
      </c>
      <c r="E105" s="15"/>
      <c r="F105" s="13" t="str">
        <f>VLOOKUP(C105,Sheet8!A:C,3,FALSE)</f>
        <v>Double?</v>
      </c>
      <c r="G105" s="15"/>
      <c r="H105" s="11" t="str">
        <f t="shared" si="10"/>
        <v>ADD AntennaRedundantDiagonalBoltEdgeDistance4 decimal(18, 6),</v>
      </c>
      <c r="I105" s="11" t="str">
        <f t="shared" si="11"/>
        <v xml:space="preserve">Private _AntennaRedundantDiagonalBoltEdgeDistance4 As Double? </v>
      </c>
      <c r="J105" s="12" t="str">
        <f t="shared" si="12"/>
        <v xml:space="preserve">     		&lt;Category("TNX Antenna Record"), Description(""), DisplayName("Antenna Redundant Diagonal Bolt Edge Distance 4")&gt;
    		&lt;DataMember()&gt; Public Property AntennaRedundantDiagonalBoltEdgeDistance4() As Double?
        			Get
            				Return Me._AntennaRedundantDiagonalBoltEdgeDistance4
        			End Get
        			Set
            				Me._AntennaRedundantDiagonalBoltEdgeDistance4 = Value
        			End Set
    		End Property</v>
      </c>
      <c r="K105" s="11" t="str">
        <f>"Me."&amp;A105&amp; " = " &amp; VLOOKUP(C105,Sheet8!A:D,4,FALSE)&amp;"(recRow.Item("""&amp;A105 &amp;""")" &amp; IF(C105="Number",",6","")&amp;")"</f>
        <v>Me.AntennaRedundantDiagonalBoltEdgeDistance4 = DBtoNullableDec(recRow.Item("AntennaRedundantDiagonalBoltEdgeDistance4"),6)</v>
      </c>
      <c r="L105" s="11" t="str">
        <f t="shared" si="13"/>
        <v>insertString = insertString.AddtoDBString(Me.AntennaRedundantDiagonalBoltEdgeDistance4.ToString)</v>
      </c>
      <c r="M105" s="11" t="str">
        <f t="shared" si="14"/>
        <v>Equals = If(Me.AntennaRedundantDiagonalBoltEdgeDistance4.CheckChange(otherToCompare.AntennaRedundantDiagonalBoltEdgeDistance4, changes, categoryName, "Antenna Redundant Diagonal Bolt Edge Distance 4"), Equals, False)</v>
      </c>
      <c r="N105" s="12" t="str">
        <f t="shared" si="15"/>
        <v xml:space="preserve"> 	Case tnxVar.Equals("AntennaRedundantDiagonalBoltEdgeDistance4")
                            Try
                                Me.geometry.upperStructure(recIndex).AntennaRedundantDiagonalBoltEdgeDistance4 = tnxValue
                            Catch ex As Exception
                                Debug.Print("Error parsing TNX variable: " &amp; tnxVar)
                            End Try</v>
      </c>
      <c r="O105" s="12" t="str">
        <f t="shared" si="16"/>
        <v>If Not IsNothing(Me.settings.USUnits.Strength.convertToERIUnits(.AntennaRedundantDiagonalBoltEdgeDistance4)) Then 'This field does not get saved when generated from CCIpole
                                newERIList.Add("AntennaRedundantDiagonalBoltEdgeDistance4=" &amp; Me.settings.USUnits.Strength.convertToERIUnits(.AntennaRedundantDiagonalBoltEdgeDistance4))
                            End If</v>
      </c>
      <c r="P105" s="11" t="str">
        <f t="shared" si="17"/>
        <v>SQLInsertValues = SQLInsertValues.AddtoDBString(Me.AntennaRedundantDiagonalBoltEdgeDistance4.NullableToString.FormatDBValue)</v>
      </c>
      <c r="Q105" s="11" t="str">
        <f t="shared" si="18"/>
        <v>SQLInsertFields = SQLInsertFields.AddtoDBString("AntennaRedundantDiagonalBoltEdgeDistance4")</v>
      </c>
      <c r="R105" s="11" t="str">
        <f t="shared" si="19"/>
        <v>SQLUpdateFieldsandValues = SQLUpdateFieldsandValues.AddtoDBString("AntennaRedundantDiagonalBoltEdgeDistance4 = " &amp; Me.AntennaRedundantDiagonalBoltEdgeDistance4.NullableToString.FormatDBValue)</v>
      </c>
      <c r="S105" s="10" t="s">
        <v>286</v>
      </c>
    </row>
    <row r="106" spans="1:19" ht="165" x14ac:dyDescent="0.25">
      <c r="A106" s="11" t="s">
        <v>1148</v>
      </c>
      <c r="B106" s="11" t="str" cm="1">
        <f t="array" ref="B106">Addspaces(A106)</f>
        <v>Antenna Redundant Diagonal Gage G 1 Distance 4</v>
      </c>
      <c r="C106" s="15" t="s">
        <v>1225</v>
      </c>
      <c r="D106" s="13" t="str">
        <f>VLOOKUP(C106,Sheet8!A:C,2,FALSE)</f>
        <v>decimal(18, 6)</v>
      </c>
      <c r="E106" s="15"/>
      <c r="F106" s="13" t="str">
        <f>VLOOKUP(C106,Sheet8!A:C,3,FALSE)</f>
        <v>Double?</v>
      </c>
      <c r="G106" s="15"/>
      <c r="H106" s="11" t="str">
        <f t="shared" si="10"/>
        <v>ADD AntennaRedundantDiagonalGageG1Distance4 decimal(18, 6),</v>
      </c>
      <c r="I106" s="11" t="str">
        <f t="shared" si="11"/>
        <v xml:space="preserve">Private _AntennaRedundantDiagonalGageG1Distance4 As Double? </v>
      </c>
      <c r="J106" s="12" t="str">
        <f t="shared" si="12"/>
        <v xml:space="preserve">     		&lt;Category("TNX Antenna Record"), Description(""), DisplayName("Antenna Redundant Diagonal Gage G 1 Distance 4")&gt;
    		&lt;DataMember()&gt; Public Property AntennaRedundantDiagonalGageG1Distance4() As Double?
        			Get
            				Return Me._AntennaRedundantDiagonalGageG1Distance4
        			End Get
        			Set
            				Me._AntennaRedundantDiagonalGageG1Distance4 = Value
        			End Set
    		End Property</v>
      </c>
      <c r="K106" s="11" t="str">
        <f>"Me."&amp;A106&amp; " = " &amp; VLOOKUP(C106,Sheet8!A:D,4,FALSE)&amp;"(recRow.Item("""&amp;A106 &amp;""")" &amp; IF(C106="Number",",6","")&amp;")"</f>
        <v>Me.AntennaRedundantDiagonalGageG1Distance4 = DBtoNullableDec(recRow.Item("AntennaRedundantDiagonalGageG1Distance4"),6)</v>
      </c>
      <c r="L106" s="11" t="str">
        <f t="shared" si="13"/>
        <v>insertString = insertString.AddtoDBString(Me.AntennaRedundantDiagonalGageG1Distance4.ToString)</v>
      </c>
      <c r="M106" s="11" t="str">
        <f t="shared" si="14"/>
        <v>Equals = If(Me.AntennaRedundantDiagonalGageG1Distance4.CheckChange(otherToCompare.AntennaRedundantDiagonalGageG1Distance4, changes, categoryName, "Antenna Redundant Diagonal Gage G 1 Distance 4"), Equals, False)</v>
      </c>
      <c r="N106" s="12" t="str">
        <f t="shared" si="15"/>
        <v xml:space="preserve"> 	Case tnxVar.Equals("AntennaRedundantDiagonalGageG1Distance4")
                            Try
                                Me.geometry.upperStructure(recIndex).AntennaRedundantDiagonalGageG1Distance4 = tnxValue
                            Catch ex As Exception
                                Debug.Print("Error parsing TNX variable: " &amp; tnxVar)
                            End Try</v>
      </c>
      <c r="O106" s="12" t="str">
        <f t="shared" si="16"/>
        <v>If Not IsNothing(Me.settings.USUnits.Strength.convertToERIUnits(.AntennaRedundantDiagonalGageG1Distance4)) Then 'This field does not get saved when generated from CCIpole
                                newERIList.Add("AntennaRedundantDiagonalGageG1Distance4=" &amp; Me.settings.USUnits.Strength.convertToERIUnits(.AntennaRedundantDiagonalGageG1Distance4))
                            End If</v>
      </c>
      <c r="P106" s="11" t="str">
        <f t="shared" si="17"/>
        <v>SQLInsertValues = SQLInsertValues.AddtoDBString(Me.AntennaRedundantDiagonalGageG1Distance4.NullableToString.FormatDBValue)</v>
      </c>
      <c r="Q106" s="11" t="str">
        <f t="shared" si="18"/>
        <v>SQLInsertFields = SQLInsertFields.AddtoDBString("AntennaRedundantDiagonalGageG1Distance4")</v>
      </c>
      <c r="R106" s="11" t="str">
        <f t="shared" si="19"/>
        <v>SQLUpdateFieldsandValues = SQLUpdateFieldsandValues.AddtoDBString("AntennaRedundantDiagonalGageG1Distance4 = " &amp; Me.AntennaRedundantDiagonalGageG1Distance4.NullableToString.FormatDBValue)</v>
      </c>
      <c r="S106" s="10" t="s">
        <v>286</v>
      </c>
    </row>
    <row r="107" spans="1:19" ht="165" x14ac:dyDescent="0.25">
      <c r="A107" s="11" t="s">
        <v>1149</v>
      </c>
      <c r="B107" s="11" t="str" cm="1">
        <f t="array" ref="B107">Addspaces(A107)</f>
        <v>Antenna Redundant Diagonal Net Width Deduct 4</v>
      </c>
      <c r="C107" s="15" t="s">
        <v>1225</v>
      </c>
      <c r="D107" s="13" t="str">
        <f>VLOOKUP(C107,Sheet8!A:C,2,FALSE)</f>
        <v>decimal(18, 6)</v>
      </c>
      <c r="E107" s="15"/>
      <c r="F107" s="13" t="str">
        <f>VLOOKUP(C107,Sheet8!A:C,3,FALSE)</f>
        <v>Double?</v>
      </c>
      <c r="G107" s="15"/>
      <c r="H107" s="11" t="str">
        <f t="shared" si="10"/>
        <v>ADD AntennaRedundantDiagonalNetWidthDeduct4 decimal(18, 6),</v>
      </c>
      <c r="I107" s="11" t="str">
        <f t="shared" si="11"/>
        <v xml:space="preserve">Private _AntennaRedundantDiagonalNetWidthDeduct4 As Double? </v>
      </c>
      <c r="J107" s="12" t="str">
        <f t="shared" si="12"/>
        <v xml:space="preserve">     		&lt;Category("TNX Antenna Record"), Description(""), DisplayName("Antenna Redundant Diagonal Net Width Deduct 4")&gt;
    		&lt;DataMember()&gt; Public Property AntennaRedundantDiagonalNetWidthDeduct4() As Double?
        			Get
            				Return Me._AntennaRedundantDiagonalNetWidthDeduct4
        			End Get
        			Set
            				Me._AntennaRedundantDiagonalNetWidthDeduct4 = Value
        			End Set
    		End Property</v>
      </c>
      <c r="K107" s="11" t="str">
        <f>"Me."&amp;A107&amp; " = " &amp; VLOOKUP(C107,Sheet8!A:D,4,FALSE)&amp;"(recRow.Item("""&amp;A107 &amp;""")" &amp; IF(C107="Number",",6","")&amp;")"</f>
        <v>Me.AntennaRedundantDiagonalNetWidthDeduct4 = DBtoNullableDec(recRow.Item("AntennaRedundantDiagonalNetWidthDeduct4"),6)</v>
      </c>
      <c r="L107" s="11" t="str">
        <f t="shared" si="13"/>
        <v>insertString = insertString.AddtoDBString(Me.AntennaRedundantDiagonalNetWidthDeduct4.ToString)</v>
      </c>
      <c r="M107" s="11" t="str">
        <f t="shared" si="14"/>
        <v>Equals = If(Me.AntennaRedundantDiagonalNetWidthDeduct4.CheckChange(otherToCompare.AntennaRedundantDiagonalNetWidthDeduct4, changes, categoryName, "Antenna Redundant Diagonal Net Width Deduct 4"), Equals, False)</v>
      </c>
      <c r="N107" s="12" t="str">
        <f t="shared" si="15"/>
        <v xml:space="preserve"> 	Case tnxVar.Equals("AntennaRedundantDiagonalNetWidthDeduct4")
                            Try
                                Me.geometry.upperStructure(recIndex).AntennaRedundantDiagonalNetWidthDeduct4 = tnxValue
                            Catch ex As Exception
                                Debug.Print("Error parsing TNX variable: " &amp; tnxVar)
                            End Try</v>
      </c>
      <c r="O107" s="12" t="str">
        <f t="shared" si="16"/>
        <v>If Not IsNothing(Me.settings.USUnits.Strength.convertToERIUnits(.AntennaRedundantDiagonalNetWidthDeduct4)) Then 'This field does not get saved when generated from CCIpole
                                newERIList.Add("AntennaRedundantDiagonalNetWidthDeduct4=" &amp; Me.settings.USUnits.Strength.convertToERIUnits(.AntennaRedundantDiagonalNetWidthDeduct4))
                            End If</v>
      </c>
      <c r="P107" s="11" t="str">
        <f t="shared" si="17"/>
        <v>SQLInsertValues = SQLInsertValues.AddtoDBString(Me.AntennaRedundantDiagonalNetWidthDeduct4.NullableToString.FormatDBValue)</v>
      </c>
      <c r="Q107" s="11" t="str">
        <f t="shared" si="18"/>
        <v>SQLInsertFields = SQLInsertFields.AddtoDBString("AntennaRedundantDiagonalNetWidthDeduct4")</v>
      </c>
      <c r="R107" s="11" t="str">
        <f t="shared" si="19"/>
        <v>SQLUpdateFieldsandValues = SQLUpdateFieldsandValues.AddtoDBString("AntennaRedundantDiagonalNetWidthDeduct4 = " &amp; Me.AntennaRedundantDiagonalNetWidthDeduct4.NullableToString.FormatDBValue)</v>
      </c>
      <c r="S107" s="10" t="s">
        <v>286</v>
      </c>
    </row>
    <row r="108" spans="1:19" ht="150" x14ac:dyDescent="0.25">
      <c r="A108" s="11" t="s">
        <v>1150</v>
      </c>
      <c r="B108" s="11" t="str" cm="1">
        <f t="array" ref="B108">Addspaces(A108)</f>
        <v>Antenna Redundant Diagonal U Factor 4</v>
      </c>
      <c r="C108" s="15" t="s">
        <v>1225</v>
      </c>
      <c r="D108" s="13" t="str">
        <f>VLOOKUP(C108,Sheet8!A:C,2,FALSE)</f>
        <v>decimal(18, 6)</v>
      </c>
      <c r="E108" s="15"/>
      <c r="F108" s="13" t="str">
        <f>VLOOKUP(C108,Sheet8!A:C,3,FALSE)</f>
        <v>Double?</v>
      </c>
      <c r="G108" s="15"/>
      <c r="H108" s="11" t="str">
        <f t="shared" si="10"/>
        <v>ADD AntennaRedundantDiagonalUFactor4 decimal(18, 6),</v>
      </c>
      <c r="I108" s="11" t="str">
        <f t="shared" si="11"/>
        <v xml:space="preserve">Private _AntennaRedundantDiagonalUFactor4 As Double? </v>
      </c>
      <c r="J108" s="12" t="str">
        <f t="shared" si="12"/>
        <v xml:space="preserve">     		&lt;Category("TNX Antenna Record"), Description(""), DisplayName("Antenna Redundant Diagonal U Factor 4")&gt;
    		&lt;DataMember()&gt; Public Property AntennaRedundantDiagonalUFactor4() As Double?
        			Get
            				Return Me._AntennaRedundantDiagonalUFactor4
        			End Get
        			Set
            				Me._AntennaRedundantDiagonalUFactor4 = Value
        			End Set
    		End Property</v>
      </c>
      <c r="K108" s="11" t="str">
        <f>"Me."&amp;A108&amp; " = " &amp; VLOOKUP(C108,Sheet8!A:D,4,FALSE)&amp;"(recRow.Item("""&amp;A108 &amp;""")" &amp; IF(C108="Number",",6","")&amp;")"</f>
        <v>Me.AntennaRedundantDiagonalUFactor4 = DBtoNullableDec(recRow.Item("AntennaRedundantDiagonalUFactor4"),6)</v>
      </c>
      <c r="L108" s="11" t="str">
        <f t="shared" si="13"/>
        <v>insertString = insertString.AddtoDBString(Me.AntennaRedundantDiagonalUFactor4.ToString)</v>
      </c>
      <c r="M108" s="11" t="str">
        <f t="shared" si="14"/>
        <v>Equals = If(Me.AntennaRedundantDiagonalUFactor4.CheckChange(otherToCompare.AntennaRedundantDiagonalUFactor4, changes, categoryName, "Antenna Redundant Diagonal U Factor 4"), Equals, False)</v>
      </c>
      <c r="N108" s="12" t="str">
        <f t="shared" si="15"/>
        <v xml:space="preserve"> 	Case tnxVar.Equals("AntennaRedundantDiagonalUFactor4")
                            Try
                                Me.geometry.upperStructure(recIndex).AntennaRedundantDiagonalUFactor4 = tnxValue
                            Catch ex As Exception
                                Debug.Print("Error parsing TNX variable: " &amp; tnxVar)
                            End Try</v>
      </c>
      <c r="O108" s="12" t="str">
        <f t="shared" si="16"/>
        <v>If Not IsNothing(Me.settings.USUnits.Strength.convertToERIUnits(.AntennaRedundantDiagonalUFactor4)) Then 'This field does not get saved when generated from CCIpole
                                newERIList.Add("AntennaRedundantDiagonalUFactor4=" &amp; Me.settings.USUnits.Strength.convertToERIUnits(.AntennaRedundantDiagonalUFactor4))
                            End If</v>
      </c>
      <c r="P108" s="11" t="str">
        <f t="shared" si="17"/>
        <v>SQLInsertValues = SQLInsertValues.AddtoDBString(Me.AntennaRedundantDiagonalUFactor4.NullableToString.FormatDBValue)</v>
      </c>
      <c r="Q108" s="11" t="str">
        <f t="shared" si="18"/>
        <v>SQLInsertFields = SQLInsertFields.AddtoDBString("AntennaRedundantDiagonalUFactor4")</v>
      </c>
      <c r="R108" s="11" t="str">
        <f t="shared" si="19"/>
        <v>SQLUpdateFieldsandValues = SQLUpdateFieldsandValues.AddtoDBString("AntennaRedundantDiagonalUFactor4 = " &amp; Me.AntennaRedundantDiagonalUFactor4.NullableToString.FormatDBValue)</v>
      </c>
      <c r="S108" s="10" t="s">
        <v>286</v>
      </c>
    </row>
    <row r="109" spans="1:19" ht="150" x14ac:dyDescent="0.25">
      <c r="A109" s="11" t="s">
        <v>1151</v>
      </c>
      <c r="B109" s="11" t="str" cm="1">
        <f t="array" ref="B109">Addspaces(A109)</f>
        <v>Antenna Redundant Hip Bolt Grade 1</v>
      </c>
      <c r="C109" s="15" t="s">
        <v>1224</v>
      </c>
      <c r="D109" s="13" t="str">
        <f>VLOOKUP(C109,Sheet8!A:C,2,FALSE)</f>
        <v>varchar</v>
      </c>
      <c r="E109" s="15">
        <v>100</v>
      </c>
      <c r="F109" s="13" t="str">
        <f>VLOOKUP(C109,Sheet8!A:C,3,FALSE)</f>
        <v>String</v>
      </c>
      <c r="G109" s="15"/>
      <c r="H109" s="11" t="str">
        <f t="shared" si="10"/>
        <v>ADD AntennaRedundantHipBoltGrade1 varchar(100),</v>
      </c>
      <c r="I109" s="11" t="str">
        <f t="shared" si="11"/>
        <v xml:space="preserve">Private _AntennaRedundantHipBoltGrade1 As String </v>
      </c>
      <c r="J109" s="12" t="str">
        <f t="shared" si="12"/>
        <v xml:space="preserve">     		&lt;Category("TNX Antenna Record"), Description(""), DisplayName("Antenna Redundant Hip Bolt Grade 1")&gt;
    		&lt;DataMember()&gt; Public Property AntennaRedundantHipBoltGrade1() As String
        			Get
            				Return Me._AntennaRedundantHipBoltGrade1
        			End Get
        			Set
            				Me._AntennaRedundantHipBoltGrade1 = Value
        			End Set
    		End Property</v>
      </c>
      <c r="K109" s="11" t="str">
        <f>"Me."&amp;A109&amp; " = " &amp; VLOOKUP(C109,Sheet8!A:D,4,FALSE)&amp;"(recRow.Item("""&amp;A109 &amp;""")" &amp; IF(C109="Number",",6","")&amp;")"</f>
        <v>Me.AntennaRedundantHipBoltGrade1 = DBtoStr(recRow.Item("AntennaRedundantHipBoltGrade1"))</v>
      </c>
      <c r="L109" s="11" t="str">
        <f t="shared" si="13"/>
        <v>insertString = insertString.AddtoDBString(Me.AntennaRedundantHipBoltGrade1.ToString)</v>
      </c>
      <c r="M109" s="11" t="str">
        <f t="shared" si="14"/>
        <v>Equals = If(Me.AntennaRedundantHipBoltGrade1.CheckChange(otherToCompare.AntennaRedundantHipBoltGrade1, changes, categoryName, "Antenna Redundant Hip Bolt Grade 1"), Equals, False)</v>
      </c>
      <c r="N109" s="12" t="str">
        <f t="shared" si="15"/>
        <v xml:space="preserve"> 	Case tnxVar.Equals("AntennaRedundantHipBoltGrade1")
                            Try
                                Me.geometry.upperStructure(recIndex).AntennaRedundantHipBoltGrade1 = tnxValue
                            Catch ex As Exception
                                Debug.Print("Error parsing TNX variable: " &amp; tnxVar)
                            End Try</v>
      </c>
      <c r="O109" s="12" t="str">
        <f t="shared" si="16"/>
        <v>If IsSomethingString(.AntennaRedundantHipBoltGrade1) Then 'This field does not get saved when generated from CCIpole
newERIList.Add("AntennaRedundantHipBoltGrade1=" &amp; .AntennaRedundantHipBoltGrade1)
End If</v>
      </c>
      <c r="P109" s="11" t="str">
        <f t="shared" si="17"/>
        <v>SQLInsertValues = SQLInsertValues.AddtoDBString(Me.AntennaRedundantHipBoltGrade1.NullableToString.FormatDBValue)</v>
      </c>
      <c r="Q109" s="11" t="str">
        <f t="shared" si="18"/>
        <v>SQLInsertFields = SQLInsertFields.AddtoDBString("AntennaRedundantHipBoltGrade1")</v>
      </c>
      <c r="R109" s="11" t="str">
        <f t="shared" si="19"/>
        <v>SQLUpdateFieldsandValues = SQLUpdateFieldsandValues.AddtoDBString("AntennaRedundantHipBoltGrade1 = " &amp; Me.AntennaRedundantHipBoltGrade1.NullableToString.FormatDBValue)</v>
      </c>
      <c r="S109" s="10" t="s">
        <v>286</v>
      </c>
    </row>
    <row r="110" spans="1:19" ht="150" x14ac:dyDescent="0.25">
      <c r="A110" s="11" t="s">
        <v>1152</v>
      </c>
      <c r="B110" s="11" t="str" cm="1">
        <f t="array" ref="B110">Addspaces(A110)</f>
        <v>Antenna Redundant Hip Bolt Size 1</v>
      </c>
      <c r="C110" s="15" t="s">
        <v>1225</v>
      </c>
      <c r="D110" s="13" t="str">
        <f>VLOOKUP(C110,Sheet8!A:C,2,FALSE)</f>
        <v>decimal(18, 6)</v>
      </c>
      <c r="E110" s="15"/>
      <c r="F110" s="13" t="str">
        <f>VLOOKUP(C110,Sheet8!A:C,3,FALSE)</f>
        <v>Double?</v>
      </c>
      <c r="G110" s="15"/>
      <c r="H110" s="11" t="str">
        <f t="shared" si="10"/>
        <v>ADD AntennaRedundantHipBoltSize1 decimal(18, 6),</v>
      </c>
      <c r="I110" s="11" t="str">
        <f t="shared" si="11"/>
        <v xml:space="preserve">Private _AntennaRedundantHipBoltSize1 As Double? </v>
      </c>
      <c r="J110" s="12" t="str">
        <f t="shared" si="12"/>
        <v xml:space="preserve">     		&lt;Category("TNX Antenna Record"), Description(""), DisplayName("Antenna Redundant Hip Bolt Size 1")&gt;
    		&lt;DataMember()&gt; Public Property AntennaRedundantHipBoltSize1() As Double?
        			Get
            				Return Me._AntennaRedundantHipBoltSize1
        			End Get
        			Set
            				Me._AntennaRedundantHipBoltSize1 = Value
        			End Set
    		End Property</v>
      </c>
      <c r="K110" s="11" t="str">
        <f>"Me."&amp;A110&amp; " = " &amp; VLOOKUP(C110,Sheet8!A:D,4,FALSE)&amp;"(recRow.Item("""&amp;A110 &amp;""")" &amp; IF(C110="Number",",6","")&amp;")"</f>
        <v>Me.AntennaRedundantHipBoltSize1 = DBtoNullableDec(recRow.Item("AntennaRedundantHipBoltSize1"),6)</v>
      </c>
      <c r="L110" s="11" t="str">
        <f t="shared" si="13"/>
        <v>insertString = insertString.AddtoDBString(Me.AntennaRedundantHipBoltSize1.ToString)</v>
      </c>
      <c r="M110" s="11" t="str">
        <f t="shared" si="14"/>
        <v>Equals = If(Me.AntennaRedundantHipBoltSize1.CheckChange(otherToCompare.AntennaRedundantHipBoltSize1, changes, categoryName, "Antenna Redundant Hip Bolt Size 1"), Equals, False)</v>
      </c>
      <c r="N110" s="12" t="str">
        <f t="shared" si="15"/>
        <v xml:space="preserve"> 	Case tnxVar.Equals("AntennaRedundantHipBoltSize1")
                            Try
                                Me.geometry.upperStructure(recIndex).AntennaRedundantHipBoltSize1 = tnxValue
                            Catch ex As Exception
                                Debug.Print("Error parsing TNX variable: " &amp; tnxVar)
                            End Try</v>
      </c>
      <c r="O110" s="12" t="str">
        <f t="shared" si="16"/>
        <v>If Not IsNothing(Me.settings.USUnits.Strength.convertToERIUnits(.AntennaRedundantHipBoltSize1)) Then 'This field does not get saved when generated from CCIpole
                                newERIList.Add("AntennaRedundantHipBoltSize1=" &amp; Me.settings.USUnits.Strength.convertToERIUnits(.AntennaRedundantHipBoltSize1))
                            End If</v>
      </c>
      <c r="P110" s="11" t="str">
        <f t="shared" si="17"/>
        <v>SQLInsertValues = SQLInsertValues.AddtoDBString(Me.AntennaRedundantHipBoltSize1.NullableToString.FormatDBValue)</v>
      </c>
      <c r="Q110" s="11" t="str">
        <f t="shared" si="18"/>
        <v>SQLInsertFields = SQLInsertFields.AddtoDBString("AntennaRedundantHipBoltSize1")</v>
      </c>
      <c r="R110" s="11" t="str">
        <f t="shared" si="19"/>
        <v>SQLUpdateFieldsandValues = SQLUpdateFieldsandValues.AddtoDBString("AntennaRedundantHipBoltSize1 = " &amp; Me.AntennaRedundantHipBoltSize1.NullableToString.FormatDBValue)</v>
      </c>
      <c r="S110" s="10" t="s">
        <v>286</v>
      </c>
    </row>
    <row r="111" spans="1:19" ht="150" x14ac:dyDescent="0.25">
      <c r="A111" s="11" t="s">
        <v>1153</v>
      </c>
      <c r="B111" s="11" t="str" cm="1">
        <f t="array" ref="B111">Addspaces(A111)</f>
        <v>Antenna Redundant Hip Num Bolts 1</v>
      </c>
      <c r="C111" s="15" t="s">
        <v>1234</v>
      </c>
      <c r="D111" s="13" t="str">
        <f>VLOOKUP(C111,Sheet8!A:C,2,FALSE)</f>
        <v>int</v>
      </c>
      <c r="E111" s="15"/>
      <c r="F111" s="13" t="str">
        <f>VLOOKUP(C111,Sheet8!A:C,3,FALSE)</f>
        <v>Integer?</v>
      </c>
      <c r="G111" s="15"/>
      <c r="H111" s="11" t="str">
        <f t="shared" si="10"/>
        <v>ADD AntennaRedundantHipNumBolts1 int,</v>
      </c>
      <c r="I111" s="11" t="str">
        <f t="shared" si="11"/>
        <v xml:space="preserve">Private _AntennaRedundantHipNumBolts1 As Integer? </v>
      </c>
      <c r="J111" s="12" t="str">
        <f t="shared" si="12"/>
        <v xml:space="preserve">     		&lt;Category("TNX Antenna Record"), Description(""), DisplayName("Antenna Redundant Hip Num Bolts 1")&gt;
    		&lt;DataMember()&gt; Public Property AntennaRedundantHipNumBolts1() As Integer?
        			Get
            				Return Me._AntennaRedundantHipNumBolts1
        			End Get
        			Set
            				Me._AntennaRedundantHipNumBolts1 = Value
        			End Set
    		End Property</v>
      </c>
      <c r="K111" s="11" t="str">
        <f>"Me."&amp;A111&amp; " = " &amp; VLOOKUP(C111,Sheet8!A:D,4,FALSE)&amp;"(recRow.Item("""&amp;A111 &amp;""")" &amp; IF(C111="Number",",6","")&amp;")"</f>
        <v>Me.AntennaRedundantHipNumBolts1 = DBtoNullableInt(recRow.Item("AntennaRedundantHipNumBolts1"))</v>
      </c>
      <c r="L111" s="11" t="str">
        <f t="shared" si="13"/>
        <v>insertString = insertString.AddtoDBString(Me.AntennaRedundantHipNumBolts1.ToString)</v>
      </c>
      <c r="M111" s="11" t="str">
        <f t="shared" si="14"/>
        <v>Equals = If(Me.AntennaRedundantHipNumBolts1.CheckChange(otherToCompare.AntennaRedundantHipNumBolts1, changes, categoryName, "Antenna Redundant Hip Num Bolts 1"), Equals, False)</v>
      </c>
      <c r="N111" s="12" t="str">
        <f t="shared" si="15"/>
        <v xml:space="preserve"> 	Case tnxVar.Equals("AntennaRedundantHipNumBolts1")
                            Try
                                Me.geometry.upperStructure(recIndex).AntennaRedundantHipNumBolts1 = tnxValue
                            Catch ex As Exception
                                Debug.Print("Error parsing TNX variable: " &amp; tnxVar)
                            End Try</v>
      </c>
      <c r="O111" s="12" t="str">
        <f t="shared" si="16"/>
        <v>newERIList.Add("AntennaRedundantHipNumBolts1=" &amp; .AntennaRedundantHipNumBolts1)</v>
      </c>
      <c r="P111" s="11" t="str">
        <f t="shared" si="17"/>
        <v>SQLInsertValues = SQLInsertValues.AddtoDBString(Me.AntennaRedundantHipNumBolts1.NullableToString.FormatDBValue)</v>
      </c>
      <c r="Q111" s="11" t="str">
        <f t="shared" si="18"/>
        <v>SQLInsertFields = SQLInsertFields.AddtoDBString("AntennaRedundantHipNumBolts1")</v>
      </c>
      <c r="R111" s="11" t="str">
        <f t="shared" si="19"/>
        <v>SQLUpdateFieldsandValues = SQLUpdateFieldsandValues.AddtoDBString("AntennaRedundantHipNumBolts1 = " &amp; Me.AntennaRedundantHipNumBolts1.NullableToString.FormatDBValue)</v>
      </c>
      <c r="S111" s="10" t="s">
        <v>286</v>
      </c>
    </row>
    <row r="112" spans="1:19" ht="165" x14ac:dyDescent="0.25">
      <c r="A112" s="11" t="s">
        <v>1154</v>
      </c>
      <c r="B112" s="11" t="str" cm="1">
        <f t="array" ref="B112">Addspaces(A112)</f>
        <v>Antenna Redundant Hip Bolt Edge Distance 1</v>
      </c>
      <c r="C112" s="15" t="s">
        <v>1225</v>
      </c>
      <c r="D112" s="13" t="str">
        <f>VLOOKUP(C112,Sheet8!A:C,2,FALSE)</f>
        <v>decimal(18, 6)</v>
      </c>
      <c r="E112" s="15"/>
      <c r="F112" s="13" t="str">
        <f>VLOOKUP(C112,Sheet8!A:C,3,FALSE)</f>
        <v>Double?</v>
      </c>
      <c r="G112" s="15"/>
      <c r="H112" s="11" t="str">
        <f t="shared" si="10"/>
        <v>ADD AntennaRedundantHipBoltEdgeDistance1 decimal(18, 6),</v>
      </c>
      <c r="I112" s="11" t="str">
        <f t="shared" si="11"/>
        <v xml:space="preserve">Private _AntennaRedundantHipBoltEdgeDistance1 As Double? </v>
      </c>
      <c r="J112" s="12" t="str">
        <f t="shared" si="12"/>
        <v xml:space="preserve">     		&lt;Category("TNX Antenna Record"), Description(""), DisplayName("Antenna Redundant Hip Bolt Edge Distance 1")&gt;
    		&lt;DataMember()&gt; Public Property AntennaRedundantHipBoltEdgeDistance1() As Double?
        			Get
            				Return Me._AntennaRedundantHipBoltEdgeDistance1
        			End Get
        			Set
            				Me._AntennaRedundantHipBoltEdgeDistance1 = Value
        			End Set
    		End Property</v>
      </c>
      <c r="K112" s="11" t="str">
        <f>"Me."&amp;A112&amp; " = " &amp; VLOOKUP(C112,Sheet8!A:D,4,FALSE)&amp;"(recRow.Item("""&amp;A112 &amp;""")" &amp; IF(C112="Number",",6","")&amp;")"</f>
        <v>Me.AntennaRedundantHipBoltEdgeDistance1 = DBtoNullableDec(recRow.Item("AntennaRedundantHipBoltEdgeDistance1"),6)</v>
      </c>
      <c r="L112" s="11" t="str">
        <f t="shared" si="13"/>
        <v>insertString = insertString.AddtoDBString(Me.AntennaRedundantHipBoltEdgeDistance1.ToString)</v>
      </c>
      <c r="M112" s="11" t="str">
        <f t="shared" si="14"/>
        <v>Equals = If(Me.AntennaRedundantHipBoltEdgeDistance1.CheckChange(otherToCompare.AntennaRedundantHipBoltEdgeDistance1, changes, categoryName, "Antenna Redundant Hip Bolt Edge Distance 1"), Equals, False)</v>
      </c>
      <c r="N112" s="12" t="str">
        <f t="shared" si="15"/>
        <v xml:space="preserve"> 	Case tnxVar.Equals("AntennaRedundantHipBoltEdgeDistance1")
                            Try
                                Me.geometry.upperStructure(recIndex).AntennaRedundantHipBoltEdgeDistance1 = tnxValue
                            Catch ex As Exception
                                Debug.Print("Error parsing TNX variable: " &amp; tnxVar)
                            End Try</v>
      </c>
      <c r="O112" s="12" t="str">
        <f t="shared" si="16"/>
        <v>If Not IsNothing(Me.settings.USUnits.Strength.convertToERIUnits(.AntennaRedundantHipBoltEdgeDistance1)) Then 'This field does not get saved when generated from CCIpole
                                newERIList.Add("AntennaRedundantHipBoltEdgeDistance1=" &amp; Me.settings.USUnits.Strength.convertToERIUnits(.AntennaRedundantHipBoltEdgeDistance1))
                            End If</v>
      </c>
      <c r="P112" s="11" t="str">
        <f t="shared" si="17"/>
        <v>SQLInsertValues = SQLInsertValues.AddtoDBString(Me.AntennaRedundantHipBoltEdgeDistance1.NullableToString.FormatDBValue)</v>
      </c>
      <c r="Q112" s="11" t="str">
        <f t="shared" si="18"/>
        <v>SQLInsertFields = SQLInsertFields.AddtoDBString("AntennaRedundantHipBoltEdgeDistance1")</v>
      </c>
      <c r="R112" s="11" t="str">
        <f t="shared" si="19"/>
        <v>SQLUpdateFieldsandValues = SQLUpdateFieldsandValues.AddtoDBString("AntennaRedundantHipBoltEdgeDistance1 = " &amp; Me.AntennaRedundantHipBoltEdgeDistance1.NullableToString.FormatDBValue)</v>
      </c>
      <c r="S112" s="10" t="s">
        <v>286</v>
      </c>
    </row>
    <row r="113" spans="1:19" ht="150" x14ac:dyDescent="0.25">
      <c r="A113" s="11" t="s">
        <v>1155</v>
      </c>
      <c r="B113" s="11" t="str" cm="1">
        <f t="array" ref="B113">Addspaces(A113)</f>
        <v>Antenna Redundant Hip Gage G 1 Distance 1</v>
      </c>
      <c r="C113" s="15" t="s">
        <v>1225</v>
      </c>
      <c r="D113" s="13" t="str">
        <f>VLOOKUP(C113,Sheet8!A:C,2,FALSE)</f>
        <v>decimal(18, 6)</v>
      </c>
      <c r="E113" s="15"/>
      <c r="F113" s="13" t="str">
        <f>VLOOKUP(C113,Sheet8!A:C,3,FALSE)</f>
        <v>Double?</v>
      </c>
      <c r="G113" s="15"/>
      <c r="H113" s="11" t="str">
        <f t="shared" si="10"/>
        <v>ADD AntennaRedundantHipGageG1Distance1 decimal(18, 6),</v>
      </c>
      <c r="I113" s="11" t="str">
        <f t="shared" si="11"/>
        <v xml:space="preserve">Private _AntennaRedundantHipGageG1Distance1 As Double? </v>
      </c>
      <c r="J113" s="12" t="str">
        <f t="shared" si="12"/>
        <v xml:space="preserve">     		&lt;Category("TNX Antenna Record"), Description(""), DisplayName("Antenna Redundant Hip Gage G 1 Distance 1")&gt;
    		&lt;DataMember()&gt; Public Property AntennaRedundantHipGageG1Distance1() As Double?
        			Get
            				Return Me._AntennaRedundantHipGageG1Distance1
        			End Get
        			Set
            				Me._AntennaRedundantHipGageG1Distance1 = Value
        			End Set
    		End Property</v>
      </c>
      <c r="K113" s="11" t="str">
        <f>"Me."&amp;A113&amp; " = " &amp; VLOOKUP(C113,Sheet8!A:D,4,FALSE)&amp;"(recRow.Item("""&amp;A113 &amp;""")" &amp; IF(C113="Number",",6","")&amp;")"</f>
        <v>Me.AntennaRedundantHipGageG1Distance1 = DBtoNullableDec(recRow.Item("AntennaRedundantHipGageG1Distance1"),6)</v>
      </c>
      <c r="L113" s="11" t="str">
        <f t="shared" si="13"/>
        <v>insertString = insertString.AddtoDBString(Me.AntennaRedundantHipGageG1Distance1.ToString)</v>
      </c>
      <c r="M113" s="11" t="str">
        <f t="shared" si="14"/>
        <v>Equals = If(Me.AntennaRedundantHipGageG1Distance1.CheckChange(otherToCompare.AntennaRedundantHipGageG1Distance1, changes, categoryName, "Antenna Redundant Hip Gage G 1 Distance 1"), Equals, False)</v>
      </c>
      <c r="N113" s="12" t="str">
        <f t="shared" si="15"/>
        <v xml:space="preserve"> 	Case tnxVar.Equals("AntennaRedundantHipGageG1Distance1")
                            Try
                                Me.geometry.upperStructure(recIndex).AntennaRedundantHipGageG1Distance1 = tnxValue
                            Catch ex As Exception
                                Debug.Print("Error parsing TNX variable: " &amp; tnxVar)
                            End Try</v>
      </c>
      <c r="O113" s="12" t="str">
        <f t="shared" si="16"/>
        <v>If Not IsNothing(Me.settings.USUnits.Strength.convertToERIUnits(.AntennaRedundantHipGageG1Distance1)) Then 'This field does not get saved when generated from CCIpole
                                newERIList.Add("AntennaRedundantHipGageG1Distance1=" &amp; Me.settings.USUnits.Strength.convertToERIUnits(.AntennaRedundantHipGageG1Distance1))
                            End If</v>
      </c>
      <c r="P113" s="11" t="str">
        <f t="shared" si="17"/>
        <v>SQLInsertValues = SQLInsertValues.AddtoDBString(Me.AntennaRedundantHipGageG1Distance1.NullableToString.FormatDBValue)</v>
      </c>
      <c r="Q113" s="11" t="str">
        <f t="shared" si="18"/>
        <v>SQLInsertFields = SQLInsertFields.AddtoDBString("AntennaRedundantHipGageG1Distance1")</v>
      </c>
      <c r="R113" s="11" t="str">
        <f t="shared" si="19"/>
        <v>SQLUpdateFieldsandValues = SQLUpdateFieldsandValues.AddtoDBString("AntennaRedundantHipGageG1Distance1 = " &amp; Me.AntennaRedundantHipGageG1Distance1.NullableToString.FormatDBValue)</v>
      </c>
      <c r="S113" s="10" t="s">
        <v>286</v>
      </c>
    </row>
    <row r="114" spans="1:19" ht="165" x14ac:dyDescent="0.25">
      <c r="A114" s="11" t="s">
        <v>1156</v>
      </c>
      <c r="B114" s="11" t="str" cm="1">
        <f t="array" ref="B114">Addspaces(A114)</f>
        <v>Antenna Redundant Hip Net Width Deduct 1</v>
      </c>
      <c r="C114" s="15" t="s">
        <v>1225</v>
      </c>
      <c r="D114" s="13" t="str">
        <f>VLOOKUP(C114,Sheet8!A:C,2,FALSE)</f>
        <v>decimal(18, 6)</v>
      </c>
      <c r="E114" s="15"/>
      <c r="F114" s="13" t="str">
        <f>VLOOKUP(C114,Sheet8!A:C,3,FALSE)</f>
        <v>Double?</v>
      </c>
      <c r="G114" s="15"/>
      <c r="H114" s="11" t="str">
        <f t="shared" si="10"/>
        <v>ADD AntennaRedundantHipNetWidthDeduct1 decimal(18, 6),</v>
      </c>
      <c r="I114" s="11" t="str">
        <f t="shared" si="11"/>
        <v xml:space="preserve">Private _AntennaRedundantHipNetWidthDeduct1 As Double? </v>
      </c>
      <c r="J114" s="12" t="str">
        <f t="shared" si="12"/>
        <v xml:space="preserve">     		&lt;Category("TNX Antenna Record"), Description(""), DisplayName("Antenna Redundant Hip Net Width Deduct 1")&gt;
    		&lt;DataMember()&gt; Public Property AntennaRedundantHipNetWidthDeduct1() As Double?
        			Get
            				Return Me._AntennaRedundantHipNetWidthDeduct1
        			End Get
        			Set
            				Me._AntennaRedundantHipNetWidthDeduct1 = Value
        			End Set
    		End Property</v>
      </c>
      <c r="K114" s="11" t="str">
        <f>"Me."&amp;A114&amp; " = " &amp; VLOOKUP(C114,Sheet8!A:D,4,FALSE)&amp;"(recRow.Item("""&amp;A114 &amp;""")" &amp; IF(C114="Number",",6","")&amp;")"</f>
        <v>Me.AntennaRedundantHipNetWidthDeduct1 = DBtoNullableDec(recRow.Item("AntennaRedundantHipNetWidthDeduct1"),6)</v>
      </c>
      <c r="L114" s="11" t="str">
        <f t="shared" si="13"/>
        <v>insertString = insertString.AddtoDBString(Me.AntennaRedundantHipNetWidthDeduct1.ToString)</v>
      </c>
      <c r="M114" s="11" t="str">
        <f t="shared" si="14"/>
        <v>Equals = If(Me.AntennaRedundantHipNetWidthDeduct1.CheckChange(otherToCompare.AntennaRedundantHipNetWidthDeduct1, changes, categoryName, "Antenna Redundant Hip Net Width Deduct 1"), Equals, False)</v>
      </c>
      <c r="N114" s="12" t="str">
        <f t="shared" si="15"/>
        <v xml:space="preserve"> 	Case tnxVar.Equals("AntennaRedundantHipNetWidthDeduct1")
                            Try
                                Me.geometry.upperStructure(recIndex).AntennaRedundantHipNetWidthDeduct1 = tnxValue
                            Catch ex As Exception
                                Debug.Print("Error parsing TNX variable: " &amp; tnxVar)
                            End Try</v>
      </c>
      <c r="O114" s="12" t="str">
        <f t="shared" si="16"/>
        <v>If Not IsNothing(Me.settings.USUnits.Strength.convertToERIUnits(.AntennaRedundantHipNetWidthDeduct1)) Then 'This field does not get saved when generated from CCIpole
                                newERIList.Add("AntennaRedundantHipNetWidthDeduct1=" &amp; Me.settings.USUnits.Strength.convertToERIUnits(.AntennaRedundantHipNetWidthDeduct1))
                            End If</v>
      </c>
      <c r="P114" s="11" t="str">
        <f t="shared" si="17"/>
        <v>SQLInsertValues = SQLInsertValues.AddtoDBString(Me.AntennaRedundantHipNetWidthDeduct1.NullableToString.FormatDBValue)</v>
      </c>
      <c r="Q114" s="11" t="str">
        <f t="shared" si="18"/>
        <v>SQLInsertFields = SQLInsertFields.AddtoDBString("AntennaRedundantHipNetWidthDeduct1")</v>
      </c>
      <c r="R114" s="11" t="str">
        <f t="shared" si="19"/>
        <v>SQLUpdateFieldsandValues = SQLUpdateFieldsandValues.AddtoDBString("AntennaRedundantHipNetWidthDeduct1 = " &amp; Me.AntennaRedundantHipNetWidthDeduct1.NullableToString.FormatDBValue)</v>
      </c>
      <c r="S114" s="10" t="s">
        <v>286</v>
      </c>
    </row>
    <row r="115" spans="1:19" ht="150" x14ac:dyDescent="0.25">
      <c r="A115" s="11" t="s">
        <v>1157</v>
      </c>
      <c r="B115" s="11" t="str" cm="1">
        <f t="array" ref="B115">Addspaces(A115)</f>
        <v>Antenna Redundant Hip U Factor 1</v>
      </c>
      <c r="C115" s="15" t="s">
        <v>1225</v>
      </c>
      <c r="D115" s="13" t="str">
        <f>VLOOKUP(C115,Sheet8!A:C,2,FALSE)</f>
        <v>decimal(18, 6)</v>
      </c>
      <c r="E115" s="15"/>
      <c r="F115" s="13" t="str">
        <f>VLOOKUP(C115,Sheet8!A:C,3,FALSE)</f>
        <v>Double?</v>
      </c>
      <c r="G115" s="15"/>
      <c r="H115" s="11" t="str">
        <f t="shared" si="10"/>
        <v>ADD AntennaRedundantHipUFactor1 decimal(18, 6),</v>
      </c>
      <c r="I115" s="11" t="str">
        <f t="shared" si="11"/>
        <v xml:space="preserve">Private _AntennaRedundantHipUFactor1 As Double? </v>
      </c>
      <c r="J115" s="12" t="str">
        <f t="shared" si="12"/>
        <v xml:space="preserve">     		&lt;Category("TNX Antenna Record"), Description(""), DisplayName("Antenna Redundant Hip U Factor 1")&gt;
    		&lt;DataMember()&gt; Public Property AntennaRedundantHipUFactor1() As Double?
        			Get
            				Return Me._AntennaRedundantHipUFactor1
        			End Get
        			Set
            				Me._AntennaRedundantHipUFactor1 = Value
        			End Set
    		End Property</v>
      </c>
      <c r="K115" s="11" t="str">
        <f>"Me."&amp;A115&amp; " = " &amp; VLOOKUP(C115,Sheet8!A:D,4,FALSE)&amp;"(recRow.Item("""&amp;A115 &amp;""")" &amp; IF(C115="Number",",6","")&amp;")"</f>
        <v>Me.AntennaRedundantHipUFactor1 = DBtoNullableDec(recRow.Item("AntennaRedundantHipUFactor1"),6)</v>
      </c>
      <c r="L115" s="11" t="str">
        <f t="shared" si="13"/>
        <v>insertString = insertString.AddtoDBString(Me.AntennaRedundantHipUFactor1.ToString)</v>
      </c>
      <c r="M115" s="11" t="str">
        <f t="shared" si="14"/>
        <v>Equals = If(Me.AntennaRedundantHipUFactor1.CheckChange(otherToCompare.AntennaRedundantHipUFactor1, changes, categoryName, "Antenna Redundant Hip U Factor 1"), Equals, False)</v>
      </c>
      <c r="N115" s="12" t="str">
        <f t="shared" si="15"/>
        <v xml:space="preserve"> 	Case tnxVar.Equals("AntennaRedundantHipUFactor1")
                            Try
                                Me.geometry.upperStructure(recIndex).AntennaRedundantHipUFactor1 = tnxValue
                            Catch ex As Exception
                                Debug.Print("Error parsing TNX variable: " &amp; tnxVar)
                            End Try</v>
      </c>
      <c r="O115" s="12" t="str">
        <f t="shared" si="16"/>
        <v>If Not IsNothing(Me.settings.USUnits.Strength.convertToERIUnits(.AntennaRedundantHipUFactor1)) Then 'This field does not get saved when generated from CCIpole
                                newERIList.Add("AntennaRedundantHipUFactor1=" &amp; Me.settings.USUnits.Strength.convertToERIUnits(.AntennaRedundantHipUFactor1))
                            End If</v>
      </c>
      <c r="P115" s="11" t="str">
        <f t="shared" si="17"/>
        <v>SQLInsertValues = SQLInsertValues.AddtoDBString(Me.AntennaRedundantHipUFactor1.NullableToString.FormatDBValue)</v>
      </c>
      <c r="Q115" s="11" t="str">
        <f t="shared" si="18"/>
        <v>SQLInsertFields = SQLInsertFields.AddtoDBString("AntennaRedundantHipUFactor1")</v>
      </c>
      <c r="R115" s="11" t="str">
        <f t="shared" si="19"/>
        <v>SQLUpdateFieldsandValues = SQLUpdateFieldsandValues.AddtoDBString("AntennaRedundantHipUFactor1 = " &amp; Me.AntennaRedundantHipUFactor1.NullableToString.FormatDBValue)</v>
      </c>
      <c r="S115" s="10" t="s">
        <v>286</v>
      </c>
    </row>
    <row r="116" spans="1:19" ht="150" x14ac:dyDescent="0.25">
      <c r="A116" s="11" t="s">
        <v>1158</v>
      </c>
      <c r="B116" s="11" t="str" cm="1">
        <f t="array" ref="B116">Addspaces(A116)</f>
        <v>Antenna Redundant Hip Bolt Grade 2</v>
      </c>
      <c r="C116" s="15" t="s">
        <v>1224</v>
      </c>
      <c r="D116" s="13" t="str">
        <f>VLOOKUP(C116,Sheet8!A:C,2,FALSE)</f>
        <v>varchar</v>
      </c>
      <c r="E116" s="15">
        <v>100</v>
      </c>
      <c r="F116" s="13" t="str">
        <f>VLOOKUP(C116,Sheet8!A:C,3,FALSE)</f>
        <v>String</v>
      </c>
      <c r="G116" s="15"/>
      <c r="H116" s="11" t="str">
        <f t="shared" si="10"/>
        <v>ADD AntennaRedundantHipBoltGrade2 varchar(100),</v>
      </c>
      <c r="I116" s="11" t="str">
        <f t="shared" si="11"/>
        <v xml:space="preserve">Private _AntennaRedundantHipBoltGrade2 As String </v>
      </c>
      <c r="J116" s="12" t="str">
        <f t="shared" si="12"/>
        <v xml:space="preserve">     		&lt;Category("TNX Antenna Record"), Description(""), DisplayName("Antenna Redundant Hip Bolt Grade 2")&gt;
    		&lt;DataMember()&gt; Public Property AntennaRedundantHipBoltGrade2() As String
        			Get
            				Return Me._AntennaRedundantHipBoltGrade2
        			End Get
        			Set
            				Me._AntennaRedundantHipBoltGrade2 = Value
        			End Set
    		End Property</v>
      </c>
      <c r="K116" s="11" t="str">
        <f>"Me."&amp;A116&amp; " = " &amp; VLOOKUP(C116,Sheet8!A:D,4,FALSE)&amp;"(recRow.Item("""&amp;A116 &amp;""")" &amp; IF(C116="Number",",6","")&amp;")"</f>
        <v>Me.AntennaRedundantHipBoltGrade2 = DBtoStr(recRow.Item("AntennaRedundantHipBoltGrade2"))</v>
      </c>
      <c r="L116" s="11" t="str">
        <f t="shared" si="13"/>
        <v>insertString = insertString.AddtoDBString(Me.AntennaRedundantHipBoltGrade2.ToString)</v>
      </c>
      <c r="M116" s="11" t="str">
        <f t="shared" si="14"/>
        <v>Equals = If(Me.AntennaRedundantHipBoltGrade2.CheckChange(otherToCompare.AntennaRedundantHipBoltGrade2, changes, categoryName, "Antenna Redundant Hip Bolt Grade 2"), Equals, False)</v>
      </c>
      <c r="N116" s="12" t="str">
        <f t="shared" si="15"/>
        <v xml:space="preserve"> 	Case tnxVar.Equals("AntennaRedundantHipBoltGrade2")
                            Try
                                Me.geometry.upperStructure(recIndex).AntennaRedundantHipBoltGrade2 = tnxValue
                            Catch ex As Exception
                                Debug.Print("Error parsing TNX variable: " &amp; tnxVar)
                            End Try</v>
      </c>
      <c r="O116" s="12" t="str">
        <f t="shared" si="16"/>
        <v>If IsSomethingString(.AntennaRedundantHipBoltGrade2) Then 'This field does not get saved when generated from CCIpole
newERIList.Add("AntennaRedundantHipBoltGrade2=" &amp; .AntennaRedundantHipBoltGrade2)
End If</v>
      </c>
      <c r="P116" s="11" t="str">
        <f t="shared" si="17"/>
        <v>SQLInsertValues = SQLInsertValues.AddtoDBString(Me.AntennaRedundantHipBoltGrade2.NullableToString.FormatDBValue)</v>
      </c>
      <c r="Q116" s="11" t="str">
        <f t="shared" si="18"/>
        <v>SQLInsertFields = SQLInsertFields.AddtoDBString("AntennaRedundantHipBoltGrade2")</v>
      </c>
      <c r="R116" s="11" t="str">
        <f t="shared" si="19"/>
        <v>SQLUpdateFieldsandValues = SQLUpdateFieldsandValues.AddtoDBString("AntennaRedundantHipBoltGrade2 = " &amp; Me.AntennaRedundantHipBoltGrade2.NullableToString.FormatDBValue)</v>
      </c>
      <c r="S116" s="10" t="s">
        <v>286</v>
      </c>
    </row>
    <row r="117" spans="1:19" ht="150" x14ac:dyDescent="0.25">
      <c r="A117" s="11" t="s">
        <v>1159</v>
      </c>
      <c r="B117" s="11" t="str" cm="1">
        <f t="array" ref="B117">Addspaces(A117)</f>
        <v>Antenna Redundant Hip Bolt Size 2</v>
      </c>
      <c r="C117" s="15" t="s">
        <v>1225</v>
      </c>
      <c r="D117" s="13" t="str">
        <f>VLOOKUP(C117,Sheet8!A:C,2,FALSE)</f>
        <v>decimal(18, 6)</v>
      </c>
      <c r="E117" s="15"/>
      <c r="F117" s="13" t="str">
        <f>VLOOKUP(C117,Sheet8!A:C,3,FALSE)</f>
        <v>Double?</v>
      </c>
      <c r="G117" s="15"/>
      <c r="H117" s="11" t="str">
        <f t="shared" si="10"/>
        <v>ADD AntennaRedundantHipBoltSize2 decimal(18, 6),</v>
      </c>
      <c r="I117" s="11" t="str">
        <f t="shared" si="11"/>
        <v xml:space="preserve">Private _AntennaRedundantHipBoltSize2 As Double? </v>
      </c>
      <c r="J117" s="12" t="str">
        <f t="shared" si="12"/>
        <v xml:space="preserve">     		&lt;Category("TNX Antenna Record"), Description(""), DisplayName("Antenna Redundant Hip Bolt Size 2")&gt;
    		&lt;DataMember()&gt; Public Property AntennaRedundantHipBoltSize2() As Double?
        			Get
            				Return Me._AntennaRedundantHipBoltSize2
        			End Get
        			Set
            				Me._AntennaRedundantHipBoltSize2 = Value
        			End Set
    		End Property</v>
      </c>
      <c r="K117" s="11" t="str">
        <f>"Me."&amp;A117&amp; " = " &amp; VLOOKUP(C117,Sheet8!A:D,4,FALSE)&amp;"(recRow.Item("""&amp;A117 &amp;""")" &amp; IF(C117="Number",",6","")&amp;")"</f>
        <v>Me.AntennaRedundantHipBoltSize2 = DBtoNullableDec(recRow.Item("AntennaRedundantHipBoltSize2"),6)</v>
      </c>
      <c r="L117" s="11" t="str">
        <f t="shared" si="13"/>
        <v>insertString = insertString.AddtoDBString(Me.AntennaRedundantHipBoltSize2.ToString)</v>
      </c>
      <c r="M117" s="11" t="str">
        <f t="shared" si="14"/>
        <v>Equals = If(Me.AntennaRedundantHipBoltSize2.CheckChange(otherToCompare.AntennaRedundantHipBoltSize2, changes, categoryName, "Antenna Redundant Hip Bolt Size 2"), Equals, False)</v>
      </c>
      <c r="N117" s="12" t="str">
        <f t="shared" si="15"/>
        <v xml:space="preserve"> 	Case tnxVar.Equals("AntennaRedundantHipBoltSize2")
                            Try
                                Me.geometry.upperStructure(recIndex).AntennaRedundantHipBoltSize2 = tnxValue
                            Catch ex As Exception
                                Debug.Print("Error parsing TNX variable: " &amp; tnxVar)
                            End Try</v>
      </c>
      <c r="O117" s="12" t="str">
        <f t="shared" si="16"/>
        <v>If Not IsNothing(Me.settings.USUnits.Strength.convertToERIUnits(.AntennaRedundantHipBoltSize2)) Then 'This field does not get saved when generated from CCIpole
                                newERIList.Add("AntennaRedundantHipBoltSize2=" &amp; Me.settings.USUnits.Strength.convertToERIUnits(.AntennaRedundantHipBoltSize2))
                            End If</v>
      </c>
      <c r="P117" s="11" t="str">
        <f t="shared" si="17"/>
        <v>SQLInsertValues = SQLInsertValues.AddtoDBString(Me.AntennaRedundantHipBoltSize2.NullableToString.FormatDBValue)</v>
      </c>
      <c r="Q117" s="11" t="str">
        <f t="shared" si="18"/>
        <v>SQLInsertFields = SQLInsertFields.AddtoDBString("AntennaRedundantHipBoltSize2")</v>
      </c>
      <c r="R117" s="11" t="str">
        <f t="shared" si="19"/>
        <v>SQLUpdateFieldsandValues = SQLUpdateFieldsandValues.AddtoDBString("AntennaRedundantHipBoltSize2 = " &amp; Me.AntennaRedundantHipBoltSize2.NullableToString.FormatDBValue)</v>
      </c>
      <c r="S117" s="10" t="s">
        <v>286</v>
      </c>
    </row>
    <row r="118" spans="1:19" ht="150" x14ac:dyDescent="0.25">
      <c r="A118" s="11" t="s">
        <v>1160</v>
      </c>
      <c r="B118" s="11" t="str" cm="1">
        <f t="array" ref="B118">Addspaces(A118)</f>
        <v>Antenna Redundant Hip Num Bolts 2</v>
      </c>
      <c r="C118" s="15" t="s">
        <v>1234</v>
      </c>
      <c r="D118" s="13" t="str">
        <f>VLOOKUP(C118,Sheet8!A:C,2,FALSE)</f>
        <v>int</v>
      </c>
      <c r="E118" s="15"/>
      <c r="F118" s="13" t="str">
        <f>VLOOKUP(C118,Sheet8!A:C,3,FALSE)</f>
        <v>Integer?</v>
      </c>
      <c r="G118" s="15"/>
      <c r="H118" s="11" t="str">
        <f t="shared" si="10"/>
        <v>ADD AntennaRedundantHipNumBolts2 int,</v>
      </c>
      <c r="I118" s="11" t="str">
        <f t="shared" si="11"/>
        <v xml:space="preserve">Private _AntennaRedundantHipNumBolts2 As Integer? </v>
      </c>
      <c r="J118" s="12" t="str">
        <f t="shared" si="12"/>
        <v xml:space="preserve">     		&lt;Category("TNX Antenna Record"), Description(""), DisplayName("Antenna Redundant Hip Num Bolts 2")&gt;
    		&lt;DataMember()&gt; Public Property AntennaRedundantHipNumBolts2() As Integer?
        			Get
            				Return Me._AntennaRedundantHipNumBolts2
        			End Get
        			Set
            				Me._AntennaRedundantHipNumBolts2 = Value
        			End Set
    		End Property</v>
      </c>
      <c r="K118" s="11" t="str">
        <f>"Me."&amp;A118&amp; " = " &amp; VLOOKUP(C118,Sheet8!A:D,4,FALSE)&amp;"(recRow.Item("""&amp;A118 &amp;""")" &amp; IF(C118="Number",",6","")&amp;")"</f>
        <v>Me.AntennaRedundantHipNumBolts2 = DBtoNullableInt(recRow.Item("AntennaRedundantHipNumBolts2"))</v>
      </c>
      <c r="L118" s="11" t="str">
        <f t="shared" si="13"/>
        <v>insertString = insertString.AddtoDBString(Me.AntennaRedundantHipNumBolts2.ToString)</v>
      </c>
      <c r="M118" s="11" t="str">
        <f t="shared" si="14"/>
        <v>Equals = If(Me.AntennaRedundantHipNumBolts2.CheckChange(otherToCompare.AntennaRedundantHipNumBolts2, changes, categoryName, "Antenna Redundant Hip Num Bolts 2"), Equals, False)</v>
      </c>
      <c r="N118" s="12" t="str">
        <f t="shared" si="15"/>
        <v xml:space="preserve"> 	Case tnxVar.Equals("AntennaRedundantHipNumBolts2")
                            Try
                                Me.geometry.upperStructure(recIndex).AntennaRedundantHipNumBolts2 = tnxValue
                            Catch ex As Exception
                                Debug.Print("Error parsing TNX variable: " &amp; tnxVar)
                            End Try</v>
      </c>
      <c r="O118" s="12" t="str">
        <f t="shared" si="16"/>
        <v>newERIList.Add("AntennaRedundantHipNumBolts2=" &amp; .AntennaRedundantHipNumBolts2)</v>
      </c>
      <c r="P118" s="11" t="str">
        <f t="shared" si="17"/>
        <v>SQLInsertValues = SQLInsertValues.AddtoDBString(Me.AntennaRedundantHipNumBolts2.NullableToString.FormatDBValue)</v>
      </c>
      <c r="Q118" s="11" t="str">
        <f t="shared" si="18"/>
        <v>SQLInsertFields = SQLInsertFields.AddtoDBString("AntennaRedundantHipNumBolts2")</v>
      </c>
      <c r="R118" s="11" t="str">
        <f t="shared" si="19"/>
        <v>SQLUpdateFieldsandValues = SQLUpdateFieldsandValues.AddtoDBString("AntennaRedundantHipNumBolts2 = " &amp; Me.AntennaRedundantHipNumBolts2.NullableToString.FormatDBValue)</v>
      </c>
      <c r="S118" s="10" t="s">
        <v>286</v>
      </c>
    </row>
    <row r="119" spans="1:19" ht="165" x14ac:dyDescent="0.25">
      <c r="A119" s="11" t="s">
        <v>1161</v>
      </c>
      <c r="B119" s="11" t="str" cm="1">
        <f t="array" ref="B119">Addspaces(A119)</f>
        <v>Antenna Redundant Hip Bolt Edge Distance 2</v>
      </c>
      <c r="C119" s="15" t="s">
        <v>1225</v>
      </c>
      <c r="D119" s="13" t="str">
        <f>VLOOKUP(C119,Sheet8!A:C,2,FALSE)</f>
        <v>decimal(18, 6)</v>
      </c>
      <c r="E119" s="15"/>
      <c r="F119" s="13" t="str">
        <f>VLOOKUP(C119,Sheet8!A:C,3,FALSE)</f>
        <v>Double?</v>
      </c>
      <c r="G119" s="15"/>
      <c r="H119" s="11" t="str">
        <f t="shared" si="10"/>
        <v>ADD AntennaRedundantHipBoltEdgeDistance2 decimal(18, 6),</v>
      </c>
      <c r="I119" s="11" t="str">
        <f t="shared" si="11"/>
        <v xml:space="preserve">Private _AntennaRedundantHipBoltEdgeDistance2 As Double? </v>
      </c>
      <c r="J119" s="12" t="str">
        <f t="shared" si="12"/>
        <v xml:space="preserve">     		&lt;Category("TNX Antenna Record"), Description(""), DisplayName("Antenna Redundant Hip Bolt Edge Distance 2")&gt;
    		&lt;DataMember()&gt; Public Property AntennaRedundantHipBoltEdgeDistance2() As Double?
        			Get
            				Return Me._AntennaRedundantHipBoltEdgeDistance2
        			End Get
        			Set
            				Me._AntennaRedundantHipBoltEdgeDistance2 = Value
        			End Set
    		End Property</v>
      </c>
      <c r="K119" s="11" t="str">
        <f>"Me."&amp;A119&amp; " = " &amp; VLOOKUP(C119,Sheet8!A:D,4,FALSE)&amp;"(recRow.Item("""&amp;A119 &amp;""")" &amp; IF(C119="Number",",6","")&amp;")"</f>
        <v>Me.AntennaRedundantHipBoltEdgeDistance2 = DBtoNullableDec(recRow.Item("AntennaRedundantHipBoltEdgeDistance2"),6)</v>
      </c>
      <c r="L119" s="11" t="str">
        <f t="shared" si="13"/>
        <v>insertString = insertString.AddtoDBString(Me.AntennaRedundantHipBoltEdgeDistance2.ToString)</v>
      </c>
      <c r="M119" s="11" t="str">
        <f t="shared" si="14"/>
        <v>Equals = If(Me.AntennaRedundantHipBoltEdgeDistance2.CheckChange(otherToCompare.AntennaRedundantHipBoltEdgeDistance2, changes, categoryName, "Antenna Redundant Hip Bolt Edge Distance 2"), Equals, False)</v>
      </c>
      <c r="N119" s="12" t="str">
        <f t="shared" si="15"/>
        <v xml:space="preserve"> 	Case tnxVar.Equals("AntennaRedundantHipBoltEdgeDistance2")
                            Try
                                Me.geometry.upperStructure(recIndex).AntennaRedundantHipBoltEdgeDistance2 = tnxValue
                            Catch ex As Exception
                                Debug.Print("Error parsing TNX variable: " &amp; tnxVar)
                            End Try</v>
      </c>
      <c r="O119" s="12" t="str">
        <f t="shared" si="16"/>
        <v>If Not IsNothing(Me.settings.USUnits.Strength.convertToERIUnits(.AntennaRedundantHipBoltEdgeDistance2)) Then 'This field does not get saved when generated from CCIpole
                                newERIList.Add("AntennaRedundantHipBoltEdgeDistance2=" &amp; Me.settings.USUnits.Strength.convertToERIUnits(.AntennaRedundantHipBoltEdgeDistance2))
                            End If</v>
      </c>
      <c r="P119" s="11" t="str">
        <f t="shared" si="17"/>
        <v>SQLInsertValues = SQLInsertValues.AddtoDBString(Me.AntennaRedundantHipBoltEdgeDistance2.NullableToString.FormatDBValue)</v>
      </c>
      <c r="Q119" s="11" t="str">
        <f t="shared" si="18"/>
        <v>SQLInsertFields = SQLInsertFields.AddtoDBString("AntennaRedundantHipBoltEdgeDistance2")</v>
      </c>
      <c r="R119" s="11" t="str">
        <f t="shared" si="19"/>
        <v>SQLUpdateFieldsandValues = SQLUpdateFieldsandValues.AddtoDBString("AntennaRedundantHipBoltEdgeDistance2 = " &amp; Me.AntennaRedundantHipBoltEdgeDistance2.NullableToString.FormatDBValue)</v>
      </c>
      <c r="S119" s="10" t="s">
        <v>286</v>
      </c>
    </row>
    <row r="120" spans="1:19" ht="150" x14ac:dyDescent="0.25">
      <c r="A120" s="11" t="s">
        <v>1162</v>
      </c>
      <c r="B120" s="11" t="str" cm="1">
        <f t="array" ref="B120">Addspaces(A120)</f>
        <v>Antenna Redundant Hip Gage G 1 Distance 2</v>
      </c>
      <c r="C120" s="15" t="s">
        <v>1225</v>
      </c>
      <c r="D120" s="13" t="str">
        <f>VLOOKUP(C120,Sheet8!A:C,2,FALSE)</f>
        <v>decimal(18, 6)</v>
      </c>
      <c r="E120" s="15"/>
      <c r="F120" s="13" t="str">
        <f>VLOOKUP(C120,Sheet8!A:C,3,FALSE)</f>
        <v>Double?</v>
      </c>
      <c r="G120" s="15"/>
      <c r="H120" s="11" t="str">
        <f t="shared" si="10"/>
        <v>ADD AntennaRedundantHipGageG1Distance2 decimal(18, 6),</v>
      </c>
      <c r="I120" s="11" t="str">
        <f t="shared" si="11"/>
        <v xml:space="preserve">Private _AntennaRedundantHipGageG1Distance2 As Double? </v>
      </c>
      <c r="J120" s="12" t="str">
        <f t="shared" si="12"/>
        <v xml:space="preserve">     		&lt;Category("TNX Antenna Record"), Description(""), DisplayName("Antenna Redundant Hip Gage G 1 Distance 2")&gt;
    		&lt;DataMember()&gt; Public Property AntennaRedundantHipGageG1Distance2() As Double?
        			Get
            				Return Me._AntennaRedundantHipGageG1Distance2
        			End Get
        			Set
            				Me._AntennaRedundantHipGageG1Distance2 = Value
        			End Set
    		End Property</v>
      </c>
      <c r="K120" s="11" t="str">
        <f>"Me."&amp;A120&amp; " = " &amp; VLOOKUP(C120,Sheet8!A:D,4,FALSE)&amp;"(recRow.Item("""&amp;A120 &amp;""")" &amp; IF(C120="Number",",6","")&amp;")"</f>
        <v>Me.AntennaRedundantHipGageG1Distance2 = DBtoNullableDec(recRow.Item("AntennaRedundantHipGageG1Distance2"),6)</v>
      </c>
      <c r="L120" s="11" t="str">
        <f t="shared" si="13"/>
        <v>insertString = insertString.AddtoDBString(Me.AntennaRedundantHipGageG1Distance2.ToString)</v>
      </c>
      <c r="M120" s="11" t="str">
        <f t="shared" si="14"/>
        <v>Equals = If(Me.AntennaRedundantHipGageG1Distance2.CheckChange(otherToCompare.AntennaRedundantHipGageG1Distance2, changes, categoryName, "Antenna Redundant Hip Gage G 1 Distance 2"), Equals, False)</v>
      </c>
      <c r="N120" s="12" t="str">
        <f t="shared" si="15"/>
        <v xml:space="preserve"> 	Case tnxVar.Equals("AntennaRedundantHipGageG1Distance2")
                            Try
                                Me.geometry.upperStructure(recIndex).AntennaRedundantHipGageG1Distance2 = tnxValue
                            Catch ex As Exception
                                Debug.Print("Error parsing TNX variable: " &amp; tnxVar)
                            End Try</v>
      </c>
      <c r="O120" s="12" t="str">
        <f t="shared" si="16"/>
        <v>If Not IsNothing(Me.settings.USUnits.Strength.convertToERIUnits(.AntennaRedundantHipGageG1Distance2)) Then 'This field does not get saved when generated from CCIpole
                                newERIList.Add("AntennaRedundantHipGageG1Distance2=" &amp; Me.settings.USUnits.Strength.convertToERIUnits(.AntennaRedundantHipGageG1Distance2))
                            End If</v>
      </c>
      <c r="P120" s="11" t="str">
        <f t="shared" si="17"/>
        <v>SQLInsertValues = SQLInsertValues.AddtoDBString(Me.AntennaRedundantHipGageG1Distance2.NullableToString.FormatDBValue)</v>
      </c>
      <c r="Q120" s="11" t="str">
        <f t="shared" si="18"/>
        <v>SQLInsertFields = SQLInsertFields.AddtoDBString("AntennaRedundantHipGageG1Distance2")</v>
      </c>
      <c r="R120" s="11" t="str">
        <f t="shared" si="19"/>
        <v>SQLUpdateFieldsandValues = SQLUpdateFieldsandValues.AddtoDBString("AntennaRedundantHipGageG1Distance2 = " &amp; Me.AntennaRedundantHipGageG1Distance2.NullableToString.FormatDBValue)</v>
      </c>
      <c r="S120" s="10" t="s">
        <v>286</v>
      </c>
    </row>
    <row r="121" spans="1:19" ht="165" x14ac:dyDescent="0.25">
      <c r="A121" s="11" t="s">
        <v>1163</v>
      </c>
      <c r="B121" s="11" t="str" cm="1">
        <f t="array" ref="B121">Addspaces(A121)</f>
        <v>Antenna Redundant Hip Net Width Deduct 2</v>
      </c>
      <c r="C121" s="15" t="s">
        <v>1225</v>
      </c>
      <c r="D121" s="13" t="str">
        <f>VLOOKUP(C121,Sheet8!A:C,2,FALSE)</f>
        <v>decimal(18, 6)</v>
      </c>
      <c r="E121" s="15"/>
      <c r="F121" s="13" t="str">
        <f>VLOOKUP(C121,Sheet8!A:C,3,FALSE)</f>
        <v>Double?</v>
      </c>
      <c r="G121" s="15"/>
      <c r="H121" s="11" t="str">
        <f t="shared" si="10"/>
        <v>ADD AntennaRedundantHipNetWidthDeduct2 decimal(18, 6),</v>
      </c>
      <c r="I121" s="11" t="str">
        <f t="shared" si="11"/>
        <v xml:space="preserve">Private _AntennaRedundantHipNetWidthDeduct2 As Double? </v>
      </c>
      <c r="J121" s="12" t="str">
        <f t="shared" si="12"/>
        <v xml:space="preserve">     		&lt;Category("TNX Antenna Record"), Description(""), DisplayName("Antenna Redundant Hip Net Width Deduct 2")&gt;
    		&lt;DataMember()&gt; Public Property AntennaRedundantHipNetWidthDeduct2() As Double?
        			Get
            				Return Me._AntennaRedundantHipNetWidthDeduct2
        			End Get
        			Set
            				Me._AntennaRedundantHipNetWidthDeduct2 = Value
        			End Set
    		End Property</v>
      </c>
      <c r="K121" s="11" t="str">
        <f>"Me."&amp;A121&amp; " = " &amp; VLOOKUP(C121,Sheet8!A:D,4,FALSE)&amp;"(recRow.Item("""&amp;A121 &amp;""")" &amp; IF(C121="Number",",6","")&amp;")"</f>
        <v>Me.AntennaRedundantHipNetWidthDeduct2 = DBtoNullableDec(recRow.Item("AntennaRedundantHipNetWidthDeduct2"),6)</v>
      </c>
      <c r="L121" s="11" t="str">
        <f t="shared" si="13"/>
        <v>insertString = insertString.AddtoDBString(Me.AntennaRedundantHipNetWidthDeduct2.ToString)</v>
      </c>
      <c r="M121" s="11" t="str">
        <f t="shared" si="14"/>
        <v>Equals = If(Me.AntennaRedundantHipNetWidthDeduct2.CheckChange(otherToCompare.AntennaRedundantHipNetWidthDeduct2, changes, categoryName, "Antenna Redundant Hip Net Width Deduct 2"), Equals, False)</v>
      </c>
      <c r="N121" s="12" t="str">
        <f t="shared" si="15"/>
        <v xml:space="preserve"> 	Case tnxVar.Equals("AntennaRedundantHipNetWidthDeduct2")
                            Try
                                Me.geometry.upperStructure(recIndex).AntennaRedundantHipNetWidthDeduct2 = tnxValue
                            Catch ex As Exception
                                Debug.Print("Error parsing TNX variable: " &amp; tnxVar)
                            End Try</v>
      </c>
      <c r="O121" s="12" t="str">
        <f t="shared" si="16"/>
        <v>If Not IsNothing(Me.settings.USUnits.Strength.convertToERIUnits(.AntennaRedundantHipNetWidthDeduct2)) Then 'This field does not get saved when generated from CCIpole
                                newERIList.Add("AntennaRedundantHipNetWidthDeduct2=" &amp; Me.settings.USUnits.Strength.convertToERIUnits(.AntennaRedundantHipNetWidthDeduct2))
                            End If</v>
      </c>
      <c r="P121" s="11" t="str">
        <f t="shared" si="17"/>
        <v>SQLInsertValues = SQLInsertValues.AddtoDBString(Me.AntennaRedundantHipNetWidthDeduct2.NullableToString.FormatDBValue)</v>
      </c>
      <c r="Q121" s="11" t="str">
        <f t="shared" si="18"/>
        <v>SQLInsertFields = SQLInsertFields.AddtoDBString("AntennaRedundantHipNetWidthDeduct2")</v>
      </c>
      <c r="R121" s="11" t="str">
        <f t="shared" si="19"/>
        <v>SQLUpdateFieldsandValues = SQLUpdateFieldsandValues.AddtoDBString("AntennaRedundantHipNetWidthDeduct2 = " &amp; Me.AntennaRedundantHipNetWidthDeduct2.NullableToString.FormatDBValue)</v>
      </c>
      <c r="S121" s="10" t="s">
        <v>286</v>
      </c>
    </row>
    <row r="122" spans="1:19" ht="150" x14ac:dyDescent="0.25">
      <c r="A122" s="11" t="s">
        <v>1164</v>
      </c>
      <c r="B122" s="11" t="str" cm="1">
        <f t="array" ref="B122">Addspaces(A122)</f>
        <v>Antenna Redundant Hip U Factor 2</v>
      </c>
      <c r="C122" s="15" t="s">
        <v>1225</v>
      </c>
      <c r="D122" s="13" t="str">
        <f>VLOOKUP(C122,Sheet8!A:C,2,FALSE)</f>
        <v>decimal(18, 6)</v>
      </c>
      <c r="E122" s="15"/>
      <c r="F122" s="13" t="str">
        <f>VLOOKUP(C122,Sheet8!A:C,3,FALSE)</f>
        <v>Double?</v>
      </c>
      <c r="G122" s="15"/>
      <c r="H122" s="11" t="str">
        <f t="shared" si="10"/>
        <v>ADD AntennaRedundantHipUFactor2 decimal(18, 6),</v>
      </c>
      <c r="I122" s="11" t="str">
        <f t="shared" si="11"/>
        <v xml:space="preserve">Private _AntennaRedundantHipUFactor2 As Double? </v>
      </c>
      <c r="J122" s="12" t="str">
        <f t="shared" si="12"/>
        <v xml:space="preserve">     		&lt;Category("TNX Antenna Record"), Description(""), DisplayName("Antenna Redundant Hip U Factor 2")&gt;
    		&lt;DataMember()&gt; Public Property AntennaRedundantHipUFactor2() As Double?
        			Get
            				Return Me._AntennaRedundantHipUFactor2
        			End Get
        			Set
            				Me._AntennaRedundantHipUFactor2 = Value
        			End Set
    		End Property</v>
      </c>
      <c r="K122" s="11" t="str">
        <f>"Me."&amp;A122&amp; " = " &amp; VLOOKUP(C122,Sheet8!A:D,4,FALSE)&amp;"(recRow.Item("""&amp;A122 &amp;""")" &amp; IF(C122="Number",",6","")&amp;")"</f>
        <v>Me.AntennaRedundantHipUFactor2 = DBtoNullableDec(recRow.Item("AntennaRedundantHipUFactor2"),6)</v>
      </c>
      <c r="L122" s="11" t="str">
        <f t="shared" si="13"/>
        <v>insertString = insertString.AddtoDBString(Me.AntennaRedundantHipUFactor2.ToString)</v>
      </c>
      <c r="M122" s="11" t="str">
        <f t="shared" si="14"/>
        <v>Equals = If(Me.AntennaRedundantHipUFactor2.CheckChange(otherToCompare.AntennaRedundantHipUFactor2, changes, categoryName, "Antenna Redundant Hip U Factor 2"), Equals, False)</v>
      </c>
      <c r="N122" s="12" t="str">
        <f t="shared" si="15"/>
        <v xml:space="preserve"> 	Case tnxVar.Equals("AntennaRedundantHipUFactor2")
                            Try
                                Me.geometry.upperStructure(recIndex).AntennaRedundantHipUFactor2 = tnxValue
                            Catch ex As Exception
                                Debug.Print("Error parsing TNX variable: " &amp; tnxVar)
                            End Try</v>
      </c>
      <c r="O122" s="12" t="str">
        <f t="shared" si="16"/>
        <v>If Not IsNothing(Me.settings.USUnits.Strength.convertToERIUnits(.AntennaRedundantHipUFactor2)) Then 'This field does not get saved when generated from CCIpole
                                newERIList.Add("AntennaRedundantHipUFactor2=" &amp; Me.settings.USUnits.Strength.convertToERIUnits(.AntennaRedundantHipUFactor2))
                            End If</v>
      </c>
      <c r="P122" s="11" t="str">
        <f t="shared" si="17"/>
        <v>SQLInsertValues = SQLInsertValues.AddtoDBString(Me.AntennaRedundantHipUFactor2.NullableToString.FormatDBValue)</v>
      </c>
      <c r="Q122" s="11" t="str">
        <f t="shared" si="18"/>
        <v>SQLInsertFields = SQLInsertFields.AddtoDBString("AntennaRedundantHipUFactor2")</v>
      </c>
      <c r="R122" s="11" t="str">
        <f t="shared" si="19"/>
        <v>SQLUpdateFieldsandValues = SQLUpdateFieldsandValues.AddtoDBString("AntennaRedundantHipUFactor2 = " &amp; Me.AntennaRedundantHipUFactor2.NullableToString.FormatDBValue)</v>
      </c>
      <c r="S122" s="10" t="s">
        <v>286</v>
      </c>
    </row>
    <row r="123" spans="1:19" ht="150" x14ac:dyDescent="0.25">
      <c r="A123" s="11" t="s">
        <v>1165</v>
      </c>
      <c r="B123" s="11" t="str" cm="1">
        <f t="array" ref="B123">Addspaces(A123)</f>
        <v>Antenna Redundant Hip Bolt Grade 3</v>
      </c>
      <c r="C123" s="15" t="s">
        <v>1224</v>
      </c>
      <c r="D123" s="13" t="str">
        <f>VLOOKUP(C123,Sheet8!A:C,2,FALSE)</f>
        <v>varchar</v>
      </c>
      <c r="E123" s="15">
        <v>100</v>
      </c>
      <c r="F123" s="13" t="str">
        <f>VLOOKUP(C123,Sheet8!A:C,3,FALSE)</f>
        <v>String</v>
      </c>
      <c r="G123" s="15"/>
      <c r="H123" s="11" t="str">
        <f t="shared" si="10"/>
        <v>ADD AntennaRedundantHipBoltGrade3 varchar(100),</v>
      </c>
      <c r="I123" s="11" t="str">
        <f t="shared" si="11"/>
        <v xml:space="preserve">Private _AntennaRedundantHipBoltGrade3 As String </v>
      </c>
      <c r="J123" s="12" t="str">
        <f t="shared" si="12"/>
        <v xml:space="preserve">     		&lt;Category("TNX Antenna Record"), Description(""), DisplayName("Antenna Redundant Hip Bolt Grade 3")&gt;
    		&lt;DataMember()&gt; Public Property AntennaRedundantHipBoltGrade3() As String
        			Get
            				Return Me._AntennaRedundantHipBoltGrade3
        			End Get
        			Set
            				Me._AntennaRedundantHipBoltGrade3 = Value
        			End Set
    		End Property</v>
      </c>
      <c r="K123" s="11" t="str">
        <f>"Me."&amp;A123&amp; " = " &amp; VLOOKUP(C123,Sheet8!A:D,4,FALSE)&amp;"(recRow.Item("""&amp;A123 &amp;""")" &amp; IF(C123="Number",",6","")&amp;")"</f>
        <v>Me.AntennaRedundantHipBoltGrade3 = DBtoStr(recRow.Item("AntennaRedundantHipBoltGrade3"))</v>
      </c>
      <c r="L123" s="11" t="str">
        <f t="shared" si="13"/>
        <v>insertString = insertString.AddtoDBString(Me.AntennaRedundantHipBoltGrade3.ToString)</v>
      </c>
      <c r="M123" s="11" t="str">
        <f t="shared" si="14"/>
        <v>Equals = If(Me.AntennaRedundantHipBoltGrade3.CheckChange(otherToCompare.AntennaRedundantHipBoltGrade3, changes, categoryName, "Antenna Redundant Hip Bolt Grade 3"), Equals, False)</v>
      </c>
      <c r="N123" s="12" t="str">
        <f t="shared" si="15"/>
        <v xml:space="preserve"> 	Case tnxVar.Equals("AntennaRedundantHipBoltGrade3")
                            Try
                                Me.geometry.upperStructure(recIndex).AntennaRedundantHipBoltGrade3 = tnxValue
                            Catch ex As Exception
                                Debug.Print("Error parsing TNX variable: " &amp; tnxVar)
                            End Try</v>
      </c>
      <c r="O123" s="12" t="str">
        <f t="shared" si="16"/>
        <v>If IsSomethingString(.AntennaRedundantHipBoltGrade3) Then 'This field does not get saved when generated from CCIpole
newERIList.Add("AntennaRedundantHipBoltGrade3=" &amp; .AntennaRedundantHipBoltGrade3)
End If</v>
      </c>
      <c r="P123" s="11" t="str">
        <f t="shared" si="17"/>
        <v>SQLInsertValues = SQLInsertValues.AddtoDBString(Me.AntennaRedundantHipBoltGrade3.NullableToString.FormatDBValue)</v>
      </c>
      <c r="Q123" s="11" t="str">
        <f t="shared" si="18"/>
        <v>SQLInsertFields = SQLInsertFields.AddtoDBString("AntennaRedundantHipBoltGrade3")</v>
      </c>
      <c r="R123" s="11" t="str">
        <f t="shared" si="19"/>
        <v>SQLUpdateFieldsandValues = SQLUpdateFieldsandValues.AddtoDBString("AntennaRedundantHipBoltGrade3 = " &amp; Me.AntennaRedundantHipBoltGrade3.NullableToString.FormatDBValue)</v>
      </c>
      <c r="S123" s="10" t="s">
        <v>286</v>
      </c>
    </row>
    <row r="124" spans="1:19" ht="150" x14ac:dyDescent="0.25">
      <c r="A124" s="11" t="s">
        <v>1166</v>
      </c>
      <c r="B124" s="11" t="str" cm="1">
        <f t="array" ref="B124">Addspaces(A124)</f>
        <v>Antenna Redundant Hip Bolt Size 3</v>
      </c>
      <c r="C124" s="15" t="s">
        <v>1225</v>
      </c>
      <c r="D124" s="13" t="str">
        <f>VLOOKUP(C124,Sheet8!A:C,2,FALSE)</f>
        <v>decimal(18, 6)</v>
      </c>
      <c r="E124" s="15"/>
      <c r="F124" s="13" t="str">
        <f>VLOOKUP(C124,Sheet8!A:C,3,FALSE)</f>
        <v>Double?</v>
      </c>
      <c r="G124" s="15"/>
      <c r="H124" s="11" t="str">
        <f t="shared" si="10"/>
        <v>ADD AntennaRedundantHipBoltSize3 decimal(18, 6),</v>
      </c>
      <c r="I124" s="11" t="str">
        <f t="shared" si="11"/>
        <v xml:space="preserve">Private _AntennaRedundantHipBoltSize3 As Double? </v>
      </c>
      <c r="J124" s="12" t="str">
        <f t="shared" si="12"/>
        <v xml:space="preserve">     		&lt;Category("TNX Antenna Record"), Description(""), DisplayName("Antenna Redundant Hip Bolt Size 3")&gt;
    		&lt;DataMember()&gt; Public Property AntennaRedundantHipBoltSize3() As Double?
        			Get
            				Return Me._AntennaRedundantHipBoltSize3
        			End Get
        			Set
            				Me._AntennaRedundantHipBoltSize3 = Value
        			End Set
    		End Property</v>
      </c>
      <c r="K124" s="11" t="str">
        <f>"Me."&amp;A124&amp; " = " &amp; VLOOKUP(C124,Sheet8!A:D,4,FALSE)&amp;"(recRow.Item("""&amp;A124 &amp;""")" &amp; IF(C124="Number",",6","")&amp;")"</f>
        <v>Me.AntennaRedundantHipBoltSize3 = DBtoNullableDec(recRow.Item("AntennaRedundantHipBoltSize3"),6)</v>
      </c>
      <c r="L124" s="11" t="str">
        <f t="shared" si="13"/>
        <v>insertString = insertString.AddtoDBString(Me.AntennaRedundantHipBoltSize3.ToString)</v>
      </c>
      <c r="M124" s="11" t="str">
        <f t="shared" si="14"/>
        <v>Equals = If(Me.AntennaRedundantHipBoltSize3.CheckChange(otherToCompare.AntennaRedundantHipBoltSize3, changes, categoryName, "Antenna Redundant Hip Bolt Size 3"), Equals, False)</v>
      </c>
      <c r="N124" s="12" t="str">
        <f t="shared" si="15"/>
        <v xml:space="preserve"> 	Case tnxVar.Equals("AntennaRedundantHipBoltSize3")
                            Try
                                Me.geometry.upperStructure(recIndex).AntennaRedundantHipBoltSize3 = tnxValue
                            Catch ex As Exception
                                Debug.Print("Error parsing TNX variable: " &amp; tnxVar)
                            End Try</v>
      </c>
      <c r="O124" s="12" t="str">
        <f t="shared" si="16"/>
        <v>If Not IsNothing(Me.settings.USUnits.Strength.convertToERIUnits(.AntennaRedundantHipBoltSize3)) Then 'This field does not get saved when generated from CCIpole
                                newERIList.Add("AntennaRedundantHipBoltSize3=" &amp; Me.settings.USUnits.Strength.convertToERIUnits(.AntennaRedundantHipBoltSize3))
                            End If</v>
      </c>
      <c r="P124" s="11" t="str">
        <f t="shared" si="17"/>
        <v>SQLInsertValues = SQLInsertValues.AddtoDBString(Me.AntennaRedundantHipBoltSize3.NullableToString.FormatDBValue)</v>
      </c>
      <c r="Q124" s="11" t="str">
        <f t="shared" si="18"/>
        <v>SQLInsertFields = SQLInsertFields.AddtoDBString("AntennaRedundantHipBoltSize3")</v>
      </c>
      <c r="R124" s="11" t="str">
        <f t="shared" si="19"/>
        <v>SQLUpdateFieldsandValues = SQLUpdateFieldsandValues.AddtoDBString("AntennaRedundantHipBoltSize3 = " &amp; Me.AntennaRedundantHipBoltSize3.NullableToString.FormatDBValue)</v>
      </c>
      <c r="S124" s="10" t="s">
        <v>286</v>
      </c>
    </row>
    <row r="125" spans="1:19" ht="150" x14ac:dyDescent="0.25">
      <c r="A125" s="11" t="s">
        <v>1167</v>
      </c>
      <c r="B125" s="11" t="str" cm="1">
        <f t="array" ref="B125">Addspaces(A125)</f>
        <v>Antenna Redundant Hip Num Bolts 3</v>
      </c>
      <c r="C125" s="15" t="s">
        <v>1234</v>
      </c>
      <c r="D125" s="13" t="str">
        <f>VLOOKUP(C125,Sheet8!A:C,2,FALSE)</f>
        <v>int</v>
      </c>
      <c r="E125" s="15"/>
      <c r="F125" s="13" t="str">
        <f>VLOOKUP(C125,Sheet8!A:C,3,FALSE)</f>
        <v>Integer?</v>
      </c>
      <c r="G125" s="15"/>
      <c r="H125" s="11" t="str">
        <f t="shared" si="10"/>
        <v>ADD AntennaRedundantHipNumBolts3 int,</v>
      </c>
      <c r="I125" s="11" t="str">
        <f t="shared" si="11"/>
        <v xml:space="preserve">Private _AntennaRedundantHipNumBolts3 As Integer? </v>
      </c>
      <c r="J125" s="12" t="str">
        <f t="shared" si="12"/>
        <v xml:space="preserve">     		&lt;Category("TNX Antenna Record"), Description(""), DisplayName("Antenna Redundant Hip Num Bolts 3")&gt;
    		&lt;DataMember()&gt; Public Property AntennaRedundantHipNumBolts3() As Integer?
        			Get
            				Return Me._AntennaRedundantHipNumBolts3
        			End Get
        			Set
            				Me._AntennaRedundantHipNumBolts3 = Value
        			End Set
    		End Property</v>
      </c>
      <c r="K125" s="11" t="str">
        <f>"Me."&amp;A125&amp; " = " &amp; VLOOKUP(C125,Sheet8!A:D,4,FALSE)&amp;"(recRow.Item("""&amp;A125 &amp;""")" &amp; IF(C125="Number",",6","")&amp;")"</f>
        <v>Me.AntennaRedundantHipNumBolts3 = DBtoNullableInt(recRow.Item("AntennaRedundantHipNumBolts3"))</v>
      </c>
      <c r="L125" s="11" t="str">
        <f t="shared" si="13"/>
        <v>insertString = insertString.AddtoDBString(Me.AntennaRedundantHipNumBolts3.ToString)</v>
      </c>
      <c r="M125" s="11" t="str">
        <f t="shared" si="14"/>
        <v>Equals = If(Me.AntennaRedundantHipNumBolts3.CheckChange(otherToCompare.AntennaRedundantHipNumBolts3, changes, categoryName, "Antenna Redundant Hip Num Bolts 3"), Equals, False)</v>
      </c>
      <c r="N125" s="12" t="str">
        <f t="shared" si="15"/>
        <v xml:space="preserve"> 	Case tnxVar.Equals("AntennaRedundantHipNumBolts3")
                            Try
                                Me.geometry.upperStructure(recIndex).AntennaRedundantHipNumBolts3 = tnxValue
                            Catch ex As Exception
                                Debug.Print("Error parsing TNX variable: " &amp; tnxVar)
                            End Try</v>
      </c>
      <c r="O125" s="12" t="str">
        <f t="shared" si="16"/>
        <v>newERIList.Add("AntennaRedundantHipNumBolts3=" &amp; .AntennaRedundantHipNumBolts3)</v>
      </c>
      <c r="P125" s="11" t="str">
        <f t="shared" si="17"/>
        <v>SQLInsertValues = SQLInsertValues.AddtoDBString(Me.AntennaRedundantHipNumBolts3.NullableToString.FormatDBValue)</v>
      </c>
      <c r="Q125" s="11" t="str">
        <f t="shared" si="18"/>
        <v>SQLInsertFields = SQLInsertFields.AddtoDBString("AntennaRedundantHipNumBolts3")</v>
      </c>
      <c r="R125" s="11" t="str">
        <f t="shared" si="19"/>
        <v>SQLUpdateFieldsandValues = SQLUpdateFieldsandValues.AddtoDBString("AntennaRedundantHipNumBolts3 = " &amp; Me.AntennaRedundantHipNumBolts3.NullableToString.FormatDBValue)</v>
      </c>
      <c r="S125" s="10" t="s">
        <v>286</v>
      </c>
    </row>
    <row r="126" spans="1:19" ht="165" x14ac:dyDescent="0.25">
      <c r="A126" s="11" t="s">
        <v>1168</v>
      </c>
      <c r="B126" s="11" t="str" cm="1">
        <f t="array" ref="B126">Addspaces(A126)</f>
        <v>Antenna Redundant Hip Bolt Edge Distance 3</v>
      </c>
      <c r="C126" s="15" t="s">
        <v>1225</v>
      </c>
      <c r="D126" s="13" t="str">
        <f>VLOOKUP(C126,Sheet8!A:C,2,FALSE)</f>
        <v>decimal(18, 6)</v>
      </c>
      <c r="E126" s="15"/>
      <c r="F126" s="13" t="str">
        <f>VLOOKUP(C126,Sheet8!A:C,3,FALSE)</f>
        <v>Double?</v>
      </c>
      <c r="G126" s="15"/>
      <c r="H126" s="11" t="str">
        <f t="shared" si="10"/>
        <v>ADD AntennaRedundantHipBoltEdgeDistance3 decimal(18, 6),</v>
      </c>
      <c r="I126" s="11" t="str">
        <f t="shared" si="11"/>
        <v xml:space="preserve">Private _AntennaRedundantHipBoltEdgeDistance3 As Double? </v>
      </c>
      <c r="J126" s="12" t="str">
        <f t="shared" si="12"/>
        <v xml:space="preserve">     		&lt;Category("TNX Antenna Record"), Description(""), DisplayName("Antenna Redundant Hip Bolt Edge Distance 3")&gt;
    		&lt;DataMember()&gt; Public Property AntennaRedundantHipBoltEdgeDistance3() As Double?
        			Get
            				Return Me._AntennaRedundantHipBoltEdgeDistance3
        			End Get
        			Set
            				Me._AntennaRedundantHipBoltEdgeDistance3 = Value
        			End Set
    		End Property</v>
      </c>
      <c r="K126" s="11" t="str">
        <f>"Me."&amp;A126&amp; " = " &amp; VLOOKUP(C126,Sheet8!A:D,4,FALSE)&amp;"(recRow.Item("""&amp;A126 &amp;""")" &amp; IF(C126="Number",",6","")&amp;")"</f>
        <v>Me.AntennaRedundantHipBoltEdgeDistance3 = DBtoNullableDec(recRow.Item("AntennaRedundantHipBoltEdgeDistance3"),6)</v>
      </c>
      <c r="L126" s="11" t="str">
        <f t="shared" si="13"/>
        <v>insertString = insertString.AddtoDBString(Me.AntennaRedundantHipBoltEdgeDistance3.ToString)</v>
      </c>
      <c r="M126" s="11" t="str">
        <f t="shared" si="14"/>
        <v>Equals = If(Me.AntennaRedundantHipBoltEdgeDistance3.CheckChange(otherToCompare.AntennaRedundantHipBoltEdgeDistance3, changes, categoryName, "Antenna Redundant Hip Bolt Edge Distance 3"), Equals, False)</v>
      </c>
      <c r="N126" s="12" t="str">
        <f t="shared" si="15"/>
        <v xml:space="preserve"> 	Case tnxVar.Equals("AntennaRedundantHipBoltEdgeDistance3")
                            Try
                                Me.geometry.upperStructure(recIndex).AntennaRedundantHipBoltEdgeDistance3 = tnxValue
                            Catch ex As Exception
                                Debug.Print("Error parsing TNX variable: " &amp; tnxVar)
                            End Try</v>
      </c>
      <c r="O126" s="12" t="str">
        <f t="shared" si="16"/>
        <v>If Not IsNothing(Me.settings.USUnits.Strength.convertToERIUnits(.AntennaRedundantHipBoltEdgeDistance3)) Then 'This field does not get saved when generated from CCIpole
                                newERIList.Add("AntennaRedundantHipBoltEdgeDistance3=" &amp; Me.settings.USUnits.Strength.convertToERIUnits(.AntennaRedundantHipBoltEdgeDistance3))
                            End If</v>
      </c>
      <c r="P126" s="11" t="str">
        <f t="shared" si="17"/>
        <v>SQLInsertValues = SQLInsertValues.AddtoDBString(Me.AntennaRedundantHipBoltEdgeDistance3.NullableToString.FormatDBValue)</v>
      </c>
      <c r="Q126" s="11" t="str">
        <f t="shared" si="18"/>
        <v>SQLInsertFields = SQLInsertFields.AddtoDBString("AntennaRedundantHipBoltEdgeDistance3")</v>
      </c>
      <c r="R126" s="11" t="str">
        <f t="shared" si="19"/>
        <v>SQLUpdateFieldsandValues = SQLUpdateFieldsandValues.AddtoDBString("AntennaRedundantHipBoltEdgeDistance3 = " &amp; Me.AntennaRedundantHipBoltEdgeDistance3.NullableToString.FormatDBValue)</v>
      </c>
      <c r="S126" s="10" t="s">
        <v>286</v>
      </c>
    </row>
    <row r="127" spans="1:19" ht="150" x14ac:dyDescent="0.25">
      <c r="A127" s="11" t="s">
        <v>1169</v>
      </c>
      <c r="B127" s="11" t="str" cm="1">
        <f t="array" ref="B127">Addspaces(A127)</f>
        <v>Antenna Redundant Hip Gage G 1 Distance 3</v>
      </c>
      <c r="C127" s="15" t="s">
        <v>1225</v>
      </c>
      <c r="D127" s="13" t="str">
        <f>VLOOKUP(C127,Sheet8!A:C,2,FALSE)</f>
        <v>decimal(18, 6)</v>
      </c>
      <c r="E127" s="15"/>
      <c r="F127" s="13" t="str">
        <f>VLOOKUP(C127,Sheet8!A:C,3,FALSE)</f>
        <v>Double?</v>
      </c>
      <c r="G127" s="15"/>
      <c r="H127" s="11" t="str">
        <f t="shared" si="10"/>
        <v>ADD AntennaRedundantHipGageG1Distance3 decimal(18, 6),</v>
      </c>
      <c r="I127" s="11" t="str">
        <f t="shared" si="11"/>
        <v xml:space="preserve">Private _AntennaRedundantHipGageG1Distance3 As Double? </v>
      </c>
      <c r="J127" s="12" t="str">
        <f t="shared" si="12"/>
        <v xml:space="preserve">     		&lt;Category("TNX Antenna Record"), Description(""), DisplayName("Antenna Redundant Hip Gage G 1 Distance 3")&gt;
    		&lt;DataMember()&gt; Public Property AntennaRedundantHipGageG1Distance3() As Double?
        			Get
            				Return Me._AntennaRedundantHipGageG1Distance3
        			End Get
        			Set
            				Me._AntennaRedundantHipGageG1Distance3 = Value
        			End Set
    		End Property</v>
      </c>
      <c r="K127" s="11" t="str">
        <f>"Me."&amp;A127&amp; " = " &amp; VLOOKUP(C127,Sheet8!A:D,4,FALSE)&amp;"(recRow.Item("""&amp;A127 &amp;""")" &amp; IF(C127="Number",",6","")&amp;")"</f>
        <v>Me.AntennaRedundantHipGageG1Distance3 = DBtoNullableDec(recRow.Item("AntennaRedundantHipGageG1Distance3"),6)</v>
      </c>
      <c r="L127" s="11" t="str">
        <f t="shared" si="13"/>
        <v>insertString = insertString.AddtoDBString(Me.AntennaRedundantHipGageG1Distance3.ToString)</v>
      </c>
      <c r="M127" s="11" t="str">
        <f t="shared" si="14"/>
        <v>Equals = If(Me.AntennaRedundantHipGageG1Distance3.CheckChange(otherToCompare.AntennaRedundantHipGageG1Distance3, changes, categoryName, "Antenna Redundant Hip Gage G 1 Distance 3"), Equals, False)</v>
      </c>
      <c r="N127" s="12" t="str">
        <f t="shared" si="15"/>
        <v xml:space="preserve"> 	Case tnxVar.Equals("AntennaRedundantHipGageG1Distance3")
                            Try
                                Me.geometry.upperStructure(recIndex).AntennaRedundantHipGageG1Distance3 = tnxValue
                            Catch ex As Exception
                                Debug.Print("Error parsing TNX variable: " &amp; tnxVar)
                            End Try</v>
      </c>
      <c r="O127" s="12" t="str">
        <f t="shared" si="16"/>
        <v>If Not IsNothing(Me.settings.USUnits.Strength.convertToERIUnits(.AntennaRedundantHipGageG1Distance3)) Then 'This field does not get saved when generated from CCIpole
                                newERIList.Add("AntennaRedundantHipGageG1Distance3=" &amp; Me.settings.USUnits.Strength.convertToERIUnits(.AntennaRedundantHipGageG1Distance3))
                            End If</v>
      </c>
      <c r="P127" s="11" t="str">
        <f t="shared" si="17"/>
        <v>SQLInsertValues = SQLInsertValues.AddtoDBString(Me.AntennaRedundantHipGageG1Distance3.NullableToString.FormatDBValue)</v>
      </c>
      <c r="Q127" s="11" t="str">
        <f t="shared" si="18"/>
        <v>SQLInsertFields = SQLInsertFields.AddtoDBString("AntennaRedundantHipGageG1Distance3")</v>
      </c>
      <c r="R127" s="11" t="str">
        <f t="shared" si="19"/>
        <v>SQLUpdateFieldsandValues = SQLUpdateFieldsandValues.AddtoDBString("AntennaRedundantHipGageG1Distance3 = " &amp; Me.AntennaRedundantHipGageG1Distance3.NullableToString.FormatDBValue)</v>
      </c>
      <c r="S127" s="10" t="s">
        <v>286</v>
      </c>
    </row>
    <row r="128" spans="1:19" ht="165" x14ac:dyDescent="0.25">
      <c r="A128" s="11" t="s">
        <v>1170</v>
      </c>
      <c r="B128" s="11" t="str" cm="1">
        <f t="array" ref="B128">Addspaces(A128)</f>
        <v>Antenna Redundant Hip Net Width Deduct 3</v>
      </c>
      <c r="C128" s="15" t="s">
        <v>1225</v>
      </c>
      <c r="D128" s="13" t="str">
        <f>VLOOKUP(C128,Sheet8!A:C,2,FALSE)</f>
        <v>decimal(18, 6)</v>
      </c>
      <c r="E128" s="15"/>
      <c r="F128" s="13" t="str">
        <f>VLOOKUP(C128,Sheet8!A:C,3,FALSE)</f>
        <v>Double?</v>
      </c>
      <c r="G128" s="15"/>
      <c r="H128" s="11" t="str">
        <f t="shared" si="10"/>
        <v>ADD AntennaRedundantHipNetWidthDeduct3 decimal(18, 6),</v>
      </c>
      <c r="I128" s="11" t="str">
        <f t="shared" si="11"/>
        <v xml:space="preserve">Private _AntennaRedundantHipNetWidthDeduct3 As Double? </v>
      </c>
      <c r="J128" s="12" t="str">
        <f t="shared" si="12"/>
        <v xml:space="preserve">     		&lt;Category("TNX Antenna Record"), Description(""), DisplayName("Antenna Redundant Hip Net Width Deduct 3")&gt;
    		&lt;DataMember()&gt; Public Property AntennaRedundantHipNetWidthDeduct3() As Double?
        			Get
            				Return Me._AntennaRedundantHipNetWidthDeduct3
        			End Get
        			Set
            				Me._AntennaRedundantHipNetWidthDeduct3 = Value
        			End Set
    		End Property</v>
      </c>
      <c r="K128" s="11" t="str">
        <f>"Me."&amp;A128&amp; " = " &amp; VLOOKUP(C128,Sheet8!A:D,4,FALSE)&amp;"(recRow.Item("""&amp;A128 &amp;""")" &amp; IF(C128="Number",",6","")&amp;")"</f>
        <v>Me.AntennaRedundantHipNetWidthDeduct3 = DBtoNullableDec(recRow.Item("AntennaRedundantHipNetWidthDeduct3"),6)</v>
      </c>
      <c r="L128" s="11" t="str">
        <f t="shared" si="13"/>
        <v>insertString = insertString.AddtoDBString(Me.AntennaRedundantHipNetWidthDeduct3.ToString)</v>
      </c>
      <c r="M128" s="11" t="str">
        <f t="shared" si="14"/>
        <v>Equals = If(Me.AntennaRedundantHipNetWidthDeduct3.CheckChange(otherToCompare.AntennaRedundantHipNetWidthDeduct3, changes, categoryName, "Antenna Redundant Hip Net Width Deduct 3"), Equals, False)</v>
      </c>
      <c r="N128" s="12" t="str">
        <f t="shared" si="15"/>
        <v xml:space="preserve"> 	Case tnxVar.Equals("AntennaRedundantHipNetWidthDeduct3")
                            Try
                                Me.geometry.upperStructure(recIndex).AntennaRedundantHipNetWidthDeduct3 = tnxValue
                            Catch ex As Exception
                                Debug.Print("Error parsing TNX variable: " &amp; tnxVar)
                            End Try</v>
      </c>
      <c r="O128" s="12" t="str">
        <f t="shared" si="16"/>
        <v>If Not IsNothing(Me.settings.USUnits.Strength.convertToERIUnits(.AntennaRedundantHipNetWidthDeduct3)) Then 'This field does not get saved when generated from CCIpole
                                newERIList.Add("AntennaRedundantHipNetWidthDeduct3=" &amp; Me.settings.USUnits.Strength.convertToERIUnits(.AntennaRedundantHipNetWidthDeduct3))
                            End If</v>
      </c>
      <c r="P128" s="11" t="str">
        <f t="shared" si="17"/>
        <v>SQLInsertValues = SQLInsertValues.AddtoDBString(Me.AntennaRedundantHipNetWidthDeduct3.NullableToString.FormatDBValue)</v>
      </c>
      <c r="Q128" s="11" t="str">
        <f t="shared" si="18"/>
        <v>SQLInsertFields = SQLInsertFields.AddtoDBString("AntennaRedundantHipNetWidthDeduct3")</v>
      </c>
      <c r="R128" s="11" t="str">
        <f t="shared" si="19"/>
        <v>SQLUpdateFieldsandValues = SQLUpdateFieldsandValues.AddtoDBString("AntennaRedundantHipNetWidthDeduct3 = " &amp; Me.AntennaRedundantHipNetWidthDeduct3.NullableToString.FormatDBValue)</v>
      </c>
      <c r="S128" s="10" t="s">
        <v>286</v>
      </c>
    </row>
    <row r="129" spans="1:19" ht="150" x14ac:dyDescent="0.25">
      <c r="A129" s="11" t="s">
        <v>1171</v>
      </c>
      <c r="B129" s="11" t="str" cm="1">
        <f t="array" ref="B129">Addspaces(A129)</f>
        <v>Antenna Redundant Hip U Factor 3</v>
      </c>
      <c r="C129" s="15" t="s">
        <v>1225</v>
      </c>
      <c r="D129" s="13" t="str">
        <f>VLOOKUP(C129,Sheet8!A:C,2,FALSE)</f>
        <v>decimal(18, 6)</v>
      </c>
      <c r="E129" s="15"/>
      <c r="F129" s="13" t="str">
        <f>VLOOKUP(C129,Sheet8!A:C,3,FALSE)</f>
        <v>Double?</v>
      </c>
      <c r="G129" s="15"/>
      <c r="H129" s="11" t="str">
        <f t="shared" si="10"/>
        <v>ADD AntennaRedundantHipUFactor3 decimal(18, 6),</v>
      </c>
      <c r="I129" s="11" t="str">
        <f t="shared" si="11"/>
        <v xml:space="preserve">Private _AntennaRedundantHipUFactor3 As Double? </v>
      </c>
      <c r="J129" s="12" t="str">
        <f t="shared" si="12"/>
        <v xml:space="preserve">     		&lt;Category("TNX Antenna Record"), Description(""), DisplayName("Antenna Redundant Hip U Factor 3")&gt;
    		&lt;DataMember()&gt; Public Property AntennaRedundantHipUFactor3() As Double?
        			Get
            				Return Me._AntennaRedundantHipUFactor3
        			End Get
        			Set
            				Me._AntennaRedundantHipUFactor3 = Value
        			End Set
    		End Property</v>
      </c>
      <c r="K129" s="11" t="str">
        <f>"Me."&amp;A129&amp; " = " &amp; VLOOKUP(C129,Sheet8!A:D,4,FALSE)&amp;"(recRow.Item("""&amp;A129 &amp;""")" &amp; IF(C129="Number",",6","")&amp;")"</f>
        <v>Me.AntennaRedundantHipUFactor3 = DBtoNullableDec(recRow.Item("AntennaRedundantHipUFactor3"),6)</v>
      </c>
      <c r="L129" s="11" t="str">
        <f t="shared" si="13"/>
        <v>insertString = insertString.AddtoDBString(Me.AntennaRedundantHipUFactor3.ToString)</v>
      </c>
      <c r="M129" s="11" t="str">
        <f t="shared" si="14"/>
        <v>Equals = If(Me.AntennaRedundantHipUFactor3.CheckChange(otherToCompare.AntennaRedundantHipUFactor3, changes, categoryName, "Antenna Redundant Hip U Factor 3"), Equals, False)</v>
      </c>
      <c r="N129" s="12" t="str">
        <f t="shared" si="15"/>
        <v xml:space="preserve"> 	Case tnxVar.Equals("AntennaRedundantHipUFactor3")
                            Try
                                Me.geometry.upperStructure(recIndex).AntennaRedundantHipUFactor3 = tnxValue
                            Catch ex As Exception
                                Debug.Print("Error parsing TNX variable: " &amp; tnxVar)
                            End Try</v>
      </c>
      <c r="O129" s="12" t="str">
        <f t="shared" si="16"/>
        <v>If Not IsNothing(Me.settings.USUnits.Strength.convertToERIUnits(.AntennaRedundantHipUFactor3)) Then 'This field does not get saved when generated from CCIpole
                                newERIList.Add("AntennaRedundantHipUFactor3=" &amp; Me.settings.USUnits.Strength.convertToERIUnits(.AntennaRedundantHipUFactor3))
                            End If</v>
      </c>
      <c r="P129" s="11" t="str">
        <f t="shared" si="17"/>
        <v>SQLInsertValues = SQLInsertValues.AddtoDBString(Me.AntennaRedundantHipUFactor3.NullableToString.FormatDBValue)</v>
      </c>
      <c r="Q129" s="11" t="str">
        <f t="shared" si="18"/>
        <v>SQLInsertFields = SQLInsertFields.AddtoDBString("AntennaRedundantHipUFactor3")</v>
      </c>
      <c r="R129" s="11" t="str">
        <f t="shared" si="19"/>
        <v>SQLUpdateFieldsandValues = SQLUpdateFieldsandValues.AddtoDBString("AntennaRedundantHipUFactor3 = " &amp; Me.AntennaRedundantHipUFactor3.NullableToString.FormatDBValue)</v>
      </c>
      <c r="S129" s="10" t="s">
        <v>286</v>
      </c>
    </row>
    <row r="130" spans="1:19" ht="150" x14ac:dyDescent="0.25">
      <c r="A130" s="11" t="s">
        <v>1172</v>
      </c>
      <c r="B130" s="11" t="str" cm="1">
        <f t="array" ref="B130">Addspaces(A130)</f>
        <v>Antenna Redundant Hip Bolt Grade 4</v>
      </c>
      <c r="C130" s="15" t="s">
        <v>1224</v>
      </c>
      <c r="D130" s="13" t="str">
        <f>VLOOKUP(C130,Sheet8!A:C,2,FALSE)</f>
        <v>varchar</v>
      </c>
      <c r="E130" s="15">
        <v>100</v>
      </c>
      <c r="F130" s="13" t="str">
        <f>VLOOKUP(C130,Sheet8!A:C,3,FALSE)</f>
        <v>String</v>
      </c>
      <c r="G130" s="15"/>
      <c r="H130" s="11" t="str">
        <f t="shared" si="10"/>
        <v>ADD AntennaRedundantHipBoltGrade4 varchar(100),</v>
      </c>
      <c r="I130" s="11" t="str">
        <f t="shared" si="11"/>
        <v xml:space="preserve">Private _AntennaRedundantHipBoltGrade4 As String </v>
      </c>
      <c r="J130" s="12" t="str">
        <f t="shared" si="12"/>
        <v xml:space="preserve">     		&lt;Category("TNX Antenna Record"), Description(""), DisplayName("Antenna Redundant Hip Bolt Grade 4")&gt;
    		&lt;DataMember()&gt; Public Property AntennaRedundantHipBoltGrade4() As String
        			Get
            				Return Me._AntennaRedundantHipBoltGrade4
        			End Get
        			Set
            				Me._AntennaRedundantHipBoltGrade4 = Value
        			End Set
    		End Property</v>
      </c>
      <c r="K130" s="11" t="str">
        <f>"Me."&amp;A130&amp; " = " &amp; VLOOKUP(C130,Sheet8!A:D,4,FALSE)&amp;"(recRow.Item("""&amp;A130 &amp;""")" &amp; IF(C130="Number",",6","")&amp;")"</f>
        <v>Me.AntennaRedundantHipBoltGrade4 = DBtoStr(recRow.Item("AntennaRedundantHipBoltGrade4"))</v>
      </c>
      <c r="L130" s="11" t="str">
        <f t="shared" si="13"/>
        <v>insertString = insertString.AddtoDBString(Me.AntennaRedundantHipBoltGrade4.ToString)</v>
      </c>
      <c r="M130" s="11" t="str">
        <f t="shared" si="14"/>
        <v>Equals = If(Me.AntennaRedundantHipBoltGrade4.CheckChange(otherToCompare.AntennaRedundantHipBoltGrade4, changes, categoryName, "Antenna Redundant Hip Bolt Grade 4"), Equals, False)</v>
      </c>
      <c r="N130" s="12" t="str">
        <f t="shared" si="15"/>
        <v xml:space="preserve"> 	Case tnxVar.Equals("AntennaRedundantHipBoltGrade4")
                            Try
                                Me.geometry.upperStructure(recIndex).AntennaRedundantHipBoltGrade4 = tnxValue
                            Catch ex As Exception
                                Debug.Print("Error parsing TNX variable: " &amp; tnxVar)
                            End Try</v>
      </c>
      <c r="O130" s="12" t="str">
        <f t="shared" si="16"/>
        <v>If IsSomethingString(.AntennaRedundantHipBoltGrade4) Then 'This field does not get saved when generated from CCIpole
newERIList.Add("AntennaRedundantHipBoltGrade4=" &amp; .AntennaRedundantHipBoltGrade4)
End If</v>
      </c>
      <c r="P130" s="11" t="str">
        <f t="shared" si="17"/>
        <v>SQLInsertValues = SQLInsertValues.AddtoDBString(Me.AntennaRedundantHipBoltGrade4.NullableToString.FormatDBValue)</v>
      </c>
      <c r="Q130" s="11" t="str">
        <f t="shared" si="18"/>
        <v>SQLInsertFields = SQLInsertFields.AddtoDBString("AntennaRedundantHipBoltGrade4")</v>
      </c>
      <c r="R130" s="11" t="str">
        <f t="shared" si="19"/>
        <v>SQLUpdateFieldsandValues = SQLUpdateFieldsandValues.AddtoDBString("AntennaRedundantHipBoltGrade4 = " &amp; Me.AntennaRedundantHipBoltGrade4.NullableToString.FormatDBValue)</v>
      </c>
      <c r="S130" s="10" t="s">
        <v>286</v>
      </c>
    </row>
    <row r="131" spans="1:19" ht="150" x14ac:dyDescent="0.25">
      <c r="A131" s="11" t="s">
        <v>1173</v>
      </c>
      <c r="B131" s="11" t="str" cm="1">
        <f t="array" ref="B131">Addspaces(A131)</f>
        <v>Antenna Redundant Hip Bolt Size 4</v>
      </c>
      <c r="C131" s="15" t="s">
        <v>1225</v>
      </c>
      <c r="D131" s="13" t="str">
        <f>VLOOKUP(C131,Sheet8!A:C,2,FALSE)</f>
        <v>decimal(18, 6)</v>
      </c>
      <c r="E131" s="15"/>
      <c r="F131" s="13" t="str">
        <f>VLOOKUP(C131,Sheet8!A:C,3,FALSE)</f>
        <v>Double?</v>
      </c>
      <c r="G131" s="15"/>
      <c r="H131" s="11" t="str">
        <f t="shared" ref="H131:H164" si="20">"ADD " &amp; A131&amp;" "&amp;D131&amp;IF(E131="","","("&amp;E131&amp;")") &amp; ","</f>
        <v>ADD AntennaRedundantHipBoltSize4 decimal(18, 6),</v>
      </c>
      <c r="I131" s="11" t="str">
        <f t="shared" ref="I131:I164" si="21">"Private _"&amp;A131&amp;" As "&amp;F131&amp;" " &amp;IF(G131,"?","")</f>
        <v xml:space="preserve">Private _AntennaRedundantHipBoltSize4 As Double? </v>
      </c>
      <c r="J131" s="12" t="str">
        <f t="shared" ref="J131:J164" si="22">"     		&lt;Category(""TNX Antenna Record""), Description(""""), DisplayName("""&amp;B131&amp;""")&gt;
    		&lt;DataMember()&gt; Public Property "&amp;A131&amp;"() As "&amp;F131 &amp;IF(G131,"?","") &amp;"
        			Get
            				Return Me._"&amp;A131&amp;"
        			End Get
        			Set
            				Me._"&amp;A131&amp;" = Value
        			End Set
    		End Property"</f>
        <v xml:space="preserve">     		&lt;Category("TNX Antenna Record"), Description(""), DisplayName("Antenna Redundant Hip Bolt Size 4")&gt;
    		&lt;DataMember()&gt; Public Property AntennaRedundantHipBoltSize4() As Double?
        			Get
            				Return Me._AntennaRedundantHipBoltSize4
        			End Get
        			Set
            				Me._AntennaRedundantHipBoltSize4 = Value
        			End Set
    		End Property</v>
      </c>
      <c r="K131" s="11" t="str">
        <f>"Me."&amp;A131&amp; " = " &amp; VLOOKUP(C131,Sheet8!A:D,4,FALSE)&amp;"(recRow.Item("""&amp;A131 &amp;""")" &amp; IF(C131="Number",",6","")&amp;")"</f>
        <v>Me.AntennaRedundantHipBoltSize4 = DBtoNullableDec(recRow.Item("AntennaRedundantHipBoltSize4"),6)</v>
      </c>
      <c r="L131" s="11" t="str">
        <f t="shared" ref="L131:L164" si="23">"insertString = insertString.AddtoDBString(Me."&amp;A131&amp;".ToString)"</f>
        <v>insertString = insertString.AddtoDBString(Me.AntennaRedundantHipBoltSize4.ToString)</v>
      </c>
      <c r="M131" s="11" t="str">
        <f t="shared" ref="M131:M164" si="24">"Equals = If(Me."&amp;A131&amp;".CheckChange(otherToCompare."&amp;A131&amp;", changes, categoryName, """&amp;B131&amp;"""), Equals, False)"</f>
        <v>Equals = If(Me.AntennaRedundantHipBoltSize4.CheckChange(otherToCompare.AntennaRedundantHipBoltSize4, changes, categoryName, "Antenna Redundant Hip Bolt Size 4"), Equals, False)</v>
      </c>
      <c r="N131" s="12" t="str">
        <f t="shared" ref="N131:N164" si="25">" 	Case tnxVar.Equals("""&amp;A131&amp;""")
                            Try
                                Me.geometry.upperStructure(recIndex)."&amp;A131&amp;" = tnxValue
                            Catch ex As Exception
                                Debug.Print(""Error parsing TNX variable: "" &amp; tnxVar)
                            End Try"</f>
        <v xml:space="preserve"> 	Case tnxVar.Equals("AntennaRedundantHipBoltSize4")
                            Try
                                Me.geometry.upperStructure(recIndex).AntennaRedundantHipBoltSize4 = tnxValue
                            Catch ex As Exception
                                Debug.Print("Error parsing TNX variable: " &amp; tnxVar)
                            End Try</v>
      </c>
      <c r="O131" s="12" t="str">
        <f t="shared" ref="O131:O164" si="26">IF(C131="String",
"If IsSomethingString(."&amp;A131&amp;") Then 'This field does not get saved when generated from CCIpole
newERIList.Add("""&amp;A131&amp;"="" &amp; ."&amp;A131&amp;")
End If",
IF(C131="Number",
"If Not IsNothing(Me.settings.USUnits.Strength.convertToERIUnits(."&amp;A131&amp;")) Then 'This field does not get saved when generated from CCIpole
                                newERIList.Add("""&amp;A131&amp;"="" &amp; Me.settings.USUnits.Strength.convertToERIUnits(."&amp;A131&amp;"))
                            End If",
"newERIList.Add("""&amp;A131&amp;"="" &amp; ."&amp;A131&amp;")"))</f>
        <v>If Not IsNothing(Me.settings.USUnits.Strength.convertToERIUnits(.AntennaRedundantHipBoltSize4)) Then 'This field does not get saved when generated from CCIpole
                                newERIList.Add("AntennaRedundantHipBoltSize4=" &amp; Me.settings.USUnits.Strength.convertToERIUnits(.AntennaRedundantHipBoltSize4))
                            End If</v>
      </c>
      <c r="P131" s="11" t="str">
        <f t="shared" ref="P131:P164" si="27">"SQLInsertValues = SQLInsertValues.AddtoDBString(Me."&amp;A131&amp;".NullableToString.FormatDBValue)"</f>
        <v>SQLInsertValues = SQLInsertValues.AddtoDBString(Me.AntennaRedundantHipBoltSize4.NullableToString.FormatDBValue)</v>
      </c>
      <c r="Q131" s="11" t="str">
        <f t="shared" ref="Q131:Q164" si="28">"SQLInsertFields = SQLInsertFields.AddtoDBString("""&amp;A131&amp;""")"</f>
        <v>SQLInsertFields = SQLInsertFields.AddtoDBString("AntennaRedundantHipBoltSize4")</v>
      </c>
      <c r="R131" s="11" t="str">
        <f t="shared" ref="R131:R164" si="29">"SQLUpdateFieldsandValues = SQLUpdateFieldsandValues.AddtoDBString("""&amp;A131&amp;" = "" &amp; Me."&amp;A131&amp;".NullableToString.FormatDBValue)"</f>
        <v>SQLUpdateFieldsandValues = SQLUpdateFieldsandValues.AddtoDBString("AntennaRedundantHipBoltSize4 = " &amp; Me.AntennaRedundantHipBoltSize4.NullableToString.FormatDBValue)</v>
      </c>
      <c r="S131" s="10" t="s">
        <v>286</v>
      </c>
    </row>
    <row r="132" spans="1:19" ht="150" x14ac:dyDescent="0.25">
      <c r="A132" s="11" t="s">
        <v>1174</v>
      </c>
      <c r="B132" s="11" t="str" cm="1">
        <f t="array" ref="B132">Addspaces(A132)</f>
        <v>Antenna Redundant Hip Num Bolts 4</v>
      </c>
      <c r="C132" s="15" t="s">
        <v>1234</v>
      </c>
      <c r="D132" s="13" t="str">
        <f>VLOOKUP(C132,Sheet8!A:C,2,FALSE)</f>
        <v>int</v>
      </c>
      <c r="E132" s="15"/>
      <c r="F132" s="13" t="str">
        <f>VLOOKUP(C132,Sheet8!A:C,3,FALSE)</f>
        <v>Integer?</v>
      </c>
      <c r="G132" s="15"/>
      <c r="H132" s="11" t="str">
        <f t="shared" si="20"/>
        <v>ADD AntennaRedundantHipNumBolts4 int,</v>
      </c>
      <c r="I132" s="11" t="str">
        <f t="shared" si="21"/>
        <v xml:space="preserve">Private _AntennaRedundantHipNumBolts4 As Integer? </v>
      </c>
      <c r="J132" s="12" t="str">
        <f t="shared" si="22"/>
        <v xml:space="preserve">     		&lt;Category("TNX Antenna Record"), Description(""), DisplayName("Antenna Redundant Hip Num Bolts 4")&gt;
    		&lt;DataMember()&gt; Public Property AntennaRedundantHipNumBolts4() As Integer?
        			Get
            				Return Me._AntennaRedundantHipNumBolts4
        			End Get
        			Set
            				Me._AntennaRedundantHipNumBolts4 = Value
        			End Set
    		End Property</v>
      </c>
      <c r="K132" s="11" t="str">
        <f>"Me."&amp;A132&amp; " = " &amp; VLOOKUP(C132,Sheet8!A:D,4,FALSE)&amp;"(recRow.Item("""&amp;A132 &amp;""")" &amp; IF(C132="Number",",6","")&amp;")"</f>
        <v>Me.AntennaRedundantHipNumBolts4 = DBtoNullableInt(recRow.Item("AntennaRedundantHipNumBolts4"))</v>
      </c>
      <c r="L132" s="11" t="str">
        <f t="shared" si="23"/>
        <v>insertString = insertString.AddtoDBString(Me.AntennaRedundantHipNumBolts4.ToString)</v>
      </c>
      <c r="M132" s="11" t="str">
        <f t="shared" si="24"/>
        <v>Equals = If(Me.AntennaRedundantHipNumBolts4.CheckChange(otherToCompare.AntennaRedundantHipNumBolts4, changes, categoryName, "Antenna Redundant Hip Num Bolts 4"), Equals, False)</v>
      </c>
      <c r="N132" s="12" t="str">
        <f t="shared" si="25"/>
        <v xml:space="preserve"> 	Case tnxVar.Equals("AntennaRedundantHipNumBolts4")
                            Try
                                Me.geometry.upperStructure(recIndex).AntennaRedundantHipNumBolts4 = tnxValue
                            Catch ex As Exception
                                Debug.Print("Error parsing TNX variable: " &amp; tnxVar)
                            End Try</v>
      </c>
      <c r="O132" s="12" t="str">
        <f t="shared" si="26"/>
        <v>newERIList.Add("AntennaRedundantHipNumBolts4=" &amp; .AntennaRedundantHipNumBolts4)</v>
      </c>
      <c r="P132" s="11" t="str">
        <f t="shared" si="27"/>
        <v>SQLInsertValues = SQLInsertValues.AddtoDBString(Me.AntennaRedundantHipNumBolts4.NullableToString.FormatDBValue)</v>
      </c>
      <c r="Q132" s="11" t="str">
        <f t="shared" si="28"/>
        <v>SQLInsertFields = SQLInsertFields.AddtoDBString("AntennaRedundantHipNumBolts4")</v>
      </c>
      <c r="R132" s="11" t="str">
        <f t="shared" si="29"/>
        <v>SQLUpdateFieldsandValues = SQLUpdateFieldsandValues.AddtoDBString("AntennaRedundantHipNumBolts4 = " &amp; Me.AntennaRedundantHipNumBolts4.NullableToString.FormatDBValue)</v>
      </c>
      <c r="S132" s="10" t="s">
        <v>286</v>
      </c>
    </row>
    <row r="133" spans="1:19" ht="165" x14ac:dyDescent="0.25">
      <c r="A133" s="11" t="s">
        <v>1175</v>
      </c>
      <c r="B133" s="11" t="str" cm="1">
        <f t="array" ref="B133">Addspaces(A133)</f>
        <v>Antenna Redundant Hip Bolt Edge Distance 4</v>
      </c>
      <c r="C133" s="15" t="s">
        <v>1225</v>
      </c>
      <c r="D133" s="13" t="str">
        <f>VLOOKUP(C133,Sheet8!A:C,2,FALSE)</f>
        <v>decimal(18, 6)</v>
      </c>
      <c r="E133" s="15"/>
      <c r="F133" s="13" t="str">
        <f>VLOOKUP(C133,Sheet8!A:C,3,FALSE)</f>
        <v>Double?</v>
      </c>
      <c r="G133" s="15"/>
      <c r="H133" s="11" t="str">
        <f t="shared" si="20"/>
        <v>ADD AntennaRedundantHipBoltEdgeDistance4 decimal(18, 6),</v>
      </c>
      <c r="I133" s="11" t="str">
        <f t="shared" si="21"/>
        <v xml:space="preserve">Private _AntennaRedundantHipBoltEdgeDistance4 As Double? </v>
      </c>
      <c r="J133" s="12" t="str">
        <f t="shared" si="22"/>
        <v xml:space="preserve">     		&lt;Category("TNX Antenna Record"), Description(""), DisplayName("Antenna Redundant Hip Bolt Edge Distance 4")&gt;
    		&lt;DataMember()&gt; Public Property AntennaRedundantHipBoltEdgeDistance4() As Double?
        			Get
            				Return Me._AntennaRedundantHipBoltEdgeDistance4
        			End Get
        			Set
            				Me._AntennaRedundantHipBoltEdgeDistance4 = Value
        			End Set
    		End Property</v>
      </c>
      <c r="K133" s="11" t="str">
        <f>"Me."&amp;A133&amp; " = " &amp; VLOOKUP(C133,Sheet8!A:D,4,FALSE)&amp;"(recRow.Item("""&amp;A133 &amp;""")" &amp; IF(C133="Number",",6","")&amp;")"</f>
        <v>Me.AntennaRedundantHipBoltEdgeDistance4 = DBtoNullableDec(recRow.Item("AntennaRedundantHipBoltEdgeDistance4"),6)</v>
      </c>
      <c r="L133" s="11" t="str">
        <f t="shared" si="23"/>
        <v>insertString = insertString.AddtoDBString(Me.AntennaRedundantHipBoltEdgeDistance4.ToString)</v>
      </c>
      <c r="M133" s="11" t="str">
        <f t="shared" si="24"/>
        <v>Equals = If(Me.AntennaRedundantHipBoltEdgeDistance4.CheckChange(otherToCompare.AntennaRedundantHipBoltEdgeDistance4, changes, categoryName, "Antenna Redundant Hip Bolt Edge Distance 4"), Equals, False)</v>
      </c>
      <c r="N133" s="12" t="str">
        <f t="shared" si="25"/>
        <v xml:space="preserve"> 	Case tnxVar.Equals("AntennaRedundantHipBoltEdgeDistance4")
                            Try
                                Me.geometry.upperStructure(recIndex).AntennaRedundantHipBoltEdgeDistance4 = tnxValue
                            Catch ex As Exception
                                Debug.Print("Error parsing TNX variable: " &amp; tnxVar)
                            End Try</v>
      </c>
      <c r="O133" s="12" t="str">
        <f t="shared" si="26"/>
        <v>If Not IsNothing(Me.settings.USUnits.Strength.convertToERIUnits(.AntennaRedundantHipBoltEdgeDistance4)) Then 'This field does not get saved when generated from CCIpole
                                newERIList.Add("AntennaRedundantHipBoltEdgeDistance4=" &amp; Me.settings.USUnits.Strength.convertToERIUnits(.AntennaRedundantHipBoltEdgeDistance4))
                            End If</v>
      </c>
      <c r="P133" s="11" t="str">
        <f t="shared" si="27"/>
        <v>SQLInsertValues = SQLInsertValues.AddtoDBString(Me.AntennaRedundantHipBoltEdgeDistance4.NullableToString.FormatDBValue)</v>
      </c>
      <c r="Q133" s="11" t="str">
        <f t="shared" si="28"/>
        <v>SQLInsertFields = SQLInsertFields.AddtoDBString("AntennaRedundantHipBoltEdgeDistance4")</v>
      </c>
      <c r="R133" s="11" t="str">
        <f t="shared" si="29"/>
        <v>SQLUpdateFieldsandValues = SQLUpdateFieldsandValues.AddtoDBString("AntennaRedundantHipBoltEdgeDistance4 = " &amp; Me.AntennaRedundantHipBoltEdgeDistance4.NullableToString.FormatDBValue)</v>
      </c>
      <c r="S133" s="10" t="s">
        <v>286</v>
      </c>
    </row>
    <row r="134" spans="1:19" ht="150" x14ac:dyDescent="0.25">
      <c r="A134" s="11" t="s">
        <v>1176</v>
      </c>
      <c r="B134" s="11" t="str" cm="1">
        <f t="array" ref="B134">Addspaces(A134)</f>
        <v>Antenna Redundant Hip Gage G 1 Distance 4</v>
      </c>
      <c r="C134" s="15" t="s">
        <v>1225</v>
      </c>
      <c r="D134" s="13" t="str">
        <f>VLOOKUP(C134,Sheet8!A:C,2,FALSE)</f>
        <v>decimal(18, 6)</v>
      </c>
      <c r="E134" s="15"/>
      <c r="F134" s="13" t="str">
        <f>VLOOKUP(C134,Sheet8!A:C,3,FALSE)</f>
        <v>Double?</v>
      </c>
      <c r="G134" s="15"/>
      <c r="H134" s="11" t="str">
        <f t="shared" si="20"/>
        <v>ADD AntennaRedundantHipGageG1Distance4 decimal(18, 6),</v>
      </c>
      <c r="I134" s="11" t="str">
        <f t="shared" si="21"/>
        <v xml:space="preserve">Private _AntennaRedundantHipGageG1Distance4 As Double? </v>
      </c>
      <c r="J134" s="12" t="str">
        <f t="shared" si="22"/>
        <v xml:space="preserve">     		&lt;Category("TNX Antenna Record"), Description(""), DisplayName("Antenna Redundant Hip Gage G 1 Distance 4")&gt;
    		&lt;DataMember()&gt; Public Property AntennaRedundantHipGageG1Distance4() As Double?
        			Get
            				Return Me._AntennaRedundantHipGageG1Distance4
        			End Get
        			Set
            				Me._AntennaRedundantHipGageG1Distance4 = Value
        			End Set
    		End Property</v>
      </c>
      <c r="K134" s="11" t="str">
        <f>"Me."&amp;A134&amp; " = " &amp; VLOOKUP(C134,Sheet8!A:D,4,FALSE)&amp;"(recRow.Item("""&amp;A134 &amp;""")" &amp; IF(C134="Number",",6","")&amp;")"</f>
        <v>Me.AntennaRedundantHipGageG1Distance4 = DBtoNullableDec(recRow.Item("AntennaRedundantHipGageG1Distance4"),6)</v>
      </c>
      <c r="L134" s="11" t="str">
        <f t="shared" si="23"/>
        <v>insertString = insertString.AddtoDBString(Me.AntennaRedundantHipGageG1Distance4.ToString)</v>
      </c>
      <c r="M134" s="11" t="str">
        <f t="shared" si="24"/>
        <v>Equals = If(Me.AntennaRedundantHipGageG1Distance4.CheckChange(otherToCompare.AntennaRedundantHipGageG1Distance4, changes, categoryName, "Antenna Redundant Hip Gage G 1 Distance 4"), Equals, False)</v>
      </c>
      <c r="N134" s="12" t="str">
        <f t="shared" si="25"/>
        <v xml:space="preserve"> 	Case tnxVar.Equals("AntennaRedundantHipGageG1Distance4")
                            Try
                                Me.geometry.upperStructure(recIndex).AntennaRedundantHipGageG1Distance4 = tnxValue
                            Catch ex As Exception
                                Debug.Print("Error parsing TNX variable: " &amp; tnxVar)
                            End Try</v>
      </c>
      <c r="O134" s="12" t="str">
        <f t="shared" si="26"/>
        <v>If Not IsNothing(Me.settings.USUnits.Strength.convertToERIUnits(.AntennaRedundantHipGageG1Distance4)) Then 'This field does not get saved when generated from CCIpole
                                newERIList.Add("AntennaRedundantHipGageG1Distance4=" &amp; Me.settings.USUnits.Strength.convertToERIUnits(.AntennaRedundantHipGageG1Distance4))
                            End If</v>
      </c>
      <c r="P134" s="11" t="str">
        <f t="shared" si="27"/>
        <v>SQLInsertValues = SQLInsertValues.AddtoDBString(Me.AntennaRedundantHipGageG1Distance4.NullableToString.FormatDBValue)</v>
      </c>
      <c r="Q134" s="11" t="str">
        <f t="shared" si="28"/>
        <v>SQLInsertFields = SQLInsertFields.AddtoDBString("AntennaRedundantHipGageG1Distance4")</v>
      </c>
      <c r="R134" s="11" t="str">
        <f t="shared" si="29"/>
        <v>SQLUpdateFieldsandValues = SQLUpdateFieldsandValues.AddtoDBString("AntennaRedundantHipGageG1Distance4 = " &amp; Me.AntennaRedundantHipGageG1Distance4.NullableToString.FormatDBValue)</v>
      </c>
      <c r="S134" s="10" t="s">
        <v>286</v>
      </c>
    </row>
    <row r="135" spans="1:19" ht="165" x14ac:dyDescent="0.25">
      <c r="A135" s="11" t="s">
        <v>1177</v>
      </c>
      <c r="B135" s="11" t="str" cm="1">
        <f t="array" ref="B135">Addspaces(A135)</f>
        <v>Antenna Redundant Hip Net Width Deduct 4</v>
      </c>
      <c r="C135" s="15" t="s">
        <v>1225</v>
      </c>
      <c r="D135" s="13" t="str">
        <f>VLOOKUP(C135,Sheet8!A:C,2,FALSE)</f>
        <v>decimal(18, 6)</v>
      </c>
      <c r="E135" s="15"/>
      <c r="F135" s="13" t="str">
        <f>VLOOKUP(C135,Sheet8!A:C,3,FALSE)</f>
        <v>Double?</v>
      </c>
      <c r="G135" s="15"/>
      <c r="H135" s="11" t="str">
        <f t="shared" si="20"/>
        <v>ADD AntennaRedundantHipNetWidthDeduct4 decimal(18, 6),</v>
      </c>
      <c r="I135" s="11" t="str">
        <f t="shared" si="21"/>
        <v xml:space="preserve">Private _AntennaRedundantHipNetWidthDeduct4 As Double? </v>
      </c>
      <c r="J135" s="12" t="str">
        <f t="shared" si="22"/>
        <v xml:space="preserve">     		&lt;Category("TNX Antenna Record"), Description(""), DisplayName("Antenna Redundant Hip Net Width Deduct 4")&gt;
    		&lt;DataMember()&gt; Public Property AntennaRedundantHipNetWidthDeduct4() As Double?
        			Get
            				Return Me._AntennaRedundantHipNetWidthDeduct4
        			End Get
        			Set
            				Me._AntennaRedundantHipNetWidthDeduct4 = Value
        			End Set
    		End Property</v>
      </c>
      <c r="K135" s="11" t="str">
        <f>"Me."&amp;A135&amp; " = " &amp; VLOOKUP(C135,Sheet8!A:D,4,FALSE)&amp;"(recRow.Item("""&amp;A135 &amp;""")" &amp; IF(C135="Number",",6","")&amp;")"</f>
        <v>Me.AntennaRedundantHipNetWidthDeduct4 = DBtoNullableDec(recRow.Item("AntennaRedundantHipNetWidthDeduct4"),6)</v>
      </c>
      <c r="L135" s="11" t="str">
        <f t="shared" si="23"/>
        <v>insertString = insertString.AddtoDBString(Me.AntennaRedundantHipNetWidthDeduct4.ToString)</v>
      </c>
      <c r="M135" s="11" t="str">
        <f t="shared" si="24"/>
        <v>Equals = If(Me.AntennaRedundantHipNetWidthDeduct4.CheckChange(otherToCompare.AntennaRedundantHipNetWidthDeduct4, changes, categoryName, "Antenna Redundant Hip Net Width Deduct 4"), Equals, False)</v>
      </c>
      <c r="N135" s="12" t="str">
        <f t="shared" si="25"/>
        <v xml:space="preserve"> 	Case tnxVar.Equals("AntennaRedundantHipNetWidthDeduct4")
                            Try
                                Me.geometry.upperStructure(recIndex).AntennaRedundantHipNetWidthDeduct4 = tnxValue
                            Catch ex As Exception
                                Debug.Print("Error parsing TNX variable: " &amp; tnxVar)
                            End Try</v>
      </c>
      <c r="O135" s="12" t="str">
        <f t="shared" si="26"/>
        <v>If Not IsNothing(Me.settings.USUnits.Strength.convertToERIUnits(.AntennaRedundantHipNetWidthDeduct4)) Then 'This field does not get saved when generated from CCIpole
                                newERIList.Add("AntennaRedundantHipNetWidthDeduct4=" &amp; Me.settings.USUnits.Strength.convertToERIUnits(.AntennaRedundantHipNetWidthDeduct4))
                            End If</v>
      </c>
      <c r="P135" s="11" t="str">
        <f t="shared" si="27"/>
        <v>SQLInsertValues = SQLInsertValues.AddtoDBString(Me.AntennaRedundantHipNetWidthDeduct4.NullableToString.FormatDBValue)</v>
      </c>
      <c r="Q135" s="11" t="str">
        <f t="shared" si="28"/>
        <v>SQLInsertFields = SQLInsertFields.AddtoDBString("AntennaRedundantHipNetWidthDeduct4")</v>
      </c>
      <c r="R135" s="11" t="str">
        <f t="shared" si="29"/>
        <v>SQLUpdateFieldsandValues = SQLUpdateFieldsandValues.AddtoDBString("AntennaRedundantHipNetWidthDeduct4 = " &amp; Me.AntennaRedundantHipNetWidthDeduct4.NullableToString.FormatDBValue)</v>
      </c>
      <c r="S135" s="10" t="s">
        <v>286</v>
      </c>
    </row>
    <row r="136" spans="1:19" ht="150" x14ac:dyDescent="0.25">
      <c r="A136" s="11" t="s">
        <v>1178</v>
      </c>
      <c r="B136" s="11" t="str" cm="1">
        <f t="array" ref="B136">Addspaces(A136)</f>
        <v>Antenna Redundant Hip U Factor 4</v>
      </c>
      <c r="C136" s="15" t="s">
        <v>1225</v>
      </c>
      <c r="D136" s="13" t="str">
        <f>VLOOKUP(C136,Sheet8!A:C,2,FALSE)</f>
        <v>decimal(18, 6)</v>
      </c>
      <c r="E136" s="15"/>
      <c r="F136" s="13" t="str">
        <f>VLOOKUP(C136,Sheet8!A:C,3,FALSE)</f>
        <v>Double?</v>
      </c>
      <c r="G136" s="15"/>
      <c r="H136" s="11" t="str">
        <f t="shared" si="20"/>
        <v>ADD AntennaRedundantHipUFactor4 decimal(18, 6),</v>
      </c>
      <c r="I136" s="11" t="str">
        <f t="shared" si="21"/>
        <v xml:space="preserve">Private _AntennaRedundantHipUFactor4 As Double? </v>
      </c>
      <c r="J136" s="12" t="str">
        <f t="shared" si="22"/>
        <v xml:space="preserve">     		&lt;Category("TNX Antenna Record"), Description(""), DisplayName("Antenna Redundant Hip U Factor 4")&gt;
    		&lt;DataMember()&gt; Public Property AntennaRedundantHipUFactor4() As Double?
        			Get
            				Return Me._AntennaRedundantHipUFactor4
        			End Get
        			Set
            				Me._AntennaRedundantHipUFactor4 = Value
        			End Set
    		End Property</v>
      </c>
      <c r="K136" s="11" t="str">
        <f>"Me."&amp;A136&amp; " = " &amp; VLOOKUP(C136,Sheet8!A:D,4,FALSE)&amp;"(recRow.Item("""&amp;A136 &amp;""")" &amp; IF(C136="Number",",6","")&amp;")"</f>
        <v>Me.AntennaRedundantHipUFactor4 = DBtoNullableDec(recRow.Item("AntennaRedundantHipUFactor4"),6)</v>
      </c>
      <c r="L136" s="11" t="str">
        <f t="shared" si="23"/>
        <v>insertString = insertString.AddtoDBString(Me.AntennaRedundantHipUFactor4.ToString)</v>
      </c>
      <c r="M136" s="11" t="str">
        <f t="shared" si="24"/>
        <v>Equals = If(Me.AntennaRedundantHipUFactor4.CheckChange(otherToCompare.AntennaRedundantHipUFactor4, changes, categoryName, "Antenna Redundant Hip U Factor 4"), Equals, False)</v>
      </c>
      <c r="N136" s="12" t="str">
        <f t="shared" si="25"/>
        <v xml:space="preserve"> 	Case tnxVar.Equals("AntennaRedundantHipUFactor4")
                            Try
                                Me.geometry.upperStructure(recIndex).AntennaRedundantHipUFactor4 = tnxValue
                            Catch ex As Exception
                                Debug.Print("Error parsing TNX variable: " &amp; tnxVar)
                            End Try</v>
      </c>
      <c r="O136" s="12" t="str">
        <f t="shared" si="26"/>
        <v>If Not IsNothing(Me.settings.USUnits.Strength.convertToERIUnits(.AntennaRedundantHipUFactor4)) Then 'This field does not get saved when generated from CCIpole
                                newERIList.Add("AntennaRedundantHipUFactor4=" &amp; Me.settings.USUnits.Strength.convertToERIUnits(.AntennaRedundantHipUFactor4))
                            End If</v>
      </c>
      <c r="P136" s="11" t="str">
        <f t="shared" si="27"/>
        <v>SQLInsertValues = SQLInsertValues.AddtoDBString(Me.AntennaRedundantHipUFactor4.NullableToString.FormatDBValue)</v>
      </c>
      <c r="Q136" s="11" t="str">
        <f t="shared" si="28"/>
        <v>SQLInsertFields = SQLInsertFields.AddtoDBString("AntennaRedundantHipUFactor4")</v>
      </c>
      <c r="R136" s="11" t="str">
        <f t="shared" si="29"/>
        <v>SQLUpdateFieldsandValues = SQLUpdateFieldsandValues.AddtoDBString("AntennaRedundantHipUFactor4 = " &amp; Me.AntennaRedundantHipUFactor4.NullableToString.FormatDBValue)</v>
      </c>
      <c r="S136" s="10" t="s">
        <v>286</v>
      </c>
    </row>
    <row r="137" spans="1:19" ht="150" x14ac:dyDescent="0.25">
      <c r="A137" s="11" t="s">
        <v>1179</v>
      </c>
      <c r="B137" s="11" t="str" cm="1">
        <f t="array" ref="B137">Addspaces(A137)</f>
        <v>Antenna Redundant Hip Diagonal Bolt Grade 1</v>
      </c>
      <c r="C137" s="15" t="s">
        <v>1224</v>
      </c>
      <c r="D137" s="13" t="str">
        <f>VLOOKUP(C137,Sheet8!A:C,2,FALSE)</f>
        <v>varchar</v>
      </c>
      <c r="E137" s="15">
        <v>100</v>
      </c>
      <c r="F137" s="13" t="str">
        <f>VLOOKUP(C137,Sheet8!A:C,3,FALSE)</f>
        <v>String</v>
      </c>
      <c r="G137" s="15"/>
      <c r="H137" s="11" t="str">
        <f t="shared" si="20"/>
        <v>ADD AntennaRedundantHipDiagonalBoltGrade1 varchar(100),</v>
      </c>
      <c r="I137" s="11" t="str">
        <f t="shared" si="21"/>
        <v xml:space="preserve">Private _AntennaRedundantHipDiagonalBoltGrade1 As String </v>
      </c>
      <c r="J137" s="12" t="str">
        <f t="shared" si="22"/>
        <v xml:space="preserve">     		&lt;Category("TNX Antenna Record"), Description(""), DisplayName("Antenna Redundant Hip Diagonal Bolt Grade 1")&gt;
    		&lt;DataMember()&gt; Public Property AntennaRedundantHipDiagonalBoltGrade1() As String
        			Get
            				Return Me._AntennaRedundantHipDiagonalBoltGrade1
        			End Get
        			Set
            				Me._AntennaRedundantHipDiagonalBoltGrade1 = Value
        			End Set
    		End Property</v>
      </c>
      <c r="K137" s="11" t="str">
        <f>"Me."&amp;A137&amp; " = " &amp; VLOOKUP(C137,Sheet8!A:D,4,FALSE)&amp;"(recRow.Item("""&amp;A137 &amp;""")" &amp; IF(C137="Number",",6","")&amp;")"</f>
        <v>Me.AntennaRedundantHipDiagonalBoltGrade1 = DBtoStr(recRow.Item("AntennaRedundantHipDiagonalBoltGrade1"))</v>
      </c>
      <c r="L137" s="11" t="str">
        <f t="shared" si="23"/>
        <v>insertString = insertString.AddtoDBString(Me.AntennaRedundantHipDiagonalBoltGrade1.ToString)</v>
      </c>
      <c r="M137" s="11" t="str">
        <f t="shared" si="24"/>
        <v>Equals = If(Me.AntennaRedundantHipDiagonalBoltGrade1.CheckChange(otherToCompare.AntennaRedundantHipDiagonalBoltGrade1, changes, categoryName, "Antenna Redundant Hip Diagonal Bolt Grade 1"), Equals, False)</v>
      </c>
      <c r="N137" s="12" t="str">
        <f t="shared" si="25"/>
        <v xml:space="preserve"> 	Case tnxVar.Equals("AntennaRedundantHipDiagonalBoltGrade1")
                            Try
                                Me.geometry.upperStructure(recIndex).AntennaRedundantHipDiagonalBoltGrade1 = tnxValue
                            Catch ex As Exception
                                Debug.Print("Error parsing TNX variable: " &amp; tnxVar)
                            End Try</v>
      </c>
      <c r="O137" s="12" t="str">
        <f t="shared" si="26"/>
        <v>If IsSomethingString(.AntennaRedundantHipDiagonalBoltGrade1) Then 'This field does not get saved when generated from CCIpole
newERIList.Add("AntennaRedundantHipDiagonalBoltGrade1=" &amp; .AntennaRedundantHipDiagonalBoltGrade1)
End If</v>
      </c>
      <c r="P137" s="11" t="str">
        <f t="shared" si="27"/>
        <v>SQLInsertValues = SQLInsertValues.AddtoDBString(Me.AntennaRedundantHipDiagonalBoltGrade1.NullableToString.FormatDBValue)</v>
      </c>
      <c r="Q137" s="11" t="str">
        <f t="shared" si="28"/>
        <v>SQLInsertFields = SQLInsertFields.AddtoDBString("AntennaRedundantHipDiagonalBoltGrade1")</v>
      </c>
      <c r="R137" s="11" t="str">
        <f t="shared" si="29"/>
        <v>SQLUpdateFieldsandValues = SQLUpdateFieldsandValues.AddtoDBString("AntennaRedundantHipDiagonalBoltGrade1 = " &amp; Me.AntennaRedundantHipDiagonalBoltGrade1.NullableToString.FormatDBValue)</v>
      </c>
      <c r="S137" s="10" t="s">
        <v>286</v>
      </c>
    </row>
    <row r="138" spans="1:19" ht="150" x14ac:dyDescent="0.25">
      <c r="A138" s="11" t="s">
        <v>1180</v>
      </c>
      <c r="B138" s="11" t="str" cm="1">
        <f t="array" ref="B138">Addspaces(A138)</f>
        <v>Antenna Redundant Hip Diagonal Bolt Size 1</v>
      </c>
      <c r="C138" s="15" t="s">
        <v>1225</v>
      </c>
      <c r="D138" s="13" t="str">
        <f>VLOOKUP(C138,Sheet8!A:C,2,FALSE)</f>
        <v>decimal(18, 6)</v>
      </c>
      <c r="E138" s="15"/>
      <c r="F138" s="13" t="str">
        <f>VLOOKUP(C138,Sheet8!A:C,3,FALSE)</f>
        <v>Double?</v>
      </c>
      <c r="G138" s="15"/>
      <c r="H138" s="11" t="str">
        <f t="shared" si="20"/>
        <v>ADD AntennaRedundantHipDiagonalBoltSize1 decimal(18, 6),</v>
      </c>
      <c r="I138" s="11" t="str">
        <f t="shared" si="21"/>
        <v xml:space="preserve">Private _AntennaRedundantHipDiagonalBoltSize1 As Double? </v>
      </c>
      <c r="J138" s="12" t="str">
        <f t="shared" si="22"/>
        <v xml:space="preserve">     		&lt;Category("TNX Antenna Record"), Description(""), DisplayName("Antenna Redundant Hip Diagonal Bolt Size 1")&gt;
    		&lt;DataMember()&gt; Public Property AntennaRedundantHipDiagonalBoltSize1() As Double?
        			Get
            				Return Me._AntennaRedundantHipDiagonalBoltSize1
        			End Get
        			Set
            				Me._AntennaRedundantHipDiagonalBoltSize1 = Value
        			End Set
    		End Property</v>
      </c>
      <c r="K138" s="11" t="str">
        <f>"Me."&amp;A138&amp; " = " &amp; VLOOKUP(C138,Sheet8!A:D,4,FALSE)&amp;"(recRow.Item("""&amp;A138 &amp;""")" &amp; IF(C138="Number",",6","")&amp;")"</f>
        <v>Me.AntennaRedundantHipDiagonalBoltSize1 = DBtoNullableDec(recRow.Item("AntennaRedundantHipDiagonalBoltSize1"),6)</v>
      </c>
      <c r="L138" s="11" t="str">
        <f t="shared" si="23"/>
        <v>insertString = insertString.AddtoDBString(Me.AntennaRedundantHipDiagonalBoltSize1.ToString)</v>
      </c>
      <c r="M138" s="11" t="str">
        <f t="shared" si="24"/>
        <v>Equals = If(Me.AntennaRedundantHipDiagonalBoltSize1.CheckChange(otherToCompare.AntennaRedundantHipDiagonalBoltSize1, changes, categoryName, "Antenna Redundant Hip Diagonal Bolt Size 1"), Equals, False)</v>
      </c>
      <c r="N138" s="12" t="str">
        <f t="shared" si="25"/>
        <v xml:space="preserve"> 	Case tnxVar.Equals("AntennaRedundantHipDiagonalBoltSize1")
                            Try
                                Me.geometry.upperStructure(recIndex).AntennaRedundantHipDiagonalBoltSize1 = tnxValue
                            Catch ex As Exception
                                Debug.Print("Error parsing TNX variable: " &amp; tnxVar)
                            End Try</v>
      </c>
      <c r="O138" s="12" t="str">
        <f t="shared" si="26"/>
        <v>If Not IsNothing(Me.settings.USUnits.Strength.convertToERIUnits(.AntennaRedundantHipDiagonalBoltSize1)) Then 'This field does not get saved when generated from CCIpole
                                newERIList.Add("AntennaRedundantHipDiagonalBoltSize1=" &amp; Me.settings.USUnits.Strength.convertToERIUnits(.AntennaRedundantHipDiagonalBoltSize1))
                            End If</v>
      </c>
      <c r="P138" s="11" t="str">
        <f t="shared" si="27"/>
        <v>SQLInsertValues = SQLInsertValues.AddtoDBString(Me.AntennaRedundantHipDiagonalBoltSize1.NullableToString.FormatDBValue)</v>
      </c>
      <c r="Q138" s="11" t="str">
        <f t="shared" si="28"/>
        <v>SQLInsertFields = SQLInsertFields.AddtoDBString("AntennaRedundantHipDiagonalBoltSize1")</v>
      </c>
      <c r="R138" s="11" t="str">
        <f t="shared" si="29"/>
        <v>SQLUpdateFieldsandValues = SQLUpdateFieldsandValues.AddtoDBString("AntennaRedundantHipDiagonalBoltSize1 = " &amp; Me.AntennaRedundantHipDiagonalBoltSize1.NullableToString.FormatDBValue)</v>
      </c>
      <c r="S138" s="10" t="s">
        <v>286</v>
      </c>
    </row>
    <row r="139" spans="1:19" ht="165" x14ac:dyDescent="0.25">
      <c r="A139" s="11" t="s">
        <v>1181</v>
      </c>
      <c r="B139" s="11" t="str" cm="1">
        <f t="array" ref="B139">Addspaces(A139)</f>
        <v>Antenna Redundant Hip Diagonal Num Bolts 1</v>
      </c>
      <c r="C139" s="15" t="s">
        <v>1234</v>
      </c>
      <c r="D139" s="13" t="str">
        <f>VLOOKUP(C139,Sheet8!A:C,2,FALSE)</f>
        <v>int</v>
      </c>
      <c r="E139" s="15"/>
      <c r="F139" s="13" t="str">
        <f>VLOOKUP(C139,Sheet8!A:C,3,FALSE)</f>
        <v>Integer?</v>
      </c>
      <c r="G139" s="15"/>
      <c r="H139" s="11" t="str">
        <f t="shared" si="20"/>
        <v>ADD AntennaRedundantHipDiagonalNumBolts1 int,</v>
      </c>
      <c r="I139" s="11" t="str">
        <f t="shared" si="21"/>
        <v xml:space="preserve">Private _AntennaRedundantHipDiagonalNumBolts1 As Integer? </v>
      </c>
      <c r="J139" s="12" t="str">
        <f t="shared" si="22"/>
        <v xml:space="preserve">     		&lt;Category("TNX Antenna Record"), Description(""), DisplayName("Antenna Redundant Hip Diagonal Num Bolts 1")&gt;
    		&lt;DataMember()&gt; Public Property AntennaRedundantHipDiagonalNumBolts1() As Integer?
        			Get
            				Return Me._AntennaRedundantHipDiagonalNumBolts1
        			End Get
        			Set
            				Me._AntennaRedundantHipDiagonalNumBolts1 = Value
        			End Set
    		End Property</v>
      </c>
      <c r="K139" s="11" t="str">
        <f>"Me."&amp;A139&amp; " = " &amp; VLOOKUP(C139,Sheet8!A:D,4,FALSE)&amp;"(recRow.Item("""&amp;A139 &amp;""")" &amp; IF(C139="Number",",6","")&amp;")"</f>
        <v>Me.AntennaRedundantHipDiagonalNumBolts1 = DBtoNullableInt(recRow.Item("AntennaRedundantHipDiagonalNumBolts1"))</v>
      </c>
      <c r="L139" s="11" t="str">
        <f t="shared" si="23"/>
        <v>insertString = insertString.AddtoDBString(Me.AntennaRedundantHipDiagonalNumBolts1.ToString)</v>
      </c>
      <c r="M139" s="11" t="str">
        <f t="shared" si="24"/>
        <v>Equals = If(Me.AntennaRedundantHipDiagonalNumBolts1.CheckChange(otherToCompare.AntennaRedundantHipDiagonalNumBolts1, changes, categoryName, "Antenna Redundant Hip Diagonal Num Bolts 1"), Equals, False)</v>
      </c>
      <c r="N139" s="12" t="str">
        <f t="shared" si="25"/>
        <v xml:space="preserve"> 	Case tnxVar.Equals("AntennaRedundantHipDiagonalNumBolts1")
                            Try
                                Me.geometry.upperStructure(recIndex).AntennaRedundantHipDiagonalNumBolts1 = tnxValue
                            Catch ex As Exception
                                Debug.Print("Error parsing TNX variable: " &amp; tnxVar)
                            End Try</v>
      </c>
      <c r="O139" s="12" t="str">
        <f t="shared" si="26"/>
        <v>newERIList.Add("AntennaRedundantHipDiagonalNumBolts1=" &amp; .AntennaRedundantHipDiagonalNumBolts1)</v>
      </c>
      <c r="P139" s="11" t="str">
        <f t="shared" si="27"/>
        <v>SQLInsertValues = SQLInsertValues.AddtoDBString(Me.AntennaRedundantHipDiagonalNumBolts1.NullableToString.FormatDBValue)</v>
      </c>
      <c r="Q139" s="11" t="str">
        <f t="shared" si="28"/>
        <v>SQLInsertFields = SQLInsertFields.AddtoDBString("AntennaRedundantHipDiagonalNumBolts1")</v>
      </c>
      <c r="R139" s="11" t="str">
        <f t="shared" si="29"/>
        <v>SQLUpdateFieldsandValues = SQLUpdateFieldsandValues.AddtoDBString("AntennaRedundantHipDiagonalNumBolts1 = " &amp; Me.AntennaRedundantHipDiagonalNumBolts1.NullableToString.FormatDBValue)</v>
      </c>
      <c r="S139" s="10" t="s">
        <v>286</v>
      </c>
    </row>
    <row r="140" spans="1:19" ht="165" x14ac:dyDescent="0.25">
      <c r="A140" s="11" t="s">
        <v>1182</v>
      </c>
      <c r="B140" s="11" t="str" cm="1">
        <f t="array" ref="B140">Addspaces(A140)</f>
        <v>Antenna Redundant Hip Diagonal Bolt Edge Distance 1</v>
      </c>
      <c r="C140" s="15" t="s">
        <v>1225</v>
      </c>
      <c r="D140" s="13" t="str">
        <f>VLOOKUP(C140,Sheet8!A:C,2,FALSE)</f>
        <v>decimal(18, 6)</v>
      </c>
      <c r="E140" s="15"/>
      <c r="F140" s="13" t="str">
        <f>VLOOKUP(C140,Sheet8!A:C,3,FALSE)</f>
        <v>Double?</v>
      </c>
      <c r="G140" s="15"/>
      <c r="H140" s="11" t="str">
        <f t="shared" si="20"/>
        <v>ADD AntennaRedundantHipDiagonalBoltEdgeDistance1 decimal(18, 6),</v>
      </c>
      <c r="I140" s="11" t="str">
        <f t="shared" si="21"/>
        <v xml:space="preserve">Private _AntennaRedundantHipDiagonalBoltEdgeDistance1 As Double? </v>
      </c>
      <c r="J140" s="12" t="str">
        <f t="shared" si="22"/>
        <v xml:space="preserve">     		&lt;Category("TNX Antenna Record"), Description(""), DisplayName("Antenna Redundant Hip Diagonal Bolt Edge Distance 1")&gt;
    		&lt;DataMember()&gt; Public Property AntennaRedundantHipDiagonalBoltEdgeDistance1() As Double?
        			Get
            				Return Me._AntennaRedundantHipDiagonalBoltEdgeDistance1
        			End Get
        			Set
            				Me._AntennaRedundantHipDiagonalBoltEdgeDistance1 = Value
        			End Set
    		End Property</v>
      </c>
      <c r="K140" s="11" t="str">
        <f>"Me."&amp;A140&amp; " = " &amp; VLOOKUP(C140,Sheet8!A:D,4,FALSE)&amp;"(recRow.Item("""&amp;A140 &amp;""")" &amp; IF(C140="Number",",6","")&amp;")"</f>
        <v>Me.AntennaRedundantHipDiagonalBoltEdgeDistance1 = DBtoNullableDec(recRow.Item("AntennaRedundantHipDiagonalBoltEdgeDistance1"),6)</v>
      </c>
      <c r="L140" s="11" t="str">
        <f t="shared" si="23"/>
        <v>insertString = insertString.AddtoDBString(Me.AntennaRedundantHipDiagonalBoltEdgeDistance1.ToString)</v>
      </c>
      <c r="M140" s="11" t="str">
        <f t="shared" si="24"/>
        <v>Equals = If(Me.AntennaRedundantHipDiagonalBoltEdgeDistance1.CheckChange(otherToCompare.AntennaRedundantHipDiagonalBoltEdgeDistance1, changes, categoryName, "Antenna Redundant Hip Diagonal Bolt Edge Distance 1"), Equals, False)</v>
      </c>
      <c r="N140" s="12" t="str">
        <f t="shared" si="25"/>
        <v xml:space="preserve"> 	Case tnxVar.Equals("AntennaRedundantHipDiagonalBoltEdgeDistance1")
                            Try
                                Me.geometry.upperStructure(recIndex).AntennaRedundantHipDiagonalBoltEdgeDistance1 = tnxValue
                            Catch ex As Exception
                                Debug.Print("Error parsing TNX variable: " &amp; tnxVar)
                            End Try</v>
      </c>
      <c r="O140" s="12" t="str">
        <f t="shared" si="26"/>
        <v>If Not IsNothing(Me.settings.USUnits.Strength.convertToERIUnits(.AntennaRedundantHipDiagonalBoltEdgeDistance1)) Then 'This field does not get saved when generated from CCIpole
                                newERIList.Add("AntennaRedundantHipDiagonalBoltEdgeDistance1=" &amp; Me.settings.USUnits.Strength.convertToERIUnits(.AntennaRedundantHipDiagonalBoltEdgeDistance1))
                            End If</v>
      </c>
      <c r="P140" s="11" t="str">
        <f t="shared" si="27"/>
        <v>SQLInsertValues = SQLInsertValues.AddtoDBString(Me.AntennaRedundantHipDiagonalBoltEdgeDistance1.NullableToString.FormatDBValue)</v>
      </c>
      <c r="Q140" s="11" t="str">
        <f t="shared" si="28"/>
        <v>SQLInsertFields = SQLInsertFields.AddtoDBString("AntennaRedundantHipDiagonalBoltEdgeDistance1")</v>
      </c>
      <c r="R140" s="11" t="str">
        <f t="shared" si="29"/>
        <v>SQLUpdateFieldsandValues = SQLUpdateFieldsandValues.AddtoDBString("AntennaRedundantHipDiagonalBoltEdgeDistance1 = " &amp; Me.AntennaRedundantHipDiagonalBoltEdgeDistance1.NullableToString.FormatDBValue)</v>
      </c>
      <c r="S140" s="10" t="s">
        <v>286</v>
      </c>
    </row>
    <row r="141" spans="1:19" ht="165" x14ac:dyDescent="0.25">
      <c r="A141" s="11" t="s">
        <v>1183</v>
      </c>
      <c r="B141" s="11" t="str" cm="1">
        <f t="array" ref="B141">Addspaces(A141)</f>
        <v>Antenna Redundant Hip Diagonal Gage G 1 Distance 1</v>
      </c>
      <c r="C141" s="15" t="s">
        <v>1225</v>
      </c>
      <c r="D141" s="13" t="str">
        <f>VLOOKUP(C141,Sheet8!A:C,2,FALSE)</f>
        <v>decimal(18, 6)</v>
      </c>
      <c r="E141" s="15"/>
      <c r="F141" s="13" t="str">
        <f>VLOOKUP(C141,Sheet8!A:C,3,FALSE)</f>
        <v>Double?</v>
      </c>
      <c r="G141" s="15"/>
      <c r="H141" s="11" t="str">
        <f t="shared" si="20"/>
        <v>ADD AntennaRedundantHipDiagonalGageG1Distance1 decimal(18, 6),</v>
      </c>
      <c r="I141" s="11" t="str">
        <f t="shared" si="21"/>
        <v xml:space="preserve">Private _AntennaRedundantHipDiagonalGageG1Distance1 As Double? </v>
      </c>
      <c r="J141" s="12" t="str">
        <f t="shared" si="22"/>
        <v xml:space="preserve">     		&lt;Category("TNX Antenna Record"), Description(""), DisplayName("Antenna Redundant Hip Diagonal Gage G 1 Distance 1")&gt;
    		&lt;DataMember()&gt; Public Property AntennaRedundantHipDiagonalGageG1Distance1() As Double?
        			Get
            				Return Me._AntennaRedundantHipDiagonalGageG1Distance1
        			End Get
        			Set
            				Me._AntennaRedundantHipDiagonalGageG1Distance1 = Value
        			End Set
    		End Property</v>
      </c>
      <c r="K141" s="11" t="str">
        <f>"Me."&amp;A141&amp; " = " &amp; VLOOKUP(C141,Sheet8!A:D,4,FALSE)&amp;"(recRow.Item("""&amp;A141 &amp;""")" &amp; IF(C141="Number",",6","")&amp;")"</f>
        <v>Me.AntennaRedundantHipDiagonalGageG1Distance1 = DBtoNullableDec(recRow.Item("AntennaRedundantHipDiagonalGageG1Distance1"),6)</v>
      </c>
      <c r="L141" s="11" t="str">
        <f t="shared" si="23"/>
        <v>insertString = insertString.AddtoDBString(Me.AntennaRedundantHipDiagonalGageG1Distance1.ToString)</v>
      </c>
      <c r="M141" s="11" t="str">
        <f t="shared" si="24"/>
        <v>Equals = If(Me.AntennaRedundantHipDiagonalGageG1Distance1.CheckChange(otherToCompare.AntennaRedundantHipDiagonalGageG1Distance1, changes, categoryName, "Antenna Redundant Hip Diagonal Gage G 1 Distance 1"), Equals, False)</v>
      </c>
      <c r="N141" s="12" t="str">
        <f t="shared" si="25"/>
        <v xml:space="preserve"> 	Case tnxVar.Equals("AntennaRedundantHipDiagonalGageG1Distance1")
                            Try
                                Me.geometry.upperStructure(recIndex).AntennaRedundantHipDiagonalGageG1Distance1 = tnxValue
                            Catch ex As Exception
                                Debug.Print("Error parsing TNX variable: " &amp; tnxVar)
                            End Try</v>
      </c>
      <c r="O141" s="12" t="str">
        <f t="shared" si="26"/>
        <v>If Not IsNothing(Me.settings.USUnits.Strength.convertToERIUnits(.AntennaRedundantHipDiagonalGageG1Distance1)) Then 'This field does not get saved when generated from CCIpole
                                newERIList.Add("AntennaRedundantHipDiagonalGageG1Distance1=" &amp; Me.settings.USUnits.Strength.convertToERIUnits(.AntennaRedundantHipDiagonalGageG1Distance1))
                            End If</v>
      </c>
      <c r="P141" s="11" t="str">
        <f t="shared" si="27"/>
        <v>SQLInsertValues = SQLInsertValues.AddtoDBString(Me.AntennaRedundantHipDiagonalGageG1Distance1.NullableToString.FormatDBValue)</v>
      </c>
      <c r="Q141" s="11" t="str">
        <f t="shared" si="28"/>
        <v>SQLInsertFields = SQLInsertFields.AddtoDBString("AntennaRedundantHipDiagonalGageG1Distance1")</v>
      </c>
      <c r="R141" s="11" t="str">
        <f t="shared" si="29"/>
        <v>SQLUpdateFieldsandValues = SQLUpdateFieldsandValues.AddtoDBString("AntennaRedundantHipDiagonalGageG1Distance1 = " &amp; Me.AntennaRedundantHipDiagonalGageG1Distance1.NullableToString.FormatDBValue)</v>
      </c>
      <c r="S141" s="10" t="s">
        <v>286</v>
      </c>
    </row>
    <row r="142" spans="1:19" ht="165" x14ac:dyDescent="0.25">
      <c r="A142" s="11" t="s">
        <v>1184</v>
      </c>
      <c r="B142" s="11" t="str" cm="1">
        <f t="array" ref="B142">Addspaces(A142)</f>
        <v>Antenna Redundant Hip Diagonal Net Width Deduct 1</v>
      </c>
      <c r="C142" s="15" t="s">
        <v>1225</v>
      </c>
      <c r="D142" s="13" t="str">
        <f>VLOOKUP(C142,Sheet8!A:C,2,FALSE)</f>
        <v>decimal(18, 6)</v>
      </c>
      <c r="E142" s="15"/>
      <c r="F142" s="13" t="str">
        <f>VLOOKUP(C142,Sheet8!A:C,3,FALSE)</f>
        <v>Double?</v>
      </c>
      <c r="G142" s="15"/>
      <c r="H142" s="11" t="str">
        <f t="shared" si="20"/>
        <v>ADD AntennaRedundantHipDiagonalNetWidthDeduct1 decimal(18, 6),</v>
      </c>
      <c r="I142" s="11" t="str">
        <f t="shared" si="21"/>
        <v xml:space="preserve">Private _AntennaRedundantHipDiagonalNetWidthDeduct1 As Double? </v>
      </c>
      <c r="J142" s="12" t="str">
        <f t="shared" si="22"/>
        <v xml:space="preserve">     		&lt;Category("TNX Antenna Record"), Description(""), DisplayName("Antenna Redundant Hip Diagonal Net Width Deduct 1")&gt;
    		&lt;DataMember()&gt; Public Property AntennaRedundantHipDiagonalNetWidthDeduct1() As Double?
        			Get
            				Return Me._AntennaRedundantHipDiagonalNetWidthDeduct1
        			End Get
        			Set
            				Me._AntennaRedundantHipDiagonalNetWidthDeduct1 = Value
        			End Set
    		End Property</v>
      </c>
      <c r="K142" s="11" t="str">
        <f>"Me."&amp;A142&amp; " = " &amp; VLOOKUP(C142,Sheet8!A:D,4,FALSE)&amp;"(recRow.Item("""&amp;A142 &amp;""")" &amp; IF(C142="Number",",6","")&amp;")"</f>
        <v>Me.AntennaRedundantHipDiagonalNetWidthDeduct1 = DBtoNullableDec(recRow.Item("AntennaRedundantHipDiagonalNetWidthDeduct1"),6)</v>
      </c>
      <c r="L142" s="11" t="str">
        <f t="shared" si="23"/>
        <v>insertString = insertString.AddtoDBString(Me.AntennaRedundantHipDiagonalNetWidthDeduct1.ToString)</v>
      </c>
      <c r="M142" s="11" t="str">
        <f t="shared" si="24"/>
        <v>Equals = If(Me.AntennaRedundantHipDiagonalNetWidthDeduct1.CheckChange(otherToCompare.AntennaRedundantHipDiagonalNetWidthDeduct1, changes, categoryName, "Antenna Redundant Hip Diagonal Net Width Deduct 1"), Equals, False)</v>
      </c>
      <c r="N142" s="12" t="str">
        <f t="shared" si="25"/>
        <v xml:space="preserve"> 	Case tnxVar.Equals("AntennaRedundantHipDiagonalNetWidthDeduct1")
                            Try
                                Me.geometry.upperStructure(recIndex).AntennaRedundantHipDiagonalNetWidthDeduct1 = tnxValue
                            Catch ex As Exception
                                Debug.Print("Error parsing TNX variable: " &amp; tnxVar)
                            End Try</v>
      </c>
      <c r="O142" s="12" t="str">
        <f t="shared" si="26"/>
        <v>If Not IsNothing(Me.settings.USUnits.Strength.convertToERIUnits(.AntennaRedundantHipDiagonalNetWidthDeduct1)) Then 'This field does not get saved when generated from CCIpole
                                newERIList.Add("AntennaRedundantHipDiagonalNetWidthDeduct1=" &amp; Me.settings.USUnits.Strength.convertToERIUnits(.AntennaRedundantHipDiagonalNetWidthDeduct1))
                            End If</v>
      </c>
      <c r="P142" s="11" t="str">
        <f t="shared" si="27"/>
        <v>SQLInsertValues = SQLInsertValues.AddtoDBString(Me.AntennaRedundantHipDiagonalNetWidthDeduct1.NullableToString.FormatDBValue)</v>
      </c>
      <c r="Q142" s="11" t="str">
        <f t="shared" si="28"/>
        <v>SQLInsertFields = SQLInsertFields.AddtoDBString("AntennaRedundantHipDiagonalNetWidthDeduct1")</v>
      </c>
      <c r="R142" s="11" t="str">
        <f t="shared" si="29"/>
        <v>SQLUpdateFieldsandValues = SQLUpdateFieldsandValues.AddtoDBString("AntennaRedundantHipDiagonalNetWidthDeduct1 = " &amp; Me.AntennaRedundantHipDiagonalNetWidthDeduct1.NullableToString.FormatDBValue)</v>
      </c>
      <c r="S142" s="10" t="s">
        <v>286</v>
      </c>
    </row>
    <row r="143" spans="1:19" ht="150" x14ac:dyDescent="0.25">
      <c r="A143" s="11" t="s">
        <v>1185</v>
      </c>
      <c r="B143" s="11" t="str" cm="1">
        <f t="array" ref="B143">Addspaces(A143)</f>
        <v>Antenna Redundant Hip Diagonal U Factor 1</v>
      </c>
      <c r="C143" s="15" t="s">
        <v>1225</v>
      </c>
      <c r="D143" s="13" t="str">
        <f>VLOOKUP(C143,Sheet8!A:C,2,FALSE)</f>
        <v>decimal(18, 6)</v>
      </c>
      <c r="E143" s="15"/>
      <c r="F143" s="13" t="str">
        <f>VLOOKUP(C143,Sheet8!A:C,3,FALSE)</f>
        <v>Double?</v>
      </c>
      <c r="G143" s="15"/>
      <c r="H143" s="11" t="str">
        <f t="shared" si="20"/>
        <v>ADD AntennaRedundantHipDiagonalUFactor1 decimal(18, 6),</v>
      </c>
      <c r="I143" s="11" t="str">
        <f t="shared" si="21"/>
        <v xml:space="preserve">Private _AntennaRedundantHipDiagonalUFactor1 As Double? </v>
      </c>
      <c r="J143" s="12" t="str">
        <f t="shared" si="22"/>
        <v xml:space="preserve">     		&lt;Category("TNX Antenna Record"), Description(""), DisplayName("Antenna Redundant Hip Diagonal U Factor 1")&gt;
    		&lt;DataMember()&gt; Public Property AntennaRedundantHipDiagonalUFactor1() As Double?
        			Get
            				Return Me._AntennaRedundantHipDiagonalUFactor1
        			End Get
        			Set
            				Me._AntennaRedundantHipDiagonalUFactor1 = Value
        			End Set
    		End Property</v>
      </c>
      <c r="K143" s="11" t="str">
        <f>"Me."&amp;A143&amp; " = " &amp; VLOOKUP(C143,Sheet8!A:D,4,FALSE)&amp;"(recRow.Item("""&amp;A143 &amp;""")" &amp; IF(C143="Number",",6","")&amp;")"</f>
        <v>Me.AntennaRedundantHipDiagonalUFactor1 = DBtoNullableDec(recRow.Item("AntennaRedundantHipDiagonalUFactor1"),6)</v>
      </c>
      <c r="L143" s="11" t="str">
        <f t="shared" si="23"/>
        <v>insertString = insertString.AddtoDBString(Me.AntennaRedundantHipDiagonalUFactor1.ToString)</v>
      </c>
      <c r="M143" s="11" t="str">
        <f t="shared" si="24"/>
        <v>Equals = If(Me.AntennaRedundantHipDiagonalUFactor1.CheckChange(otherToCompare.AntennaRedundantHipDiagonalUFactor1, changes, categoryName, "Antenna Redundant Hip Diagonal U Factor 1"), Equals, False)</v>
      </c>
      <c r="N143" s="12" t="str">
        <f t="shared" si="25"/>
        <v xml:space="preserve"> 	Case tnxVar.Equals("AntennaRedundantHipDiagonalUFactor1")
                            Try
                                Me.geometry.upperStructure(recIndex).AntennaRedundantHipDiagonalUFactor1 = tnxValue
                            Catch ex As Exception
                                Debug.Print("Error parsing TNX variable: " &amp; tnxVar)
                            End Try</v>
      </c>
      <c r="O143" s="12" t="str">
        <f t="shared" si="26"/>
        <v>If Not IsNothing(Me.settings.USUnits.Strength.convertToERIUnits(.AntennaRedundantHipDiagonalUFactor1)) Then 'This field does not get saved when generated from CCIpole
                                newERIList.Add("AntennaRedundantHipDiagonalUFactor1=" &amp; Me.settings.USUnits.Strength.convertToERIUnits(.AntennaRedundantHipDiagonalUFactor1))
                            End If</v>
      </c>
      <c r="P143" s="11" t="str">
        <f t="shared" si="27"/>
        <v>SQLInsertValues = SQLInsertValues.AddtoDBString(Me.AntennaRedundantHipDiagonalUFactor1.NullableToString.FormatDBValue)</v>
      </c>
      <c r="Q143" s="11" t="str">
        <f t="shared" si="28"/>
        <v>SQLInsertFields = SQLInsertFields.AddtoDBString("AntennaRedundantHipDiagonalUFactor1")</v>
      </c>
      <c r="R143" s="11" t="str">
        <f t="shared" si="29"/>
        <v>SQLUpdateFieldsandValues = SQLUpdateFieldsandValues.AddtoDBString("AntennaRedundantHipDiagonalUFactor1 = " &amp; Me.AntennaRedundantHipDiagonalUFactor1.NullableToString.FormatDBValue)</v>
      </c>
      <c r="S143" s="10" t="s">
        <v>286</v>
      </c>
    </row>
    <row r="144" spans="1:19" ht="150" x14ac:dyDescent="0.25">
      <c r="A144" s="11" t="s">
        <v>1186</v>
      </c>
      <c r="B144" s="11" t="str" cm="1">
        <f t="array" ref="B144">Addspaces(A144)</f>
        <v>Antenna Redundant Hip Diagonal Bolt Grade 2</v>
      </c>
      <c r="C144" s="15" t="s">
        <v>1224</v>
      </c>
      <c r="D144" s="13" t="str">
        <f>VLOOKUP(C144,Sheet8!A:C,2,FALSE)</f>
        <v>varchar</v>
      </c>
      <c r="E144" s="15">
        <v>100</v>
      </c>
      <c r="F144" s="13" t="str">
        <f>VLOOKUP(C144,Sheet8!A:C,3,FALSE)</f>
        <v>String</v>
      </c>
      <c r="G144" s="15"/>
      <c r="H144" s="11" t="str">
        <f t="shared" si="20"/>
        <v>ADD AntennaRedundantHipDiagonalBoltGrade2 varchar(100),</v>
      </c>
      <c r="I144" s="11" t="str">
        <f t="shared" si="21"/>
        <v xml:space="preserve">Private _AntennaRedundantHipDiagonalBoltGrade2 As String </v>
      </c>
      <c r="J144" s="12" t="str">
        <f t="shared" si="22"/>
        <v xml:space="preserve">     		&lt;Category("TNX Antenna Record"), Description(""), DisplayName("Antenna Redundant Hip Diagonal Bolt Grade 2")&gt;
    		&lt;DataMember()&gt; Public Property AntennaRedundantHipDiagonalBoltGrade2() As String
        			Get
            				Return Me._AntennaRedundantHipDiagonalBoltGrade2
        			End Get
        			Set
            				Me._AntennaRedundantHipDiagonalBoltGrade2 = Value
        			End Set
    		End Property</v>
      </c>
      <c r="K144" s="11" t="str">
        <f>"Me."&amp;A144&amp; " = " &amp; VLOOKUP(C144,Sheet8!A:D,4,FALSE)&amp;"(recRow.Item("""&amp;A144 &amp;""")" &amp; IF(C144="Number",",6","")&amp;")"</f>
        <v>Me.AntennaRedundantHipDiagonalBoltGrade2 = DBtoStr(recRow.Item("AntennaRedundantHipDiagonalBoltGrade2"))</v>
      </c>
      <c r="L144" s="11" t="str">
        <f t="shared" si="23"/>
        <v>insertString = insertString.AddtoDBString(Me.AntennaRedundantHipDiagonalBoltGrade2.ToString)</v>
      </c>
      <c r="M144" s="11" t="str">
        <f t="shared" si="24"/>
        <v>Equals = If(Me.AntennaRedundantHipDiagonalBoltGrade2.CheckChange(otherToCompare.AntennaRedundantHipDiagonalBoltGrade2, changes, categoryName, "Antenna Redundant Hip Diagonal Bolt Grade 2"), Equals, False)</v>
      </c>
      <c r="N144" s="12" t="str">
        <f t="shared" si="25"/>
        <v xml:space="preserve"> 	Case tnxVar.Equals("AntennaRedundantHipDiagonalBoltGrade2")
                            Try
                                Me.geometry.upperStructure(recIndex).AntennaRedundantHipDiagonalBoltGrade2 = tnxValue
                            Catch ex As Exception
                                Debug.Print("Error parsing TNX variable: " &amp; tnxVar)
                            End Try</v>
      </c>
      <c r="O144" s="12" t="str">
        <f t="shared" si="26"/>
        <v>If IsSomethingString(.AntennaRedundantHipDiagonalBoltGrade2) Then 'This field does not get saved when generated from CCIpole
newERIList.Add("AntennaRedundantHipDiagonalBoltGrade2=" &amp; .AntennaRedundantHipDiagonalBoltGrade2)
End If</v>
      </c>
      <c r="P144" s="11" t="str">
        <f t="shared" si="27"/>
        <v>SQLInsertValues = SQLInsertValues.AddtoDBString(Me.AntennaRedundantHipDiagonalBoltGrade2.NullableToString.FormatDBValue)</v>
      </c>
      <c r="Q144" s="11" t="str">
        <f t="shared" si="28"/>
        <v>SQLInsertFields = SQLInsertFields.AddtoDBString("AntennaRedundantHipDiagonalBoltGrade2")</v>
      </c>
      <c r="R144" s="11" t="str">
        <f t="shared" si="29"/>
        <v>SQLUpdateFieldsandValues = SQLUpdateFieldsandValues.AddtoDBString("AntennaRedundantHipDiagonalBoltGrade2 = " &amp; Me.AntennaRedundantHipDiagonalBoltGrade2.NullableToString.FormatDBValue)</v>
      </c>
      <c r="S144" s="10" t="s">
        <v>286</v>
      </c>
    </row>
    <row r="145" spans="1:19" ht="150" x14ac:dyDescent="0.25">
      <c r="A145" s="11" t="s">
        <v>1187</v>
      </c>
      <c r="B145" s="11" t="str" cm="1">
        <f t="array" ref="B145">Addspaces(A145)</f>
        <v>Antenna Redundant Hip Diagonal Bolt Size 2</v>
      </c>
      <c r="C145" s="15" t="s">
        <v>1225</v>
      </c>
      <c r="D145" s="13" t="str">
        <f>VLOOKUP(C145,Sheet8!A:C,2,FALSE)</f>
        <v>decimal(18, 6)</v>
      </c>
      <c r="E145" s="15"/>
      <c r="F145" s="13" t="str">
        <f>VLOOKUP(C145,Sheet8!A:C,3,FALSE)</f>
        <v>Double?</v>
      </c>
      <c r="G145" s="15"/>
      <c r="H145" s="11" t="str">
        <f t="shared" si="20"/>
        <v>ADD AntennaRedundantHipDiagonalBoltSize2 decimal(18, 6),</v>
      </c>
      <c r="I145" s="11" t="str">
        <f t="shared" si="21"/>
        <v xml:space="preserve">Private _AntennaRedundantHipDiagonalBoltSize2 As Double? </v>
      </c>
      <c r="J145" s="12" t="str">
        <f t="shared" si="22"/>
        <v xml:space="preserve">     		&lt;Category("TNX Antenna Record"), Description(""), DisplayName("Antenna Redundant Hip Diagonal Bolt Size 2")&gt;
    		&lt;DataMember()&gt; Public Property AntennaRedundantHipDiagonalBoltSize2() As Double?
        			Get
            				Return Me._AntennaRedundantHipDiagonalBoltSize2
        			End Get
        			Set
            				Me._AntennaRedundantHipDiagonalBoltSize2 = Value
        			End Set
    		End Property</v>
      </c>
      <c r="K145" s="11" t="str">
        <f>"Me."&amp;A145&amp; " = " &amp; VLOOKUP(C145,Sheet8!A:D,4,FALSE)&amp;"(recRow.Item("""&amp;A145 &amp;""")" &amp; IF(C145="Number",",6","")&amp;")"</f>
        <v>Me.AntennaRedundantHipDiagonalBoltSize2 = DBtoNullableDec(recRow.Item("AntennaRedundantHipDiagonalBoltSize2"),6)</v>
      </c>
      <c r="L145" s="11" t="str">
        <f t="shared" si="23"/>
        <v>insertString = insertString.AddtoDBString(Me.AntennaRedundantHipDiagonalBoltSize2.ToString)</v>
      </c>
      <c r="M145" s="11" t="str">
        <f t="shared" si="24"/>
        <v>Equals = If(Me.AntennaRedundantHipDiagonalBoltSize2.CheckChange(otherToCompare.AntennaRedundantHipDiagonalBoltSize2, changes, categoryName, "Antenna Redundant Hip Diagonal Bolt Size 2"), Equals, False)</v>
      </c>
      <c r="N145" s="12" t="str">
        <f t="shared" si="25"/>
        <v xml:space="preserve"> 	Case tnxVar.Equals("AntennaRedundantHipDiagonalBoltSize2")
                            Try
                                Me.geometry.upperStructure(recIndex).AntennaRedundantHipDiagonalBoltSize2 = tnxValue
                            Catch ex As Exception
                                Debug.Print("Error parsing TNX variable: " &amp; tnxVar)
                            End Try</v>
      </c>
      <c r="O145" s="12" t="str">
        <f t="shared" si="26"/>
        <v>If Not IsNothing(Me.settings.USUnits.Strength.convertToERIUnits(.AntennaRedundantHipDiagonalBoltSize2)) Then 'This field does not get saved when generated from CCIpole
                                newERIList.Add("AntennaRedundantHipDiagonalBoltSize2=" &amp; Me.settings.USUnits.Strength.convertToERIUnits(.AntennaRedundantHipDiagonalBoltSize2))
                            End If</v>
      </c>
      <c r="P145" s="11" t="str">
        <f t="shared" si="27"/>
        <v>SQLInsertValues = SQLInsertValues.AddtoDBString(Me.AntennaRedundantHipDiagonalBoltSize2.NullableToString.FormatDBValue)</v>
      </c>
      <c r="Q145" s="11" t="str">
        <f t="shared" si="28"/>
        <v>SQLInsertFields = SQLInsertFields.AddtoDBString("AntennaRedundantHipDiagonalBoltSize2")</v>
      </c>
      <c r="R145" s="11" t="str">
        <f t="shared" si="29"/>
        <v>SQLUpdateFieldsandValues = SQLUpdateFieldsandValues.AddtoDBString("AntennaRedundantHipDiagonalBoltSize2 = " &amp; Me.AntennaRedundantHipDiagonalBoltSize2.NullableToString.FormatDBValue)</v>
      </c>
      <c r="S145" s="10" t="s">
        <v>286</v>
      </c>
    </row>
    <row r="146" spans="1:19" ht="165" x14ac:dyDescent="0.25">
      <c r="A146" s="11" t="s">
        <v>1188</v>
      </c>
      <c r="B146" s="11" t="str" cm="1">
        <f t="array" ref="B146">Addspaces(A146)</f>
        <v>Antenna Redundant Hip Diagonal Num Bolts 2</v>
      </c>
      <c r="C146" s="15" t="s">
        <v>1234</v>
      </c>
      <c r="D146" s="13" t="str">
        <f>VLOOKUP(C146,Sheet8!A:C,2,FALSE)</f>
        <v>int</v>
      </c>
      <c r="E146" s="15"/>
      <c r="F146" s="13" t="str">
        <f>VLOOKUP(C146,Sheet8!A:C,3,FALSE)</f>
        <v>Integer?</v>
      </c>
      <c r="G146" s="15"/>
      <c r="H146" s="11" t="str">
        <f t="shared" si="20"/>
        <v>ADD AntennaRedundantHipDiagonalNumBolts2 int,</v>
      </c>
      <c r="I146" s="11" t="str">
        <f t="shared" si="21"/>
        <v xml:space="preserve">Private _AntennaRedundantHipDiagonalNumBolts2 As Integer? </v>
      </c>
      <c r="J146" s="12" t="str">
        <f t="shared" si="22"/>
        <v xml:space="preserve">     		&lt;Category("TNX Antenna Record"), Description(""), DisplayName("Antenna Redundant Hip Diagonal Num Bolts 2")&gt;
    		&lt;DataMember()&gt; Public Property AntennaRedundantHipDiagonalNumBolts2() As Integer?
        			Get
            				Return Me._AntennaRedundantHipDiagonalNumBolts2
        			End Get
        			Set
            				Me._AntennaRedundantHipDiagonalNumBolts2 = Value
        			End Set
    		End Property</v>
      </c>
      <c r="K146" s="11" t="str">
        <f>"Me."&amp;A146&amp; " = " &amp; VLOOKUP(C146,Sheet8!A:D,4,FALSE)&amp;"(recRow.Item("""&amp;A146 &amp;""")" &amp; IF(C146="Number",",6","")&amp;")"</f>
        <v>Me.AntennaRedundantHipDiagonalNumBolts2 = DBtoNullableInt(recRow.Item("AntennaRedundantHipDiagonalNumBolts2"))</v>
      </c>
      <c r="L146" s="11" t="str">
        <f t="shared" si="23"/>
        <v>insertString = insertString.AddtoDBString(Me.AntennaRedundantHipDiagonalNumBolts2.ToString)</v>
      </c>
      <c r="M146" s="11" t="str">
        <f t="shared" si="24"/>
        <v>Equals = If(Me.AntennaRedundantHipDiagonalNumBolts2.CheckChange(otherToCompare.AntennaRedundantHipDiagonalNumBolts2, changes, categoryName, "Antenna Redundant Hip Diagonal Num Bolts 2"), Equals, False)</v>
      </c>
      <c r="N146" s="12" t="str">
        <f t="shared" si="25"/>
        <v xml:space="preserve"> 	Case tnxVar.Equals("AntennaRedundantHipDiagonalNumBolts2")
                            Try
                                Me.geometry.upperStructure(recIndex).AntennaRedundantHipDiagonalNumBolts2 = tnxValue
                            Catch ex As Exception
                                Debug.Print("Error parsing TNX variable: " &amp; tnxVar)
                            End Try</v>
      </c>
      <c r="O146" s="12" t="str">
        <f t="shared" si="26"/>
        <v>newERIList.Add("AntennaRedundantHipDiagonalNumBolts2=" &amp; .AntennaRedundantHipDiagonalNumBolts2)</v>
      </c>
      <c r="P146" s="11" t="str">
        <f t="shared" si="27"/>
        <v>SQLInsertValues = SQLInsertValues.AddtoDBString(Me.AntennaRedundantHipDiagonalNumBolts2.NullableToString.FormatDBValue)</v>
      </c>
      <c r="Q146" s="11" t="str">
        <f t="shared" si="28"/>
        <v>SQLInsertFields = SQLInsertFields.AddtoDBString("AntennaRedundantHipDiagonalNumBolts2")</v>
      </c>
      <c r="R146" s="11" t="str">
        <f t="shared" si="29"/>
        <v>SQLUpdateFieldsandValues = SQLUpdateFieldsandValues.AddtoDBString("AntennaRedundantHipDiagonalNumBolts2 = " &amp; Me.AntennaRedundantHipDiagonalNumBolts2.NullableToString.FormatDBValue)</v>
      </c>
      <c r="S146" s="10" t="s">
        <v>286</v>
      </c>
    </row>
    <row r="147" spans="1:19" ht="165" x14ac:dyDescent="0.25">
      <c r="A147" s="11" t="s">
        <v>1189</v>
      </c>
      <c r="B147" s="11" t="str" cm="1">
        <f t="array" ref="B147">Addspaces(A147)</f>
        <v>Antenna Redundant Hip Diagonal Bolt Edge Distance 2</v>
      </c>
      <c r="C147" s="15" t="s">
        <v>1225</v>
      </c>
      <c r="D147" s="13" t="str">
        <f>VLOOKUP(C147,Sheet8!A:C,2,FALSE)</f>
        <v>decimal(18, 6)</v>
      </c>
      <c r="E147" s="15"/>
      <c r="F147" s="13" t="str">
        <f>VLOOKUP(C147,Sheet8!A:C,3,FALSE)</f>
        <v>Double?</v>
      </c>
      <c r="G147" s="15"/>
      <c r="H147" s="11" t="str">
        <f t="shared" si="20"/>
        <v>ADD AntennaRedundantHipDiagonalBoltEdgeDistance2 decimal(18, 6),</v>
      </c>
      <c r="I147" s="11" t="str">
        <f t="shared" si="21"/>
        <v xml:space="preserve">Private _AntennaRedundantHipDiagonalBoltEdgeDistance2 As Double? </v>
      </c>
      <c r="J147" s="12" t="str">
        <f t="shared" si="22"/>
        <v xml:space="preserve">     		&lt;Category("TNX Antenna Record"), Description(""), DisplayName("Antenna Redundant Hip Diagonal Bolt Edge Distance 2")&gt;
    		&lt;DataMember()&gt; Public Property AntennaRedundantHipDiagonalBoltEdgeDistance2() As Double?
        			Get
            				Return Me._AntennaRedundantHipDiagonalBoltEdgeDistance2
        			End Get
        			Set
            				Me._AntennaRedundantHipDiagonalBoltEdgeDistance2 = Value
        			End Set
    		End Property</v>
      </c>
      <c r="K147" s="11" t="str">
        <f>"Me."&amp;A147&amp; " = " &amp; VLOOKUP(C147,Sheet8!A:D,4,FALSE)&amp;"(recRow.Item("""&amp;A147 &amp;""")" &amp; IF(C147="Number",",6","")&amp;")"</f>
        <v>Me.AntennaRedundantHipDiagonalBoltEdgeDistance2 = DBtoNullableDec(recRow.Item("AntennaRedundantHipDiagonalBoltEdgeDistance2"),6)</v>
      </c>
      <c r="L147" s="11" t="str">
        <f t="shared" si="23"/>
        <v>insertString = insertString.AddtoDBString(Me.AntennaRedundantHipDiagonalBoltEdgeDistance2.ToString)</v>
      </c>
      <c r="M147" s="11" t="str">
        <f t="shared" si="24"/>
        <v>Equals = If(Me.AntennaRedundantHipDiagonalBoltEdgeDistance2.CheckChange(otherToCompare.AntennaRedundantHipDiagonalBoltEdgeDistance2, changes, categoryName, "Antenna Redundant Hip Diagonal Bolt Edge Distance 2"), Equals, False)</v>
      </c>
      <c r="N147" s="12" t="str">
        <f t="shared" si="25"/>
        <v xml:space="preserve"> 	Case tnxVar.Equals("AntennaRedundantHipDiagonalBoltEdgeDistance2")
                            Try
                                Me.geometry.upperStructure(recIndex).AntennaRedundantHipDiagonalBoltEdgeDistance2 = tnxValue
                            Catch ex As Exception
                                Debug.Print("Error parsing TNX variable: " &amp; tnxVar)
                            End Try</v>
      </c>
      <c r="O147" s="12" t="str">
        <f t="shared" si="26"/>
        <v>If Not IsNothing(Me.settings.USUnits.Strength.convertToERIUnits(.AntennaRedundantHipDiagonalBoltEdgeDistance2)) Then 'This field does not get saved when generated from CCIpole
                                newERIList.Add("AntennaRedundantHipDiagonalBoltEdgeDistance2=" &amp; Me.settings.USUnits.Strength.convertToERIUnits(.AntennaRedundantHipDiagonalBoltEdgeDistance2))
                            End If</v>
      </c>
      <c r="P147" s="11" t="str">
        <f t="shared" si="27"/>
        <v>SQLInsertValues = SQLInsertValues.AddtoDBString(Me.AntennaRedundantHipDiagonalBoltEdgeDistance2.NullableToString.FormatDBValue)</v>
      </c>
      <c r="Q147" s="11" t="str">
        <f t="shared" si="28"/>
        <v>SQLInsertFields = SQLInsertFields.AddtoDBString("AntennaRedundantHipDiagonalBoltEdgeDistance2")</v>
      </c>
      <c r="R147" s="11" t="str">
        <f t="shared" si="29"/>
        <v>SQLUpdateFieldsandValues = SQLUpdateFieldsandValues.AddtoDBString("AntennaRedundantHipDiagonalBoltEdgeDistance2 = " &amp; Me.AntennaRedundantHipDiagonalBoltEdgeDistance2.NullableToString.FormatDBValue)</v>
      </c>
      <c r="S147" s="10" t="s">
        <v>286</v>
      </c>
    </row>
    <row r="148" spans="1:19" ht="165" x14ac:dyDescent="0.25">
      <c r="A148" s="11" t="s">
        <v>1190</v>
      </c>
      <c r="B148" s="11" t="str" cm="1">
        <f t="array" ref="B148">Addspaces(A148)</f>
        <v>Antenna Redundant Hip Diagonal Gage G 1 Distance 2</v>
      </c>
      <c r="C148" s="15" t="s">
        <v>1225</v>
      </c>
      <c r="D148" s="13" t="str">
        <f>VLOOKUP(C148,Sheet8!A:C,2,FALSE)</f>
        <v>decimal(18, 6)</v>
      </c>
      <c r="E148" s="15"/>
      <c r="F148" s="13" t="str">
        <f>VLOOKUP(C148,Sheet8!A:C,3,FALSE)</f>
        <v>Double?</v>
      </c>
      <c r="G148" s="15"/>
      <c r="H148" s="11" t="str">
        <f t="shared" si="20"/>
        <v>ADD AntennaRedundantHipDiagonalGageG1Distance2 decimal(18, 6),</v>
      </c>
      <c r="I148" s="11" t="str">
        <f t="shared" si="21"/>
        <v xml:space="preserve">Private _AntennaRedundantHipDiagonalGageG1Distance2 As Double? </v>
      </c>
      <c r="J148" s="12" t="str">
        <f t="shared" si="22"/>
        <v xml:space="preserve">     		&lt;Category("TNX Antenna Record"), Description(""), DisplayName("Antenna Redundant Hip Diagonal Gage G 1 Distance 2")&gt;
    		&lt;DataMember()&gt; Public Property AntennaRedundantHipDiagonalGageG1Distance2() As Double?
        			Get
            				Return Me._AntennaRedundantHipDiagonalGageG1Distance2
        			End Get
        			Set
            				Me._AntennaRedundantHipDiagonalGageG1Distance2 = Value
        			End Set
    		End Property</v>
      </c>
      <c r="K148" s="11" t="str">
        <f>"Me."&amp;A148&amp; " = " &amp; VLOOKUP(C148,Sheet8!A:D,4,FALSE)&amp;"(recRow.Item("""&amp;A148 &amp;""")" &amp; IF(C148="Number",",6","")&amp;")"</f>
        <v>Me.AntennaRedundantHipDiagonalGageG1Distance2 = DBtoNullableDec(recRow.Item("AntennaRedundantHipDiagonalGageG1Distance2"),6)</v>
      </c>
      <c r="L148" s="11" t="str">
        <f t="shared" si="23"/>
        <v>insertString = insertString.AddtoDBString(Me.AntennaRedundantHipDiagonalGageG1Distance2.ToString)</v>
      </c>
      <c r="M148" s="11" t="str">
        <f t="shared" si="24"/>
        <v>Equals = If(Me.AntennaRedundantHipDiagonalGageG1Distance2.CheckChange(otherToCompare.AntennaRedundantHipDiagonalGageG1Distance2, changes, categoryName, "Antenna Redundant Hip Diagonal Gage G 1 Distance 2"), Equals, False)</v>
      </c>
      <c r="N148" s="12" t="str">
        <f t="shared" si="25"/>
        <v xml:space="preserve"> 	Case tnxVar.Equals("AntennaRedundantHipDiagonalGageG1Distance2")
                            Try
                                Me.geometry.upperStructure(recIndex).AntennaRedundantHipDiagonalGageG1Distance2 = tnxValue
                            Catch ex As Exception
                                Debug.Print("Error parsing TNX variable: " &amp; tnxVar)
                            End Try</v>
      </c>
      <c r="O148" s="12" t="str">
        <f t="shared" si="26"/>
        <v>If Not IsNothing(Me.settings.USUnits.Strength.convertToERIUnits(.AntennaRedundantHipDiagonalGageG1Distance2)) Then 'This field does not get saved when generated from CCIpole
                                newERIList.Add("AntennaRedundantHipDiagonalGageG1Distance2=" &amp; Me.settings.USUnits.Strength.convertToERIUnits(.AntennaRedundantHipDiagonalGageG1Distance2))
                            End If</v>
      </c>
      <c r="P148" s="11" t="str">
        <f t="shared" si="27"/>
        <v>SQLInsertValues = SQLInsertValues.AddtoDBString(Me.AntennaRedundantHipDiagonalGageG1Distance2.NullableToString.FormatDBValue)</v>
      </c>
      <c r="Q148" s="11" t="str">
        <f t="shared" si="28"/>
        <v>SQLInsertFields = SQLInsertFields.AddtoDBString("AntennaRedundantHipDiagonalGageG1Distance2")</v>
      </c>
      <c r="R148" s="11" t="str">
        <f t="shared" si="29"/>
        <v>SQLUpdateFieldsandValues = SQLUpdateFieldsandValues.AddtoDBString("AntennaRedundantHipDiagonalGageG1Distance2 = " &amp; Me.AntennaRedundantHipDiagonalGageG1Distance2.NullableToString.FormatDBValue)</v>
      </c>
      <c r="S148" s="10" t="s">
        <v>286</v>
      </c>
    </row>
    <row r="149" spans="1:19" ht="165" x14ac:dyDescent="0.25">
      <c r="A149" s="11" t="s">
        <v>1191</v>
      </c>
      <c r="B149" s="11" t="str" cm="1">
        <f t="array" ref="B149">Addspaces(A149)</f>
        <v>Antenna Redundant Hip Diagonal Net Width Deduct 2</v>
      </c>
      <c r="C149" s="15" t="s">
        <v>1225</v>
      </c>
      <c r="D149" s="13" t="str">
        <f>VLOOKUP(C149,Sheet8!A:C,2,FALSE)</f>
        <v>decimal(18, 6)</v>
      </c>
      <c r="E149" s="15"/>
      <c r="F149" s="13" t="str">
        <f>VLOOKUP(C149,Sheet8!A:C,3,FALSE)</f>
        <v>Double?</v>
      </c>
      <c r="G149" s="15"/>
      <c r="H149" s="11" t="str">
        <f t="shared" si="20"/>
        <v>ADD AntennaRedundantHipDiagonalNetWidthDeduct2 decimal(18, 6),</v>
      </c>
      <c r="I149" s="11" t="str">
        <f t="shared" si="21"/>
        <v xml:space="preserve">Private _AntennaRedundantHipDiagonalNetWidthDeduct2 As Double? </v>
      </c>
      <c r="J149" s="12" t="str">
        <f t="shared" si="22"/>
        <v xml:space="preserve">     		&lt;Category("TNX Antenna Record"), Description(""), DisplayName("Antenna Redundant Hip Diagonal Net Width Deduct 2")&gt;
    		&lt;DataMember()&gt; Public Property AntennaRedundantHipDiagonalNetWidthDeduct2() As Double?
        			Get
            				Return Me._AntennaRedundantHipDiagonalNetWidthDeduct2
        			End Get
        			Set
            				Me._AntennaRedundantHipDiagonalNetWidthDeduct2 = Value
        			End Set
    		End Property</v>
      </c>
      <c r="K149" s="11" t="str">
        <f>"Me."&amp;A149&amp; " = " &amp; VLOOKUP(C149,Sheet8!A:D,4,FALSE)&amp;"(recRow.Item("""&amp;A149 &amp;""")" &amp; IF(C149="Number",",6","")&amp;")"</f>
        <v>Me.AntennaRedundantHipDiagonalNetWidthDeduct2 = DBtoNullableDec(recRow.Item("AntennaRedundantHipDiagonalNetWidthDeduct2"),6)</v>
      </c>
      <c r="L149" s="11" t="str">
        <f t="shared" si="23"/>
        <v>insertString = insertString.AddtoDBString(Me.AntennaRedundantHipDiagonalNetWidthDeduct2.ToString)</v>
      </c>
      <c r="M149" s="11" t="str">
        <f t="shared" si="24"/>
        <v>Equals = If(Me.AntennaRedundantHipDiagonalNetWidthDeduct2.CheckChange(otherToCompare.AntennaRedundantHipDiagonalNetWidthDeduct2, changes, categoryName, "Antenna Redundant Hip Diagonal Net Width Deduct 2"), Equals, False)</v>
      </c>
      <c r="N149" s="12" t="str">
        <f t="shared" si="25"/>
        <v xml:space="preserve"> 	Case tnxVar.Equals("AntennaRedundantHipDiagonalNetWidthDeduct2")
                            Try
                                Me.geometry.upperStructure(recIndex).AntennaRedundantHipDiagonalNetWidthDeduct2 = tnxValue
                            Catch ex As Exception
                                Debug.Print("Error parsing TNX variable: " &amp; tnxVar)
                            End Try</v>
      </c>
      <c r="O149" s="12" t="str">
        <f t="shared" si="26"/>
        <v>If Not IsNothing(Me.settings.USUnits.Strength.convertToERIUnits(.AntennaRedundantHipDiagonalNetWidthDeduct2)) Then 'This field does not get saved when generated from CCIpole
                                newERIList.Add("AntennaRedundantHipDiagonalNetWidthDeduct2=" &amp; Me.settings.USUnits.Strength.convertToERIUnits(.AntennaRedundantHipDiagonalNetWidthDeduct2))
                            End If</v>
      </c>
      <c r="P149" s="11" t="str">
        <f t="shared" si="27"/>
        <v>SQLInsertValues = SQLInsertValues.AddtoDBString(Me.AntennaRedundantHipDiagonalNetWidthDeduct2.NullableToString.FormatDBValue)</v>
      </c>
      <c r="Q149" s="11" t="str">
        <f t="shared" si="28"/>
        <v>SQLInsertFields = SQLInsertFields.AddtoDBString("AntennaRedundantHipDiagonalNetWidthDeduct2")</v>
      </c>
      <c r="R149" s="11" t="str">
        <f t="shared" si="29"/>
        <v>SQLUpdateFieldsandValues = SQLUpdateFieldsandValues.AddtoDBString("AntennaRedundantHipDiagonalNetWidthDeduct2 = " &amp; Me.AntennaRedundantHipDiagonalNetWidthDeduct2.NullableToString.FormatDBValue)</v>
      </c>
      <c r="S149" s="10" t="s">
        <v>286</v>
      </c>
    </row>
    <row r="150" spans="1:19" ht="150" x14ac:dyDescent="0.25">
      <c r="A150" s="11" t="s">
        <v>1192</v>
      </c>
      <c r="B150" s="11" t="str" cm="1">
        <f t="array" ref="B150">Addspaces(A150)</f>
        <v>Antenna Redundant Hip Diagonal U Factor 2</v>
      </c>
      <c r="C150" s="15" t="s">
        <v>1225</v>
      </c>
      <c r="D150" s="13" t="str">
        <f>VLOOKUP(C150,Sheet8!A:C,2,FALSE)</f>
        <v>decimal(18, 6)</v>
      </c>
      <c r="E150" s="15"/>
      <c r="F150" s="13" t="str">
        <f>VLOOKUP(C150,Sheet8!A:C,3,FALSE)</f>
        <v>Double?</v>
      </c>
      <c r="G150" s="15"/>
      <c r="H150" s="11" t="str">
        <f t="shared" si="20"/>
        <v>ADD AntennaRedundantHipDiagonalUFactor2 decimal(18, 6),</v>
      </c>
      <c r="I150" s="11" t="str">
        <f t="shared" si="21"/>
        <v xml:space="preserve">Private _AntennaRedundantHipDiagonalUFactor2 As Double? </v>
      </c>
      <c r="J150" s="12" t="str">
        <f t="shared" si="22"/>
        <v xml:space="preserve">     		&lt;Category("TNX Antenna Record"), Description(""), DisplayName("Antenna Redundant Hip Diagonal U Factor 2")&gt;
    		&lt;DataMember()&gt; Public Property AntennaRedundantHipDiagonalUFactor2() As Double?
        			Get
            				Return Me._AntennaRedundantHipDiagonalUFactor2
        			End Get
        			Set
            				Me._AntennaRedundantHipDiagonalUFactor2 = Value
        			End Set
    		End Property</v>
      </c>
      <c r="K150" s="11" t="str">
        <f>"Me."&amp;A150&amp; " = " &amp; VLOOKUP(C150,Sheet8!A:D,4,FALSE)&amp;"(recRow.Item("""&amp;A150 &amp;""")" &amp; IF(C150="Number",",6","")&amp;")"</f>
        <v>Me.AntennaRedundantHipDiagonalUFactor2 = DBtoNullableDec(recRow.Item("AntennaRedundantHipDiagonalUFactor2"),6)</v>
      </c>
      <c r="L150" s="11" t="str">
        <f t="shared" si="23"/>
        <v>insertString = insertString.AddtoDBString(Me.AntennaRedundantHipDiagonalUFactor2.ToString)</v>
      </c>
      <c r="M150" s="11" t="str">
        <f t="shared" si="24"/>
        <v>Equals = If(Me.AntennaRedundantHipDiagonalUFactor2.CheckChange(otherToCompare.AntennaRedundantHipDiagonalUFactor2, changes, categoryName, "Antenna Redundant Hip Diagonal U Factor 2"), Equals, False)</v>
      </c>
      <c r="N150" s="12" t="str">
        <f t="shared" si="25"/>
        <v xml:space="preserve"> 	Case tnxVar.Equals("AntennaRedundantHipDiagonalUFactor2")
                            Try
                                Me.geometry.upperStructure(recIndex).AntennaRedundantHipDiagonalUFactor2 = tnxValue
                            Catch ex As Exception
                                Debug.Print("Error parsing TNX variable: " &amp; tnxVar)
                            End Try</v>
      </c>
      <c r="O150" s="12" t="str">
        <f t="shared" si="26"/>
        <v>If Not IsNothing(Me.settings.USUnits.Strength.convertToERIUnits(.AntennaRedundantHipDiagonalUFactor2)) Then 'This field does not get saved when generated from CCIpole
                                newERIList.Add("AntennaRedundantHipDiagonalUFactor2=" &amp; Me.settings.USUnits.Strength.convertToERIUnits(.AntennaRedundantHipDiagonalUFactor2))
                            End If</v>
      </c>
      <c r="P150" s="11" t="str">
        <f t="shared" si="27"/>
        <v>SQLInsertValues = SQLInsertValues.AddtoDBString(Me.AntennaRedundantHipDiagonalUFactor2.NullableToString.FormatDBValue)</v>
      </c>
      <c r="Q150" s="11" t="str">
        <f t="shared" si="28"/>
        <v>SQLInsertFields = SQLInsertFields.AddtoDBString("AntennaRedundantHipDiagonalUFactor2")</v>
      </c>
      <c r="R150" s="11" t="str">
        <f t="shared" si="29"/>
        <v>SQLUpdateFieldsandValues = SQLUpdateFieldsandValues.AddtoDBString("AntennaRedundantHipDiagonalUFactor2 = " &amp; Me.AntennaRedundantHipDiagonalUFactor2.NullableToString.FormatDBValue)</v>
      </c>
      <c r="S150" s="10" t="s">
        <v>286</v>
      </c>
    </row>
    <row r="151" spans="1:19" ht="150" x14ac:dyDescent="0.25">
      <c r="A151" s="11" t="s">
        <v>1193</v>
      </c>
      <c r="B151" s="11" t="str" cm="1">
        <f t="array" ref="B151">Addspaces(A151)</f>
        <v>Antenna Redundant Hip Diagonal Bolt Grade 3</v>
      </c>
      <c r="C151" s="15" t="s">
        <v>1224</v>
      </c>
      <c r="D151" s="13" t="str">
        <f>VLOOKUP(C151,Sheet8!A:C,2,FALSE)</f>
        <v>varchar</v>
      </c>
      <c r="E151" s="15">
        <v>100</v>
      </c>
      <c r="F151" s="13" t="str">
        <f>VLOOKUP(C151,Sheet8!A:C,3,FALSE)</f>
        <v>String</v>
      </c>
      <c r="G151" s="15"/>
      <c r="H151" s="11" t="str">
        <f t="shared" si="20"/>
        <v>ADD AntennaRedundantHipDiagonalBoltGrade3 varchar(100),</v>
      </c>
      <c r="I151" s="11" t="str">
        <f t="shared" si="21"/>
        <v xml:space="preserve">Private _AntennaRedundantHipDiagonalBoltGrade3 As String </v>
      </c>
      <c r="J151" s="12" t="str">
        <f t="shared" si="22"/>
        <v xml:space="preserve">     		&lt;Category("TNX Antenna Record"), Description(""), DisplayName("Antenna Redundant Hip Diagonal Bolt Grade 3")&gt;
    		&lt;DataMember()&gt; Public Property AntennaRedundantHipDiagonalBoltGrade3() As String
        			Get
            				Return Me._AntennaRedundantHipDiagonalBoltGrade3
        			End Get
        			Set
            				Me._AntennaRedundantHipDiagonalBoltGrade3 = Value
        			End Set
    		End Property</v>
      </c>
      <c r="K151" s="11" t="str">
        <f>"Me."&amp;A151&amp; " = " &amp; VLOOKUP(C151,Sheet8!A:D,4,FALSE)&amp;"(recRow.Item("""&amp;A151 &amp;""")" &amp; IF(C151="Number",",6","")&amp;")"</f>
        <v>Me.AntennaRedundantHipDiagonalBoltGrade3 = DBtoStr(recRow.Item("AntennaRedundantHipDiagonalBoltGrade3"))</v>
      </c>
      <c r="L151" s="11" t="str">
        <f t="shared" si="23"/>
        <v>insertString = insertString.AddtoDBString(Me.AntennaRedundantHipDiagonalBoltGrade3.ToString)</v>
      </c>
      <c r="M151" s="11" t="str">
        <f t="shared" si="24"/>
        <v>Equals = If(Me.AntennaRedundantHipDiagonalBoltGrade3.CheckChange(otherToCompare.AntennaRedundantHipDiagonalBoltGrade3, changes, categoryName, "Antenna Redundant Hip Diagonal Bolt Grade 3"), Equals, False)</v>
      </c>
      <c r="N151" s="12" t="str">
        <f t="shared" si="25"/>
        <v xml:space="preserve"> 	Case tnxVar.Equals("AntennaRedundantHipDiagonalBoltGrade3")
                            Try
                                Me.geometry.upperStructure(recIndex).AntennaRedundantHipDiagonalBoltGrade3 = tnxValue
                            Catch ex As Exception
                                Debug.Print("Error parsing TNX variable: " &amp; tnxVar)
                            End Try</v>
      </c>
      <c r="O151" s="12" t="str">
        <f t="shared" si="26"/>
        <v>If IsSomethingString(.AntennaRedundantHipDiagonalBoltGrade3) Then 'This field does not get saved when generated from CCIpole
newERIList.Add("AntennaRedundantHipDiagonalBoltGrade3=" &amp; .AntennaRedundantHipDiagonalBoltGrade3)
End If</v>
      </c>
      <c r="P151" s="11" t="str">
        <f t="shared" si="27"/>
        <v>SQLInsertValues = SQLInsertValues.AddtoDBString(Me.AntennaRedundantHipDiagonalBoltGrade3.NullableToString.FormatDBValue)</v>
      </c>
      <c r="Q151" s="11" t="str">
        <f t="shared" si="28"/>
        <v>SQLInsertFields = SQLInsertFields.AddtoDBString("AntennaRedundantHipDiagonalBoltGrade3")</v>
      </c>
      <c r="R151" s="11" t="str">
        <f t="shared" si="29"/>
        <v>SQLUpdateFieldsandValues = SQLUpdateFieldsandValues.AddtoDBString("AntennaRedundantHipDiagonalBoltGrade3 = " &amp; Me.AntennaRedundantHipDiagonalBoltGrade3.NullableToString.FormatDBValue)</v>
      </c>
      <c r="S151" s="10" t="s">
        <v>286</v>
      </c>
    </row>
    <row r="152" spans="1:19" ht="150" x14ac:dyDescent="0.25">
      <c r="A152" s="11" t="s">
        <v>1194</v>
      </c>
      <c r="B152" s="11" t="str" cm="1">
        <f t="array" ref="B152">Addspaces(A152)</f>
        <v>Antenna Redundant Hip Diagonal Bolt Size 3</v>
      </c>
      <c r="C152" s="15" t="s">
        <v>1225</v>
      </c>
      <c r="D152" s="13" t="str">
        <f>VLOOKUP(C152,Sheet8!A:C,2,FALSE)</f>
        <v>decimal(18, 6)</v>
      </c>
      <c r="E152" s="15"/>
      <c r="F152" s="13" t="str">
        <f>VLOOKUP(C152,Sheet8!A:C,3,FALSE)</f>
        <v>Double?</v>
      </c>
      <c r="G152" s="15"/>
      <c r="H152" s="11" t="str">
        <f t="shared" si="20"/>
        <v>ADD AntennaRedundantHipDiagonalBoltSize3 decimal(18, 6),</v>
      </c>
      <c r="I152" s="11" t="str">
        <f t="shared" si="21"/>
        <v xml:space="preserve">Private _AntennaRedundantHipDiagonalBoltSize3 As Double? </v>
      </c>
      <c r="J152" s="12" t="str">
        <f t="shared" si="22"/>
        <v xml:space="preserve">     		&lt;Category("TNX Antenna Record"), Description(""), DisplayName("Antenna Redundant Hip Diagonal Bolt Size 3")&gt;
    		&lt;DataMember()&gt; Public Property AntennaRedundantHipDiagonalBoltSize3() As Double?
        			Get
            				Return Me._AntennaRedundantHipDiagonalBoltSize3
        			End Get
        			Set
            				Me._AntennaRedundantHipDiagonalBoltSize3 = Value
        			End Set
    		End Property</v>
      </c>
      <c r="K152" s="11" t="str">
        <f>"Me."&amp;A152&amp; " = " &amp; VLOOKUP(C152,Sheet8!A:D,4,FALSE)&amp;"(recRow.Item("""&amp;A152 &amp;""")" &amp; IF(C152="Number",",6","")&amp;")"</f>
        <v>Me.AntennaRedundantHipDiagonalBoltSize3 = DBtoNullableDec(recRow.Item("AntennaRedundantHipDiagonalBoltSize3"),6)</v>
      </c>
      <c r="L152" s="11" t="str">
        <f t="shared" si="23"/>
        <v>insertString = insertString.AddtoDBString(Me.AntennaRedundantHipDiagonalBoltSize3.ToString)</v>
      </c>
      <c r="M152" s="11" t="str">
        <f t="shared" si="24"/>
        <v>Equals = If(Me.AntennaRedundantHipDiagonalBoltSize3.CheckChange(otherToCompare.AntennaRedundantHipDiagonalBoltSize3, changes, categoryName, "Antenna Redundant Hip Diagonal Bolt Size 3"), Equals, False)</v>
      </c>
      <c r="N152" s="12" t="str">
        <f t="shared" si="25"/>
        <v xml:space="preserve"> 	Case tnxVar.Equals("AntennaRedundantHipDiagonalBoltSize3")
                            Try
                                Me.geometry.upperStructure(recIndex).AntennaRedundantHipDiagonalBoltSize3 = tnxValue
                            Catch ex As Exception
                                Debug.Print("Error parsing TNX variable: " &amp; tnxVar)
                            End Try</v>
      </c>
      <c r="O152" s="12" t="str">
        <f t="shared" si="26"/>
        <v>If Not IsNothing(Me.settings.USUnits.Strength.convertToERIUnits(.AntennaRedundantHipDiagonalBoltSize3)) Then 'This field does not get saved when generated from CCIpole
                                newERIList.Add("AntennaRedundantHipDiagonalBoltSize3=" &amp; Me.settings.USUnits.Strength.convertToERIUnits(.AntennaRedundantHipDiagonalBoltSize3))
                            End If</v>
      </c>
      <c r="P152" s="11" t="str">
        <f t="shared" si="27"/>
        <v>SQLInsertValues = SQLInsertValues.AddtoDBString(Me.AntennaRedundantHipDiagonalBoltSize3.NullableToString.FormatDBValue)</v>
      </c>
      <c r="Q152" s="11" t="str">
        <f t="shared" si="28"/>
        <v>SQLInsertFields = SQLInsertFields.AddtoDBString("AntennaRedundantHipDiagonalBoltSize3")</v>
      </c>
      <c r="R152" s="11" t="str">
        <f t="shared" si="29"/>
        <v>SQLUpdateFieldsandValues = SQLUpdateFieldsandValues.AddtoDBString("AntennaRedundantHipDiagonalBoltSize3 = " &amp; Me.AntennaRedundantHipDiagonalBoltSize3.NullableToString.FormatDBValue)</v>
      </c>
      <c r="S152" s="10" t="s">
        <v>286</v>
      </c>
    </row>
    <row r="153" spans="1:19" ht="165" x14ac:dyDescent="0.25">
      <c r="A153" s="11" t="s">
        <v>1195</v>
      </c>
      <c r="B153" s="11" t="str" cm="1">
        <f t="array" ref="B153">Addspaces(A153)</f>
        <v>Antenna Redundant Hip Diagonal Num Bolts 3</v>
      </c>
      <c r="C153" s="15" t="s">
        <v>1234</v>
      </c>
      <c r="D153" s="13" t="str">
        <f>VLOOKUP(C153,Sheet8!A:C,2,FALSE)</f>
        <v>int</v>
      </c>
      <c r="E153" s="15"/>
      <c r="F153" s="13" t="str">
        <f>VLOOKUP(C153,Sheet8!A:C,3,FALSE)</f>
        <v>Integer?</v>
      </c>
      <c r="G153" s="15"/>
      <c r="H153" s="11" t="str">
        <f t="shared" si="20"/>
        <v>ADD AntennaRedundantHipDiagonalNumBolts3 int,</v>
      </c>
      <c r="I153" s="11" t="str">
        <f t="shared" si="21"/>
        <v xml:space="preserve">Private _AntennaRedundantHipDiagonalNumBolts3 As Integer? </v>
      </c>
      <c r="J153" s="12" t="str">
        <f t="shared" si="22"/>
        <v xml:space="preserve">     		&lt;Category("TNX Antenna Record"), Description(""), DisplayName("Antenna Redundant Hip Diagonal Num Bolts 3")&gt;
    		&lt;DataMember()&gt; Public Property AntennaRedundantHipDiagonalNumBolts3() As Integer?
        			Get
            				Return Me._AntennaRedundantHipDiagonalNumBolts3
        			End Get
        			Set
            				Me._AntennaRedundantHipDiagonalNumBolts3 = Value
        			End Set
    		End Property</v>
      </c>
      <c r="K153" s="11" t="str">
        <f>"Me."&amp;A153&amp; " = " &amp; VLOOKUP(C153,Sheet8!A:D,4,FALSE)&amp;"(recRow.Item("""&amp;A153 &amp;""")" &amp; IF(C153="Number",",6","")&amp;")"</f>
        <v>Me.AntennaRedundantHipDiagonalNumBolts3 = DBtoNullableInt(recRow.Item("AntennaRedundantHipDiagonalNumBolts3"))</v>
      </c>
      <c r="L153" s="11" t="str">
        <f t="shared" si="23"/>
        <v>insertString = insertString.AddtoDBString(Me.AntennaRedundantHipDiagonalNumBolts3.ToString)</v>
      </c>
      <c r="M153" s="11" t="str">
        <f t="shared" si="24"/>
        <v>Equals = If(Me.AntennaRedundantHipDiagonalNumBolts3.CheckChange(otherToCompare.AntennaRedundantHipDiagonalNumBolts3, changes, categoryName, "Antenna Redundant Hip Diagonal Num Bolts 3"), Equals, False)</v>
      </c>
      <c r="N153" s="12" t="str">
        <f t="shared" si="25"/>
        <v xml:space="preserve"> 	Case tnxVar.Equals("AntennaRedundantHipDiagonalNumBolts3")
                            Try
                                Me.geometry.upperStructure(recIndex).AntennaRedundantHipDiagonalNumBolts3 = tnxValue
                            Catch ex As Exception
                                Debug.Print("Error parsing TNX variable: " &amp; tnxVar)
                            End Try</v>
      </c>
      <c r="O153" s="12" t="str">
        <f t="shared" si="26"/>
        <v>newERIList.Add("AntennaRedundantHipDiagonalNumBolts3=" &amp; .AntennaRedundantHipDiagonalNumBolts3)</v>
      </c>
      <c r="P153" s="11" t="str">
        <f t="shared" si="27"/>
        <v>SQLInsertValues = SQLInsertValues.AddtoDBString(Me.AntennaRedundantHipDiagonalNumBolts3.NullableToString.FormatDBValue)</v>
      </c>
      <c r="Q153" s="11" t="str">
        <f t="shared" si="28"/>
        <v>SQLInsertFields = SQLInsertFields.AddtoDBString("AntennaRedundantHipDiagonalNumBolts3")</v>
      </c>
      <c r="R153" s="11" t="str">
        <f t="shared" si="29"/>
        <v>SQLUpdateFieldsandValues = SQLUpdateFieldsandValues.AddtoDBString("AntennaRedundantHipDiagonalNumBolts3 = " &amp; Me.AntennaRedundantHipDiagonalNumBolts3.NullableToString.FormatDBValue)</v>
      </c>
      <c r="S153" s="10" t="s">
        <v>286</v>
      </c>
    </row>
    <row r="154" spans="1:19" ht="165" x14ac:dyDescent="0.25">
      <c r="A154" s="11" t="s">
        <v>1196</v>
      </c>
      <c r="B154" s="11" t="str" cm="1">
        <f t="array" ref="B154">Addspaces(A154)</f>
        <v>Antenna Redundant Hip Diagonal Bolt Edge Distance 3</v>
      </c>
      <c r="C154" s="15" t="s">
        <v>1225</v>
      </c>
      <c r="D154" s="13" t="str">
        <f>VLOOKUP(C154,Sheet8!A:C,2,FALSE)</f>
        <v>decimal(18, 6)</v>
      </c>
      <c r="E154" s="15"/>
      <c r="F154" s="13" t="str">
        <f>VLOOKUP(C154,Sheet8!A:C,3,FALSE)</f>
        <v>Double?</v>
      </c>
      <c r="G154" s="15"/>
      <c r="H154" s="11" t="str">
        <f t="shared" si="20"/>
        <v>ADD AntennaRedundantHipDiagonalBoltEdgeDistance3 decimal(18, 6),</v>
      </c>
      <c r="I154" s="11" t="str">
        <f t="shared" si="21"/>
        <v xml:space="preserve">Private _AntennaRedundantHipDiagonalBoltEdgeDistance3 As Double? </v>
      </c>
      <c r="J154" s="12" t="str">
        <f t="shared" si="22"/>
        <v xml:space="preserve">     		&lt;Category("TNX Antenna Record"), Description(""), DisplayName("Antenna Redundant Hip Diagonal Bolt Edge Distance 3")&gt;
    		&lt;DataMember()&gt; Public Property AntennaRedundantHipDiagonalBoltEdgeDistance3() As Double?
        			Get
            				Return Me._AntennaRedundantHipDiagonalBoltEdgeDistance3
        			End Get
        			Set
            				Me._AntennaRedundantHipDiagonalBoltEdgeDistance3 = Value
        			End Set
    		End Property</v>
      </c>
      <c r="K154" s="11" t="str">
        <f>"Me."&amp;A154&amp; " = " &amp; VLOOKUP(C154,Sheet8!A:D,4,FALSE)&amp;"(recRow.Item("""&amp;A154 &amp;""")" &amp; IF(C154="Number",",6","")&amp;")"</f>
        <v>Me.AntennaRedundantHipDiagonalBoltEdgeDistance3 = DBtoNullableDec(recRow.Item("AntennaRedundantHipDiagonalBoltEdgeDistance3"),6)</v>
      </c>
      <c r="L154" s="11" t="str">
        <f t="shared" si="23"/>
        <v>insertString = insertString.AddtoDBString(Me.AntennaRedundantHipDiagonalBoltEdgeDistance3.ToString)</v>
      </c>
      <c r="M154" s="11" t="str">
        <f t="shared" si="24"/>
        <v>Equals = If(Me.AntennaRedundantHipDiagonalBoltEdgeDistance3.CheckChange(otherToCompare.AntennaRedundantHipDiagonalBoltEdgeDistance3, changes, categoryName, "Antenna Redundant Hip Diagonal Bolt Edge Distance 3"), Equals, False)</v>
      </c>
      <c r="N154" s="12" t="str">
        <f t="shared" si="25"/>
        <v xml:space="preserve"> 	Case tnxVar.Equals("AntennaRedundantHipDiagonalBoltEdgeDistance3")
                            Try
                                Me.geometry.upperStructure(recIndex).AntennaRedundantHipDiagonalBoltEdgeDistance3 = tnxValue
                            Catch ex As Exception
                                Debug.Print("Error parsing TNX variable: " &amp; tnxVar)
                            End Try</v>
      </c>
      <c r="O154" s="12" t="str">
        <f t="shared" si="26"/>
        <v>If Not IsNothing(Me.settings.USUnits.Strength.convertToERIUnits(.AntennaRedundantHipDiagonalBoltEdgeDistance3)) Then 'This field does not get saved when generated from CCIpole
                                newERIList.Add("AntennaRedundantHipDiagonalBoltEdgeDistance3=" &amp; Me.settings.USUnits.Strength.convertToERIUnits(.AntennaRedundantHipDiagonalBoltEdgeDistance3))
                            End If</v>
      </c>
      <c r="P154" s="11" t="str">
        <f t="shared" si="27"/>
        <v>SQLInsertValues = SQLInsertValues.AddtoDBString(Me.AntennaRedundantHipDiagonalBoltEdgeDistance3.NullableToString.FormatDBValue)</v>
      </c>
      <c r="Q154" s="11" t="str">
        <f t="shared" si="28"/>
        <v>SQLInsertFields = SQLInsertFields.AddtoDBString("AntennaRedundantHipDiagonalBoltEdgeDistance3")</v>
      </c>
      <c r="R154" s="11" t="str">
        <f t="shared" si="29"/>
        <v>SQLUpdateFieldsandValues = SQLUpdateFieldsandValues.AddtoDBString("AntennaRedundantHipDiagonalBoltEdgeDistance3 = " &amp; Me.AntennaRedundantHipDiagonalBoltEdgeDistance3.NullableToString.FormatDBValue)</v>
      </c>
      <c r="S154" s="10" t="s">
        <v>286</v>
      </c>
    </row>
    <row r="155" spans="1:19" ht="165" x14ac:dyDescent="0.25">
      <c r="A155" s="11" t="s">
        <v>1197</v>
      </c>
      <c r="B155" s="11" t="str" cm="1">
        <f t="array" ref="B155">Addspaces(A155)</f>
        <v>Antenna Redundant Hip Diagonal Gage G 1 Distance 3</v>
      </c>
      <c r="C155" s="15" t="s">
        <v>1225</v>
      </c>
      <c r="D155" s="13" t="str">
        <f>VLOOKUP(C155,Sheet8!A:C,2,FALSE)</f>
        <v>decimal(18, 6)</v>
      </c>
      <c r="E155" s="15"/>
      <c r="F155" s="13" t="str">
        <f>VLOOKUP(C155,Sheet8!A:C,3,FALSE)</f>
        <v>Double?</v>
      </c>
      <c r="G155" s="15"/>
      <c r="H155" s="11" t="str">
        <f t="shared" si="20"/>
        <v>ADD AntennaRedundantHipDiagonalGageG1Distance3 decimal(18, 6),</v>
      </c>
      <c r="I155" s="11" t="str">
        <f t="shared" si="21"/>
        <v xml:space="preserve">Private _AntennaRedundantHipDiagonalGageG1Distance3 As Double? </v>
      </c>
      <c r="J155" s="12" t="str">
        <f t="shared" si="22"/>
        <v xml:space="preserve">     		&lt;Category("TNX Antenna Record"), Description(""), DisplayName("Antenna Redundant Hip Diagonal Gage G 1 Distance 3")&gt;
    		&lt;DataMember()&gt; Public Property AntennaRedundantHipDiagonalGageG1Distance3() As Double?
        			Get
            				Return Me._AntennaRedundantHipDiagonalGageG1Distance3
        			End Get
        			Set
            				Me._AntennaRedundantHipDiagonalGageG1Distance3 = Value
        			End Set
    		End Property</v>
      </c>
      <c r="K155" s="11" t="str">
        <f>"Me."&amp;A155&amp; " = " &amp; VLOOKUP(C155,Sheet8!A:D,4,FALSE)&amp;"(recRow.Item("""&amp;A155 &amp;""")" &amp; IF(C155="Number",",6","")&amp;")"</f>
        <v>Me.AntennaRedundantHipDiagonalGageG1Distance3 = DBtoNullableDec(recRow.Item("AntennaRedundantHipDiagonalGageG1Distance3"),6)</v>
      </c>
      <c r="L155" s="11" t="str">
        <f t="shared" si="23"/>
        <v>insertString = insertString.AddtoDBString(Me.AntennaRedundantHipDiagonalGageG1Distance3.ToString)</v>
      </c>
      <c r="M155" s="11" t="str">
        <f t="shared" si="24"/>
        <v>Equals = If(Me.AntennaRedundantHipDiagonalGageG1Distance3.CheckChange(otherToCompare.AntennaRedundantHipDiagonalGageG1Distance3, changes, categoryName, "Antenna Redundant Hip Diagonal Gage G 1 Distance 3"), Equals, False)</v>
      </c>
      <c r="N155" s="12" t="str">
        <f t="shared" si="25"/>
        <v xml:space="preserve"> 	Case tnxVar.Equals("AntennaRedundantHipDiagonalGageG1Distance3")
                            Try
                                Me.geometry.upperStructure(recIndex).AntennaRedundantHipDiagonalGageG1Distance3 = tnxValue
                            Catch ex As Exception
                                Debug.Print("Error parsing TNX variable: " &amp; tnxVar)
                            End Try</v>
      </c>
      <c r="O155" s="12" t="str">
        <f t="shared" si="26"/>
        <v>If Not IsNothing(Me.settings.USUnits.Strength.convertToERIUnits(.AntennaRedundantHipDiagonalGageG1Distance3)) Then 'This field does not get saved when generated from CCIpole
                                newERIList.Add("AntennaRedundantHipDiagonalGageG1Distance3=" &amp; Me.settings.USUnits.Strength.convertToERIUnits(.AntennaRedundantHipDiagonalGageG1Distance3))
                            End If</v>
      </c>
      <c r="P155" s="11" t="str">
        <f t="shared" si="27"/>
        <v>SQLInsertValues = SQLInsertValues.AddtoDBString(Me.AntennaRedundantHipDiagonalGageG1Distance3.NullableToString.FormatDBValue)</v>
      </c>
      <c r="Q155" s="11" t="str">
        <f t="shared" si="28"/>
        <v>SQLInsertFields = SQLInsertFields.AddtoDBString("AntennaRedundantHipDiagonalGageG1Distance3")</v>
      </c>
      <c r="R155" s="11" t="str">
        <f t="shared" si="29"/>
        <v>SQLUpdateFieldsandValues = SQLUpdateFieldsandValues.AddtoDBString("AntennaRedundantHipDiagonalGageG1Distance3 = " &amp; Me.AntennaRedundantHipDiagonalGageG1Distance3.NullableToString.FormatDBValue)</v>
      </c>
      <c r="S155" s="10" t="s">
        <v>286</v>
      </c>
    </row>
    <row r="156" spans="1:19" ht="165" x14ac:dyDescent="0.25">
      <c r="A156" s="11" t="s">
        <v>1198</v>
      </c>
      <c r="B156" s="11" t="str" cm="1">
        <f t="array" ref="B156">Addspaces(A156)</f>
        <v>Antenna Redundant Hip Diagonal Net Width Deduct 3</v>
      </c>
      <c r="C156" s="15" t="s">
        <v>1225</v>
      </c>
      <c r="D156" s="13" t="str">
        <f>VLOOKUP(C156,Sheet8!A:C,2,FALSE)</f>
        <v>decimal(18, 6)</v>
      </c>
      <c r="E156" s="15"/>
      <c r="F156" s="13" t="str">
        <f>VLOOKUP(C156,Sheet8!A:C,3,FALSE)</f>
        <v>Double?</v>
      </c>
      <c r="G156" s="15"/>
      <c r="H156" s="11" t="str">
        <f t="shared" si="20"/>
        <v>ADD AntennaRedundantHipDiagonalNetWidthDeduct3 decimal(18, 6),</v>
      </c>
      <c r="I156" s="11" t="str">
        <f t="shared" si="21"/>
        <v xml:space="preserve">Private _AntennaRedundantHipDiagonalNetWidthDeduct3 As Double? </v>
      </c>
      <c r="J156" s="12" t="str">
        <f t="shared" si="22"/>
        <v xml:space="preserve">     		&lt;Category("TNX Antenna Record"), Description(""), DisplayName("Antenna Redundant Hip Diagonal Net Width Deduct 3")&gt;
    		&lt;DataMember()&gt; Public Property AntennaRedundantHipDiagonalNetWidthDeduct3() As Double?
        			Get
            				Return Me._AntennaRedundantHipDiagonalNetWidthDeduct3
        			End Get
        			Set
            				Me._AntennaRedundantHipDiagonalNetWidthDeduct3 = Value
        			End Set
    		End Property</v>
      </c>
      <c r="K156" s="11" t="str">
        <f>"Me."&amp;A156&amp; " = " &amp; VLOOKUP(C156,Sheet8!A:D,4,FALSE)&amp;"(recRow.Item("""&amp;A156 &amp;""")" &amp; IF(C156="Number",",6","")&amp;")"</f>
        <v>Me.AntennaRedundantHipDiagonalNetWidthDeduct3 = DBtoNullableDec(recRow.Item("AntennaRedundantHipDiagonalNetWidthDeduct3"),6)</v>
      </c>
      <c r="L156" s="11" t="str">
        <f t="shared" si="23"/>
        <v>insertString = insertString.AddtoDBString(Me.AntennaRedundantHipDiagonalNetWidthDeduct3.ToString)</v>
      </c>
      <c r="M156" s="11" t="str">
        <f t="shared" si="24"/>
        <v>Equals = If(Me.AntennaRedundantHipDiagonalNetWidthDeduct3.CheckChange(otherToCompare.AntennaRedundantHipDiagonalNetWidthDeduct3, changes, categoryName, "Antenna Redundant Hip Diagonal Net Width Deduct 3"), Equals, False)</v>
      </c>
      <c r="N156" s="12" t="str">
        <f t="shared" si="25"/>
        <v xml:space="preserve"> 	Case tnxVar.Equals("AntennaRedundantHipDiagonalNetWidthDeduct3")
                            Try
                                Me.geometry.upperStructure(recIndex).AntennaRedundantHipDiagonalNetWidthDeduct3 = tnxValue
                            Catch ex As Exception
                                Debug.Print("Error parsing TNX variable: " &amp; tnxVar)
                            End Try</v>
      </c>
      <c r="O156" s="12" t="str">
        <f t="shared" si="26"/>
        <v>If Not IsNothing(Me.settings.USUnits.Strength.convertToERIUnits(.AntennaRedundantHipDiagonalNetWidthDeduct3)) Then 'This field does not get saved when generated from CCIpole
                                newERIList.Add("AntennaRedundantHipDiagonalNetWidthDeduct3=" &amp; Me.settings.USUnits.Strength.convertToERIUnits(.AntennaRedundantHipDiagonalNetWidthDeduct3))
                            End If</v>
      </c>
      <c r="P156" s="11" t="str">
        <f t="shared" si="27"/>
        <v>SQLInsertValues = SQLInsertValues.AddtoDBString(Me.AntennaRedundantHipDiagonalNetWidthDeduct3.NullableToString.FormatDBValue)</v>
      </c>
      <c r="Q156" s="11" t="str">
        <f t="shared" si="28"/>
        <v>SQLInsertFields = SQLInsertFields.AddtoDBString("AntennaRedundantHipDiagonalNetWidthDeduct3")</v>
      </c>
      <c r="R156" s="11" t="str">
        <f t="shared" si="29"/>
        <v>SQLUpdateFieldsandValues = SQLUpdateFieldsandValues.AddtoDBString("AntennaRedundantHipDiagonalNetWidthDeduct3 = " &amp; Me.AntennaRedundantHipDiagonalNetWidthDeduct3.NullableToString.FormatDBValue)</v>
      </c>
      <c r="S156" s="10" t="s">
        <v>286</v>
      </c>
    </row>
    <row r="157" spans="1:19" ht="150" x14ac:dyDescent="0.25">
      <c r="A157" s="11" t="s">
        <v>1199</v>
      </c>
      <c r="B157" s="11" t="str" cm="1">
        <f t="array" ref="B157">Addspaces(A157)</f>
        <v>Antenna Redundant Hip Diagonal U Factor 3</v>
      </c>
      <c r="C157" s="15" t="s">
        <v>1225</v>
      </c>
      <c r="D157" s="13" t="str">
        <f>VLOOKUP(C157,Sheet8!A:C,2,FALSE)</f>
        <v>decimal(18, 6)</v>
      </c>
      <c r="E157" s="15"/>
      <c r="F157" s="13" t="str">
        <f>VLOOKUP(C157,Sheet8!A:C,3,FALSE)</f>
        <v>Double?</v>
      </c>
      <c r="G157" s="15"/>
      <c r="H157" s="11" t="str">
        <f t="shared" si="20"/>
        <v>ADD AntennaRedundantHipDiagonalUFactor3 decimal(18, 6),</v>
      </c>
      <c r="I157" s="11" t="str">
        <f t="shared" si="21"/>
        <v xml:space="preserve">Private _AntennaRedundantHipDiagonalUFactor3 As Double? </v>
      </c>
      <c r="J157" s="12" t="str">
        <f t="shared" si="22"/>
        <v xml:space="preserve">     		&lt;Category("TNX Antenna Record"), Description(""), DisplayName("Antenna Redundant Hip Diagonal U Factor 3")&gt;
    		&lt;DataMember()&gt; Public Property AntennaRedundantHipDiagonalUFactor3() As Double?
        			Get
            				Return Me._AntennaRedundantHipDiagonalUFactor3
        			End Get
        			Set
            				Me._AntennaRedundantHipDiagonalUFactor3 = Value
        			End Set
    		End Property</v>
      </c>
      <c r="K157" s="11" t="str">
        <f>"Me."&amp;A157&amp; " = " &amp; VLOOKUP(C157,Sheet8!A:D,4,FALSE)&amp;"(recRow.Item("""&amp;A157 &amp;""")" &amp; IF(C157="Number",",6","")&amp;")"</f>
        <v>Me.AntennaRedundantHipDiagonalUFactor3 = DBtoNullableDec(recRow.Item("AntennaRedundantHipDiagonalUFactor3"),6)</v>
      </c>
      <c r="L157" s="11" t="str">
        <f t="shared" si="23"/>
        <v>insertString = insertString.AddtoDBString(Me.AntennaRedundantHipDiagonalUFactor3.ToString)</v>
      </c>
      <c r="M157" s="11" t="str">
        <f t="shared" si="24"/>
        <v>Equals = If(Me.AntennaRedundantHipDiagonalUFactor3.CheckChange(otherToCompare.AntennaRedundantHipDiagonalUFactor3, changes, categoryName, "Antenna Redundant Hip Diagonal U Factor 3"), Equals, False)</v>
      </c>
      <c r="N157" s="12" t="str">
        <f t="shared" si="25"/>
        <v xml:space="preserve"> 	Case tnxVar.Equals("AntennaRedundantHipDiagonalUFactor3")
                            Try
                                Me.geometry.upperStructure(recIndex).AntennaRedundantHipDiagonalUFactor3 = tnxValue
                            Catch ex As Exception
                                Debug.Print("Error parsing TNX variable: " &amp; tnxVar)
                            End Try</v>
      </c>
      <c r="O157" s="12" t="str">
        <f t="shared" si="26"/>
        <v>If Not IsNothing(Me.settings.USUnits.Strength.convertToERIUnits(.AntennaRedundantHipDiagonalUFactor3)) Then 'This field does not get saved when generated from CCIpole
                                newERIList.Add("AntennaRedundantHipDiagonalUFactor3=" &amp; Me.settings.USUnits.Strength.convertToERIUnits(.AntennaRedundantHipDiagonalUFactor3))
                            End If</v>
      </c>
      <c r="P157" s="11" t="str">
        <f t="shared" si="27"/>
        <v>SQLInsertValues = SQLInsertValues.AddtoDBString(Me.AntennaRedundantHipDiagonalUFactor3.NullableToString.FormatDBValue)</v>
      </c>
      <c r="Q157" s="11" t="str">
        <f t="shared" si="28"/>
        <v>SQLInsertFields = SQLInsertFields.AddtoDBString("AntennaRedundantHipDiagonalUFactor3")</v>
      </c>
      <c r="R157" s="11" t="str">
        <f t="shared" si="29"/>
        <v>SQLUpdateFieldsandValues = SQLUpdateFieldsandValues.AddtoDBString("AntennaRedundantHipDiagonalUFactor3 = " &amp; Me.AntennaRedundantHipDiagonalUFactor3.NullableToString.FormatDBValue)</v>
      </c>
      <c r="S157" s="10" t="s">
        <v>286</v>
      </c>
    </row>
    <row r="158" spans="1:19" ht="150" x14ac:dyDescent="0.25">
      <c r="A158" s="11" t="s">
        <v>1200</v>
      </c>
      <c r="B158" s="11" t="str" cm="1">
        <f t="array" ref="B158">Addspaces(A158)</f>
        <v>Antenna Redundant Hip Diagonal Bolt Grade 4</v>
      </c>
      <c r="C158" s="15" t="s">
        <v>1224</v>
      </c>
      <c r="D158" s="13" t="str">
        <f>VLOOKUP(C158,Sheet8!A:C,2,FALSE)</f>
        <v>varchar</v>
      </c>
      <c r="E158" s="15">
        <v>100</v>
      </c>
      <c r="F158" s="13" t="str">
        <f>VLOOKUP(C158,Sheet8!A:C,3,FALSE)</f>
        <v>String</v>
      </c>
      <c r="G158" s="15"/>
      <c r="H158" s="11" t="str">
        <f t="shared" si="20"/>
        <v>ADD AntennaRedundantHipDiagonalBoltGrade4 varchar(100),</v>
      </c>
      <c r="I158" s="11" t="str">
        <f t="shared" si="21"/>
        <v xml:space="preserve">Private _AntennaRedundantHipDiagonalBoltGrade4 As String </v>
      </c>
      <c r="J158" s="12" t="str">
        <f t="shared" si="22"/>
        <v xml:space="preserve">     		&lt;Category("TNX Antenna Record"), Description(""), DisplayName("Antenna Redundant Hip Diagonal Bolt Grade 4")&gt;
    		&lt;DataMember()&gt; Public Property AntennaRedundantHipDiagonalBoltGrade4() As String
        			Get
            				Return Me._AntennaRedundantHipDiagonalBoltGrade4
        			End Get
        			Set
            				Me._AntennaRedundantHipDiagonalBoltGrade4 = Value
        			End Set
    		End Property</v>
      </c>
      <c r="K158" s="11" t="str">
        <f>"Me."&amp;A158&amp; " = " &amp; VLOOKUP(C158,Sheet8!A:D,4,FALSE)&amp;"(recRow.Item("""&amp;A158 &amp;""")" &amp; IF(C158="Number",",6","")&amp;")"</f>
        <v>Me.AntennaRedundantHipDiagonalBoltGrade4 = DBtoStr(recRow.Item("AntennaRedundantHipDiagonalBoltGrade4"))</v>
      </c>
      <c r="L158" s="11" t="str">
        <f t="shared" si="23"/>
        <v>insertString = insertString.AddtoDBString(Me.AntennaRedundantHipDiagonalBoltGrade4.ToString)</v>
      </c>
      <c r="M158" s="11" t="str">
        <f t="shared" si="24"/>
        <v>Equals = If(Me.AntennaRedundantHipDiagonalBoltGrade4.CheckChange(otherToCompare.AntennaRedundantHipDiagonalBoltGrade4, changes, categoryName, "Antenna Redundant Hip Diagonal Bolt Grade 4"), Equals, False)</v>
      </c>
      <c r="N158" s="12" t="str">
        <f t="shared" si="25"/>
        <v xml:space="preserve"> 	Case tnxVar.Equals("AntennaRedundantHipDiagonalBoltGrade4")
                            Try
                                Me.geometry.upperStructure(recIndex).AntennaRedundantHipDiagonalBoltGrade4 = tnxValue
                            Catch ex As Exception
                                Debug.Print("Error parsing TNX variable: " &amp; tnxVar)
                            End Try</v>
      </c>
      <c r="O158" s="12" t="str">
        <f t="shared" si="26"/>
        <v>If IsSomethingString(.AntennaRedundantHipDiagonalBoltGrade4) Then 'This field does not get saved when generated from CCIpole
newERIList.Add("AntennaRedundantHipDiagonalBoltGrade4=" &amp; .AntennaRedundantHipDiagonalBoltGrade4)
End If</v>
      </c>
      <c r="P158" s="11" t="str">
        <f t="shared" si="27"/>
        <v>SQLInsertValues = SQLInsertValues.AddtoDBString(Me.AntennaRedundantHipDiagonalBoltGrade4.NullableToString.FormatDBValue)</v>
      </c>
      <c r="Q158" s="11" t="str">
        <f t="shared" si="28"/>
        <v>SQLInsertFields = SQLInsertFields.AddtoDBString("AntennaRedundantHipDiagonalBoltGrade4")</v>
      </c>
      <c r="R158" s="11" t="str">
        <f t="shared" si="29"/>
        <v>SQLUpdateFieldsandValues = SQLUpdateFieldsandValues.AddtoDBString("AntennaRedundantHipDiagonalBoltGrade4 = " &amp; Me.AntennaRedundantHipDiagonalBoltGrade4.NullableToString.FormatDBValue)</v>
      </c>
      <c r="S158" s="10" t="s">
        <v>286</v>
      </c>
    </row>
    <row r="159" spans="1:19" ht="150" x14ac:dyDescent="0.25">
      <c r="A159" s="11" t="s">
        <v>1201</v>
      </c>
      <c r="B159" s="11" t="str" cm="1">
        <f t="array" ref="B159">Addspaces(A159)</f>
        <v>Antenna Redundant Hip Diagonal Bolt Size 4</v>
      </c>
      <c r="C159" s="15" t="s">
        <v>1225</v>
      </c>
      <c r="D159" s="13" t="str">
        <f>VLOOKUP(C159,Sheet8!A:C,2,FALSE)</f>
        <v>decimal(18, 6)</v>
      </c>
      <c r="E159" s="15"/>
      <c r="F159" s="13" t="str">
        <f>VLOOKUP(C159,Sheet8!A:C,3,FALSE)</f>
        <v>Double?</v>
      </c>
      <c r="G159" s="15"/>
      <c r="H159" s="11" t="str">
        <f t="shared" si="20"/>
        <v>ADD AntennaRedundantHipDiagonalBoltSize4 decimal(18, 6),</v>
      </c>
      <c r="I159" s="11" t="str">
        <f t="shared" si="21"/>
        <v xml:space="preserve">Private _AntennaRedundantHipDiagonalBoltSize4 As Double? </v>
      </c>
      <c r="J159" s="12" t="str">
        <f t="shared" si="22"/>
        <v xml:space="preserve">     		&lt;Category("TNX Antenna Record"), Description(""), DisplayName("Antenna Redundant Hip Diagonal Bolt Size 4")&gt;
    		&lt;DataMember()&gt; Public Property AntennaRedundantHipDiagonalBoltSize4() As Double?
        			Get
            				Return Me._AntennaRedundantHipDiagonalBoltSize4
        			End Get
        			Set
            				Me._AntennaRedundantHipDiagonalBoltSize4 = Value
        			End Set
    		End Property</v>
      </c>
      <c r="K159" s="11" t="str">
        <f>"Me."&amp;A159&amp; " = " &amp; VLOOKUP(C159,Sheet8!A:D,4,FALSE)&amp;"(recRow.Item("""&amp;A159 &amp;""")" &amp; IF(C159="Number",",6","")&amp;")"</f>
        <v>Me.AntennaRedundantHipDiagonalBoltSize4 = DBtoNullableDec(recRow.Item("AntennaRedundantHipDiagonalBoltSize4"),6)</v>
      </c>
      <c r="L159" s="11" t="str">
        <f t="shared" si="23"/>
        <v>insertString = insertString.AddtoDBString(Me.AntennaRedundantHipDiagonalBoltSize4.ToString)</v>
      </c>
      <c r="M159" s="11" t="str">
        <f t="shared" si="24"/>
        <v>Equals = If(Me.AntennaRedundantHipDiagonalBoltSize4.CheckChange(otherToCompare.AntennaRedundantHipDiagonalBoltSize4, changes, categoryName, "Antenna Redundant Hip Diagonal Bolt Size 4"), Equals, False)</v>
      </c>
      <c r="N159" s="12" t="str">
        <f t="shared" si="25"/>
        <v xml:space="preserve"> 	Case tnxVar.Equals("AntennaRedundantHipDiagonalBoltSize4")
                            Try
                                Me.geometry.upperStructure(recIndex).AntennaRedundantHipDiagonalBoltSize4 = tnxValue
                            Catch ex As Exception
                                Debug.Print("Error parsing TNX variable: " &amp; tnxVar)
                            End Try</v>
      </c>
      <c r="O159" s="12" t="str">
        <f t="shared" si="26"/>
        <v>If Not IsNothing(Me.settings.USUnits.Strength.convertToERIUnits(.AntennaRedundantHipDiagonalBoltSize4)) Then 'This field does not get saved when generated from CCIpole
                                newERIList.Add("AntennaRedundantHipDiagonalBoltSize4=" &amp; Me.settings.USUnits.Strength.convertToERIUnits(.AntennaRedundantHipDiagonalBoltSize4))
                            End If</v>
      </c>
      <c r="P159" s="11" t="str">
        <f t="shared" si="27"/>
        <v>SQLInsertValues = SQLInsertValues.AddtoDBString(Me.AntennaRedundantHipDiagonalBoltSize4.NullableToString.FormatDBValue)</v>
      </c>
      <c r="Q159" s="11" t="str">
        <f t="shared" si="28"/>
        <v>SQLInsertFields = SQLInsertFields.AddtoDBString("AntennaRedundantHipDiagonalBoltSize4")</v>
      </c>
      <c r="R159" s="11" t="str">
        <f t="shared" si="29"/>
        <v>SQLUpdateFieldsandValues = SQLUpdateFieldsandValues.AddtoDBString("AntennaRedundantHipDiagonalBoltSize4 = " &amp; Me.AntennaRedundantHipDiagonalBoltSize4.NullableToString.FormatDBValue)</v>
      </c>
      <c r="S159" s="10" t="s">
        <v>286</v>
      </c>
    </row>
    <row r="160" spans="1:19" ht="165" x14ac:dyDescent="0.25">
      <c r="A160" s="11" t="s">
        <v>1202</v>
      </c>
      <c r="B160" s="11" t="str" cm="1">
        <f t="array" ref="B160">Addspaces(A160)</f>
        <v>Antenna Redundant Hip Diagonal Num Bolts 4</v>
      </c>
      <c r="C160" s="15" t="s">
        <v>1234</v>
      </c>
      <c r="D160" s="13" t="str">
        <f>VLOOKUP(C160,Sheet8!A:C,2,FALSE)</f>
        <v>int</v>
      </c>
      <c r="E160" s="15"/>
      <c r="F160" s="13" t="str">
        <f>VLOOKUP(C160,Sheet8!A:C,3,FALSE)</f>
        <v>Integer?</v>
      </c>
      <c r="G160" s="15"/>
      <c r="H160" s="11" t="str">
        <f t="shared" si="20"/>
        <v>ADD AntennaRedundantHipDiagonalNumBolts4 int,</v>
      </c>
      <c r="I160" s="11" t="str">
        <f t="shared" si="21"/>
        <v xml:space="preserve">Private _AntennaRedundantHipDiagonalNumBolts4 As Integer? </v>
      </c>
      <c r="J160" s="12" t="str">
        <f t="shared" si="22"/>
        <v xml:space="preserve">     		&lt;Category("TNX Antenna Record"), Description(""), DisplayName("Antenna Redundant Hip Diagonal Num Bolts 4")&gt;
    		&lt;DataMember()&gt; Public Property AntennaRedundantHipDiagonalNumBolts4() As Integer?
        			Get
            				Return Me._AntennaRedundantHipDiagonalNumBolts4
        			End Get
        			Set
            				Me._AntennaRedundantHipDiagonalNumBolts4 = Value
        			End Set
    		End Property</v>
      </c>
      <c r="K160" s="11" t="str">
        <f>"Me."&amp;A160&amp; " = " &amp; VLOOKUP(C160,Sheet8!A:D,4,FALSE)&amp;"(recRow.Item("""&amp;A160 &amp;""")" &amp; IF(C160="Number",",6","")&amp;")"</f>
        <v>Me.AntennaRedundantHipDiagonalNumBolts4 = DBtoNullableInt(recRow.Item("AntennaRedundantHipDiagonalNumBolts4"))</v>
      </c>
      <c r="L160" s="11" t="str">
        <f t="shared" si="23"/>
        <v>insertString = insertString.AddtoDBString(Me.AntennaRedundantHipDiagonalNumBolts4.ToString)</v>
      </c>
      <c r="M160" s="11" t="str">
        <f t="shared" si="24"/>
        <v>Equals = If(Me.AntennaRedundantHipDiagonalNumBolts4.CheckChange(otherToCompare.AntennaRedundantHipDiagonalNumBolts4, changes, categoryName, "Antenna Redundant Hip Diagonal Num Bolts 4"), Equals, False)</v>
      </c>
      <c r="N160" s="12" t="str">
        <f t="shared" si="25"/>
        <v xml:space="preserve"> 	Case tnxVar.Equals("AntennaRedundantHipDiagonalNumBolts4")
                            Try
                                Me.geometry.upperStructure(recIndex).AntennaRedundantHipDiagonalNumBolts4 = tnxValue
                            Catch ex As Exception
                                Debug.Print("Error parsing TNX variable: " &amp; tnxVar)
                            End Try</v>
      </c>
      <c r="O160" s="12" t="str">
        <f t="shared" si="26"/>
        <v>newERIList.Add("AntennaRedundantHipDiagonalNumBolts4=" &amp; .AntennaRedundantHipDiagonalNumBolts4)</v>
      </c>
      <c r="P160" s="11" t="str">
        <f t="shared" si="27"/>
        <v>SQLInsertValues = SQLInsertValues.AddtoDBString(Me.AntennaRedundantHipDiagonalNumBolts4.NullableToString.FormatDBValue)</v>
      </c>
      <c r="Q160" s="11" t="str">
        <f t="shared" si="28"/>
        <v>SQLInsertFields = SQLInsertFields.AddtoDBString("AntennaRedundantHipDiagonalNumBolts4")</v>
      </c>
      <c r="R160" s="11" t="str">
        <f t="shared" si="29"/>
        <v>SQLUpdateFieldsandValues = SQLUpdateFieldsandValues.AddtoDBString("AntennaRedundantHipDiagonalNumBolts4 = " &amp; Me.AntennaRedundantHipDiagonalNumBolts4.NullableToString.FormatDBValue)</v>
      </c>
      <c r="S160" s="10" t="s">
        <v>286</v>
      </c>
    </row>
    <row r="161" spans="1:19" ht="165" x14ac:dyDescent="0.25">
      <c r="A161" s="11" t="s">
        <v>1203</v>
      </c>
      <c r="B161" s="11" t="str" cm="1">
        <f t="array" ref="B161">Addspaces(A161)</f>
        <v>Antenna Redundant Hip Diagonal Bolt Edge Distance 4</v>
      </c>
      <c r="C161" s="15" t="s">
        <v>1225</v>
      </c>
      <c r="D161" s="13" t="str">
        <f>VLOOKUP(C161,Sheet8!A:C,2,FALSE)</f>
        <v>decimal(18, 6)</v>
      </c>
      <c r="E161" s="15"/>
      <c r="F161" s="13" t="str">
        <f>VLOOKUP(C161,Sheet8!A:C,3,FALSE)</f>
        <v>Double?</v>
      </c>
      <c r="G161" s="15"/>
      <c r="H161" s="11" t="str">
        <f t="shared" si="20"/>
        <v>ADD AntennaRedundantHipDiagonalBoltEdgeDistance4 decimal(18, 6),</v>
      </c>
      <c r="I161" s="11" t="str">
        <f t="shared" si="21"/>
        <v xml:space="preserve">Private _AntennaRedundantHipDiagonalBoltEdgeDistance4 As Double? </v>
      </c>
      <c r="J161" s="12" t="str">
        <f t="shared" si="22"/>
        <v xml:space="preserve">     		&lt;Category("TNX Antenna Record"), Description(""), DisplayName("Antenna Redundant Hip Diagonal Bolt Edge Distance 4")&gt;
    		&lt;DataMember()&gt; Public Property AntennaRedundantHipDiagonalBoltEdgeDistance4() As Double?
        			Get
            				Return Me._AntennaRedundantHipDiagonalBoltEdgeDistance4
        			End Get
        			Set
            				Me._AntennaRedundantHipDiagonalBoltEdgeDistance4 = Value
        			End Set
    		End Property</v>
      </c>
      <c r="K161" s="11" t="str">
        <f>"Me."&amp;A161&amp; " = " &amp; VLOOKUP(C161,Sheet8!A:D,4,FALSE)&amp;"(recRow.Item("""&amp;A161 &amp;""")" &amp; IF(C161="Number",",6","")&amp;")"</f>
        <v>Me.AntennaRedundantHipDiagonalBoltEdgeDistance4 = DBtoNullableDec(recRow.Item("AntennaRedundantHipDiagonalBoltEdgeDistance4"),6)</v>
      </c>
      <c r="L161" s="11" t="str">
        <f t="shared" si="23"/>
        <v>insertString = insertString.AddtoDBString(Me.AntennaRedundantHipDiagonalBoltEdgeDistance4.ToString)</v>
      </c>
      <c r="M161" s="11" t="str">
        <f t="shared" si="24"/>
        <v>Equals = If(Me.AntennaRedundantHipDiagonalBoltEdgeDistance4.CheckChange(otherToCompare.AntennaRedundantHipDiagonalBoltEdgeDistance4, changes, categoryName, "Antenna Redundant Hip Diagonal Bolt Edge Distance 4"), Equals, False)</v>
      </c>
      <c r="N161" s="12" t="str">
        <f t="shared" si="25"/>
        <v xml:space="preserve"> 	Case tnxVar.Equals("AntennaRedundantHipDiagonalBoltEdgeDistance4")
                            Try
                                Me.geometry.upperStructure(recIndex).AntennaRedundantHipDiagonalBoltEdgeDistance4 = tnxValue
                            Catch ex As Exception
                                Debug.Print("Error parsing TNX variable: " &amp; tnxVar)
                            End Try</v>
      </c>
      <c r="O161" s="12" t="str">
        <f t="shared" si="26"/>
        <v>If Not IsNothing(Me.settings.USUnits.Strength.convertToERIUnits(.AntennaRedundantHipDiagonalBoltEdgeDistance4)) Then 'This field does not get saved when generated from CCIpole
                                newERIList.Add("AntennaRedundantHipDiagonalBoltEdgeDistance4=" &amp; Me.settings.USUnits.Strength.convertToERIUnits(.AntennaRedundantHipDiagonalBoltEdgeDistance4))
                            End If</v>
      </c>
      <c r="P161" s="11" t="str">
        <f t="shared" si="27"/>
        <v>SQLInsertValues = SQLInsertValues.AddtoDBString(Me.AntennaRedundantHipDiagonalBoltEdgeDistance4.NullableToString.FormatDBValue)</v>
      </c>
      <c r="Q161" s="11" t="str">
        <f t="shared" si="28"/>
        <v>SQLInsertFields = SQLInsertFields.AddtoDBString("AntennaRedundantHipDiagonalBoltEdgeDistance4")</v>
      </c>
      <c r="R161" s="11" t="str">
        <f t="shared" si="29"/>
        <v>SQLUpdateFieldsandValues = SQLUpdateFieldsandValues.AddtoDBString("AntennaRedundantHipDiagonalBoltEdgeDistance4 = " &amp; Me.AntennaRedundantHipDiagonalBoltEdgeDistance4.NullableToString.FormatDBValue)</v>
      </c>
      <c r="S161" s="10" t="s">
        <v>286</v>
      </c>
    </row>
    <row r="162" spans="1:19" ht="165" x14ac:dyDescent="0.25">
      <c r="A162" s="11" t="s">
        <v>1204</v>
      </c>
      <c r="B162" s="11" t="str" cm="1">
        <f t="array" ref="B162">Addspaces(A162)</f>
        <v>Antenna Redundant Hip Diagonal Gage G 1 Distance 4</v>
      </c>
      <c r="C162" s="15" t="s">
        <v>1225</v>
      </c>
      <c r="D162" s="13" t="str">
        <f>VLOOKUP(C162,Sheet8!A:C,2,FALSE)</f>
        <v>decimal(18, 6)</v>
      </c>
      <c r="E162" s="15"/>
      <c r="F162" s="13" t="str">
        <f>VLOOKUP(C162,Sheet8!A:C,3,FALSE)</f>
        <v>Double?</v>
      </c>
      <c r="G162" s="15"/>
      <c r="H162" s="11" t="str">
        <f t="shared" si="20"/>
        <v>ADD AntennaRedundantHipDiagonalGageG1Distance4 decimal(18, 6),</v>
      </c>
      <c r="I162" s="11" t="str">
        <f t="shared" si="21"/>
        <v xml:space="preserve">Private _AntennaRedundantHipDiagonalGageG1Distance4 As Double? </v>
      </c>
      <c r="J162" s="12" t="str">
        <f t="shared" si="22"/>
        <v xml:space="preserve">     		&lt;Category("TNX Antenna Record"), Description(""), DisplayName("Antenna Redundant Hip Diagonal Gage G 1 Distance 4")&gt;
    		&lt;DataMember()&gt; Public Property AntennaRedundantHipDiagonalGageG1Distance4() As Double?
        			Get
            				Return Me._AntennaRedundantHipDiagonalGageG1Distance4
        			End Get
        			Set
            				Me._AntennaRedundantHipDiagonalGageG1Distance4 = Value
        			End Set
    		End Property</v>
      </c>
      <c r="K162" s="11" t="str">
        <f>"Me."&amp;A162&amp; " = " &amp; VLOOKUP(C162,Sheet8!A:D,4,FALSE)&amp;"(recRow.Item("""&amp;A162 &amp;""")" &amp; IF(C162="Number",",6","")&amp;")"</f>
        <v>Me.AntennaRedundantHipDiagonalGageG1Distance4 = DBtoNullableDec(recRow.Item("AntennaRedundantHipDiagonalGageG1Distance4"),6)</v>
      </c>
      <c r="L162" s="11" t="str">
        <f t="shared" si="23"/>
        <v>insertString = insertString.AddtoDBString(Me.AntennaRedundantHipDiagonalGageG1Distance4.ToString)</v>
      </c>
      <c r="M162" s="11" t="str">
        <f t="shared" si="24"/>
        <v>Equals = If(Me.AntennaRedundantHipDiagonalGageG1Distance4.CheckChange(otherToCompare.AntennaRedundantHipDiagonalGageG1Distance4, changes, categoryName, "Antenna Redundant Hip Diagonal Gage G 1 Distance 4"), Equals, False)</v>
      </c>
      <c r="N162" s="12" t="str">
        <f t="shared" si="25"/>
        <v xml:space="preserve"> 	Case tnxVar.Equals("AntennaRedundantHipDiagonalGageG1Distance4")
                            Try
                                Me.geometry.upperStructure(recIndex).AntennaRedundantHipDiagonalGageG1Distance4 = tnxValue
                            Catch ex As Exception
                                Debug.Print("Error parsing TNX variable: " &amp; tnxVar)
                            End Try</v>
      </c>
      <c r="O162" s="12" t="str">
        <f t="shared" si="26"/>
        <v>If Not IsNothing(Me.settings.USUnits.Strength.convertToERIUnits(.AntennaRedundantHipDiagonalGageG1Distance4)) Then 'This field does not get saved when generated from CCIpole
                                newERIList.Add("AntennaRedundantHipDiagonalGageG1Distance4=" &amp; Me.settings.USUnits.Strength.convertToERIUnits(.AntennaRedundantHipDiagonalGageG1Distance4))
                            End If</v>
      </c>
      <c r="P162" s="11" t="str">
        <f t="shared" si="27"/>
        <v>SQLInsertValues = SQLInsertValues.AddtoDBString(Me.AntennaRedundantHipDiagonalGageG1Distance4.NullableToString.FormatDBValue)</v>
      </c>
      <c r="Q162" s="11" t="str">
        <f t="shared" si="28"/>
        <v>SQLInsertFields = SQLInsertFields.AddtoDBString("AntennaRedundantHipDiagonalGageG1Distance4")</v>
      </c>
      <c r="R162" s="11" t="str">
        <f t="shared" si="29"/>
        <v>SQLUpdateFieldsandValues = SQLUpdateFieldsandValues.AddtoDBString("AntennaRedundantHipDiagonalGageG1Distance4 = " &amp; Me.AntennaRedundantHipDiagonalGageG1Distance4.NullableToString.FormatDBValue)</v>
      </c>
      <c r="S162" s="10" t="s">
        <v>286</v>
      </c>
    </row>
    <row r="163" spans="1:19" ht="165" x14ac:dyDescent="0.25">
      <c r="A163" s="11" t="s">
        <v>1205</v>
      </c>
      <c r="B163" s="11" t="str" cm="1">
        <f t="array" ref="B163">Addspaces(A163)</f>
        <v>Antenna Redundant Hip Diagonal Net Width Deduct 4</v>
      </c>
      <c r="C163" s="15" t="s">
        <v>1225</v>
      </c>
      <c r="D163" s="13" t="str">
        <f>VLOOKUP(C163,Sheet8!A:C,2,FALSE)</f>
        <v>decimal(18, 6)</v>
      </c>
      <c r="E163" s="15"/>
      <c r="F163" s="13" t="str">
        <f>VLOOKUP(C163,Sheet8!A:C,3,FALSE)</f>
        <v>Double?</v>
      </c>
      <c r="G163" s="15"/>
      <c r="H163" s="11" t="str">
        <f t="shared" si="20"/>
        <v>ADD AntennaRedundantHipDiagonalNetWidthDeduct4 decimal(18, 6),</v>
      </c>
      <c r="I163" s="11" t="str">
        <f t="shared" si="21"/>
        <v xml:space="preserve">Private _AntennaRedundantHipDiagonalNetWidthDeduct4 As Double? </v>
      </c>
      <c r="J163" s="12" t="str">
        <f t="shared" si="22"/>
        <v xml:space="preserve">     		&lt;Category("TNX Antenna Record"), Description(""), DisplayName("Antenna Redundant Hip Diagonal Net Width Deduct 4")&gt;
    		&lt;DataMember()&gt; Public Property AntennaRedundantHipDiagonalNetWidthDeduct4() As Double?
        			Get
            				Return Me._AntennaRedundantHipDiagonalNetWidthDeduct4
        			End Get
        			Set
            				Me._AntennaRedundantHipDiagonalNetWidthDeduct4 = Value
        			End Set
    		End Property</v>
      </c>
      <c r="K163" s="11" t="str">
        <f>"Me."&amp;A163&amp; " = " &amp; VLOOKUP(C163,Sheet8!A:D,4,FALSE)&amp;"(recRow.Item("""&amp;A163 &amp;""")" &amp; IF(C163="Number",",6","")&amp;")"</f>
        <v>Me.AntennaRedundantHipDiagonalNetWidthDeduct4 = DBtoNullableDec(recRow.Item("AntennaRedundantHipDiagonalNetWidthDeduct4"),6)</v>
      </c>
      <c r="L163" s="11" t="str">
        <f t="shared" si="23"/>
        <v>insertString = insertString.AddtoDBString(Me.AntennaRedundantHipDiagonalNetWidthDeduct4.ToString)</v>
      </c>
      <c r="M163" s="11" t="str">
        <f t="shared" si="24"/>
        <v>Equals = If(Me.AntennaRedundantHipDiagonalNetWidthDeduct4.CheckChange(otherToCompare.AntennaRedundantHipDiagonalNetWidthDeduct4, changes, categoryName, "Antenna Redundant Hip Diagonal Net Width Deduct 4"), Equals, False)</v>
      </c>
      <c r="N163" s="12" t="str">
        <f t="shared" si="25"/>
        <v xml:space="preserve"> 	Case tnxVar.Equals("AntennaRedundantHipDiagonalNetWidthDeduct4")
                            Try
                                Me.geometry.upperStructure(recIndex).AntennaRedundantHipDiagonalNetWidthDeduct4 = tnxValue
                            Catch ex As Exception
                                Debug.Print("Error parsing TNX variable: " &amp; tnxVar)
                            End Try</v>
      </c>
      <c r="O163" s="12" t="str">
        <f t="shared" si="26"/>
        <v>If Not IsNothing(Me.settings.USUnits.Strength.convertToERIUnits(.AntennaRedundantHipDiagonalNetWidthDeduct4)) Then 'This field does not get saved when generated from CCIpole
                                newERIList.Add("AntennaRedundantHipDiagonalNetWidthDeduct4=" &amp; Me.settings.USUnits.Strength.convertToERIUnits(.AntennaRedundantHipDiagonalNetWidthDeduct4))
                            End If</v>
      </c>
      <c r="P163" s="11" t="str">
        <f t="shared" si="27"/>
        <v>SQLInsertValues = SQLInsertValues.AddtoDBString(Me.AntennaRedundantHipDiagonalNetWidthDeduct4.NullableToString.FormatDBValue)</v>
      </c>
      <c r="Q163" s="11" t="str">
        <f t="shared" si="28"/>
        <v>SQLInsertFields = SQLInsertFields.AddtoDBString("AntennaRedundantHipDiagonalNetWidthDeduct4")</v>
      </c>
      <c r="R163" s="11" t="str">
        <f t="shared" si="29"/>
        <v>SQLUpdateFieldsandValues = SQLUpdateFieldsandValues.AddtoDBString("AntennaRedundantHipDiagonalNetWidthDeduct4 = " &amp; Me.AntennaRedundantHipDiagonalNetWidthDeduct4.NullableToString.FormatDBValue)</v>
      </c>
      <c r="S163" s="10" t="s">
        <v>286</v>
      </c>
    </row>
    <row r="164" spans="1:19" ht="150" x14ac:dyDescent="0.25">
      <c r="A164" s="11" t="s">
        <v>1206</v>
      </c>
      <c r="B164" s="11" t="str" cm="1">
        <f t="array" ref="B164">Addspaces(A164)</f>
        <v>Antenna Redundant Hip Diagonal U Factor 4</v>
      </c>
      <c r="C164" s="15" t="s">
        <v>1225</v>
      </c>
      <c r="D164" s="13" t="str">
        <f>VLOOKUP(C164,Sheet8!A:C,2,FALSE)</f>
        <v>decimal(18, 6)</v>
      </c>
      <c r="E164" s="15"/>
      <c r="F164" s="13" t="str">
        <f>VLOOKUP(C164,Sheet8!A:C,3,FALSE)</f>
        <v>Double?</v>
      </c>
      <c r="G164" s="15"/>
      <c r="H164" s="11" t="str">
        <f t="shared" si="20"/>
        <v>ADD AntennaRedundantHipDiagonalUFactor4 decimal(18, 6),</v>
      </c>
      <c r="I164" s="11" t="str">
        <f t="shared" si="21"/>
        <v xml:space="preserve">Private _AntennaRedundantHipDiagonalUFactor4 As Double? </v>
      </c>
      <c r="J164" s="12" t="str">
        <f t="shared" si="22"/>
        <v xml:space="preserve">     		&lt;Category("TNX Antenna Record"), Description(""), DisplayName("Antenna Redundant Hip Diagonal U Factor 4")&gt;
    		&lt;DataMember()&gt; Public Property AntennaRedundantHipDiagonalUFactor4() As Double?
        			Get
            				Return Me._AntennaRedundantHipDiagonalUFactor4
        			End Get
        			Set
            				Me._AntennaRedundantHipDiagonalUFactor4 = Value
        			End Set
    		End Property</v>
      </c>
      <c r="K164" s="11" t="str">
        <f>"Me."&amp;A164&amp; " = " &amp; VLOOKUP(C164,Sheet8!A:D,4,FALSE)&amp;"(recRow.Item("""&amp;A164 &amp;""")" &amp; IF(C164="Number",",6","")&amp;")"</f>
        <v>Me.AntennaRedundantHipDiagonalUFactor4 = DBtoNullableDec(recRow.Item("AntennaRedundantHipDiagonalUFactor4"),6)</v>
      </c>
      <c r="L164" s="11" t="str">
        <f t="shared" si="23"/>
        <v>insertString = insertString.AddtoDBString(Me.AntennaRedundantHipDiagonalUFactor4.ToString)</v>
      </c>
      <c r="M164" s="11" t="str">
        <f t="shared" si="24"/>
        <v>Equals = If(Me.AntennaRedundantHipDiagonalUFactor4.CheckChange(otherToCompare.AntennaRedundantHipDiagonalUFactor4, changes, categoryName, "Antenna Redundant Hip Diagonal U Factor 4"), Equals, False)</v>
      </c>
      <c r="N164" s="12" t="str">
        <f t="shared" si="25"/>
        <v xml:space="preserve"> 	Case tnxVar.Equals("AntennaRedundantHipDiagonalUFactor4")
                            Try
                                Me.geometry.upperStructure(recIndex).AntennaRedundantHipDiagonalUFactor4 = tnxValue
                            Catch ex As Exception
                                Debug.Print("Error parsing TNX variable: " &amp; tnxVar)
                            End Try</v>
      </c>
      <c r="O164" s="12" t="str">
        <f t="shared" si="26"/>
        <v>If Not IsNothing(Me.settings.USUnits.Strength.convertToERIUnits(.AntennaRedundantHipDiagonalUFactor4)) Then 'This field does not get saved when generated from CCIpole
                                newERIList.Add("AntennaRedundantHipDiagonalUFactor4=" &amp; Me.settings.USUnits.Strength.convertToERIUnits(.AntennaRedundantHipDiagonalUFactor4))
                            End If</v>
      </c>
      <c r="P164" s="11" t="str">
        <f t="shared" si="27"/>
        <v>SQLInsertValues = SQLInsertValues.AddtoDBString(Me.AntennaRedundantHipDiagonalUFactor4.NullableToString.FormatDBValue)</v>
      </c>
      <c r="Q164" s="11" t="str">
        <f t="shared" si="28"/>
        <v>SQLInsertFields = SQLInsertFields.AddtoDBString("AntennaRedundantHipDiagonalUFactor4")</v>
      </c>
      <c r="R164" s="11" t="str">
        <f t="shared" si="29"/>
        <v>SQLUpdateFieldsandValues = SQLUpdateFieldsandValues.AddtoDBString("AntennaRedundantHipDiagonalUFactor4 = " &amp; Me.AntennaRedundantHipDiagonalUFactor4.NullableToString.FormatDBValue)</v>
      </c>
      <c r="S164" s="10" t="s">
        <v>286</v>
      </c>
    </row>
    <row r="165" spans="1:19" ht="150" x14ac:dyDescent="0.25">
      <c r="A165" t="s">
        <v>2778</v>
      </c>
      <c r="B165" s="11" t="str" cm="1">
        <f t="array" ref="B165">Addspaces(A165)</f>
        <v>Antenna Redundant Diagonal Type</v>
      </c>
      <c r="C165" s="15" t="s">
        <v>1224</v>
      </c>
      <c r="D165" s="13" t="str">
        <f>VLOOKUP(C165,Sheet8!A:C,2,FALSE)</f>
        <v>varchar</v>
      </c>
      <c r="E165" s="15">
        <v>100</v>
      </c>
      <c r="F165" s="13" t="str">
        <f>VLOOKUP(C165,Sheet8!A:C,3,FALSE)</f>
        <v>String</v>
      </c>
      <c r="G165" s="15"/>
      <c r="H165" s="11" t="str">
        <f t="shared" ref="H165:H168" si="30">"ADD " &amp; A165&amp;" "&amp;D165&amp;IF(E165="","","("&amp;E165&amp;")") &amp; ","</f>
        <v>ADD AntennaRedundantDiagonalType varchar(100),</v>
      </c>
      <c r="I165" s="11" t="str">
        <f t="shared" ref="I165:I168" si="31">"Private _"&amp;A165&amp;" As "&amp;F165&amp;" " &amp;IF(G165,"?","")</f>
        <v xml:space="preserve">Private _AntennaRedundantDiagonalType As String </v>
      </c>
      <c r="J165" s="12" t="str">
        <f t="shared" ref="J165:J168" si="32">"     		&lt;Category(""TNX Antenna Record""), Description(""""), DisplayName("""&amp;B165&amp;""")&gt;
    		&lt;DataMember()&gt; Public Property "&amp;A165&amp;"() As "&amp;F165 &amp;IF(G165,"?","") &amp;"
        			Get
            				Return Me._"&amp;A165&amp;"
        			End Get
        			Set
            				Me._"&amp;A165&amp;" = Value
        			End Set
    		End Property"</f>
        <v xml:space="preserve">     		&lt;Category("TNX Antenna Record"), Description(""), DisplayName("Antenna Redundant Diagonal Type")&gt;
    		&lt;DataMember()&gt; Public Property AntennaRedundantDiagonalType() As String
        			Get
            				Return Me._AntennaRedundantDiagonalType
        			End Get
        			Set
            				Me._AntennaRedundantDiagonalType = Value
        			End Set
    		End Property</v>
      </c>
      <c r="K165" s="11" t="str">
        <f>"Me."&amp;A165&amp; " = " &amp; VLOOKUP(C165,Sheet8!A:D,4,FALSE)&amp;"(recRow.Item("""&amp;A165 &amp;""")" &amp; IF(C165="Number",",6","")&amp;")"</f>
        <v>Me.AntennaRedundantDiagonalType = DBtoStr(recRow.Item("AntennaRedundantDiagonalType"))</v>
      </c>
      <c r="L165" s="11" t="str">
        <f t="shared" ref="L165:L168" si="33">"insertString = insertString.AddtoDBString(Me."&amp;A165&amp;".ToString)"</f>
        <v>insertString = insertString.AddtoDBString(Me.AntennaRedundantDiagonalType.ToString)</v>
      </c>
      <c r="M165" s="11" t="str">
        <f t="shared" ref="M165:M168" si="34">"Equals = If(Me."&amp;A165&amp;".CheckChange(otherToCompare."&amp;A165&amp;", changes, categoryName, """&amp;B165&amp;"""), Equals, False)"</f>
        <v>Equals = If(Me.AntennaRedundantDiagonalType.CheckChange(otherToCompare.AntennaRedundantDiagonalType, changes, categoryName, "Antenna Redundant Diagonal Type"), Equals, False)</v>
      </c>
      <c r="N165" s="12" t="str">
        <f t="shared" ref="N165:N168" si="35">" 	Case tnxVar.Equals("""&amp;A165&amp;""")
                            Try
                                Me.geometry.upperStructure(recIndex)."&amp;A165&amp;" = tnxValue
                            Catch ex As Exception
                                Debug.Print(""Error parsing TNX variable: "" &amp; tnxVar)
                            End Try"</f>
        <v xml:space="preserve"> 	Case tnxVar.Equals("AntennaRedundantDiagonalType")
                            Try
                                Me.geometry.upperStructure(recIndex).AntennaRedundantDiagonalType = tnxValue
                            Catch ex As Exception
                                Debug.Print("Error parsing TNX variable: " &amp; tnxVar)
                            End Try</v>
      </c>
      <c r="O165" s="12" t="str">
        <f t="shared" ref="O165:O168" si="36">IF(C165="String",
"If IsSomethingString(."&amp;A165&amp;") Then 'This field does not get saved when generated from CCIpole
newERIList.Add("""&amp;A165&amp;"="" &amp; ."&amp;A165&amp;")
End If",
IF(C165="Number",
"If Not IsNothing(Me.settings.USUnits.Strength.convertToERIUnits(."&amp;A165&amp;")) Then 'This field does not get saved when generated from CCIpole
                                newERIList.Add("""&amp;A165&amp;"="" &amp; Me.settings.USUnits.Strength.convertToERIUnits(."&amp;A165&amp;"))
                            End If",
"newERIList.Add("""&amp;A165&amp;"="" &amp; ."&amp;A165&amp;")"))</f>
        <v>If IsSomethingString(.AntennaRedundantDiagonalType) Then 'This field does not get saved when generated from CCIpole
newERIList.Add("AntennaRedundantDiagonalType=" &amp; .AntennaRedundantDiagonalType)
End If</v>
      </c>
      <c r="P165" s="11" t="str">
        <f t="shared" ref="P165:P168" si="37">"SQLInsertValues = SQLInsertValues.AddtoDBString(Me."&amp;A165&amp;".NullableToString.FormatDBValue)"</f>
        <v>SQLInsertValues = SQLInsertValues.AddtoDBString(Me.AntennaRedundantDiagonalType.NullableToString.FormatDBValue)</v>
      </c>
      <c r="Q165" s="11" t="str">
        <f t="shared" ref="Q165:Q168" si="38">"SQLInsertFields = SQLInsertFields.AddtoDBString("""&amp;A165&amp;""")"</f>
        <v>SQLInsertFields = SQLInsertFields.AddtoDBString("AntennaRedundantDiagonalType")</v>
      </c>
      <c r="R165" s="11" t="str">
        <f t="shared" ref="R165:R168" si="39">"SQLUpdateFieldsandValues = SQLUpdateFieldsandValues.AddtoDBString("""&amp;A165&amp;" = "" &amp; Me."&amp;A165&amp;".NullableToString.FormatDBValue)"</f>
        <v>SQLUpdateFieldsandValues = SQLUpdateFieldsandValues.AddtoDBString("AntennaRedundantDiagonalType = " &amp; Me.AntennaRedundantDiagonalType.NullableToString.FormatDBValue)</v>
      </c>
      <c r="S165" s="10" t="s">
        <v>286</v>
      </c>
    </row>
    <row r="166" spans="1:19" ht="150" x14ac:dyDescent="0.25">
      <c r="A166" t="s">
        <v>2779</v>
      </c>
      <c r="B166" s="11" t="str" cm="1">
        <f t="array" ref="B166">Addspaces(A166)</f>
        <v>Antenna Redundant Diagonal Type 2</v>
      </c>
      <c r="C166" s="15" t="s">
        <v>1224</v>
      </c>
      <c r="D166" s="13" t="str">
        <f>VLOOKUP(C166,Sheet8!A:C,2,FALSE)</f>
        <v>varchar</v>
      </c>
      <c r="E166" s="15">
        <v>100</v>
      </c>
      <c r="F166" s="13" t="str">
        <f>VLOOKUP(C166,Sheet8!A:C,3,FALSE)</f>
        <v>String</v>
      </c>
      <c r="G166" s="15"/>
      <c r="H166" s="11" t="str">
        <f t="shared" si="30"/>
        <v>ADD AntennaRedundantDiagonalType2 varchar(100),</v>
      </c>
      <c r="I166" s="11" t="str">
        <f t="shared" si="31"/>
        <v xml:space="preserve">Private _AntennaRedundantDiagonalType2 As String </v>
      </c>
      <c r="J166" s="12" t="str">
        <f t="shared" si="32"/>
        <v xml:space="preserve">     		&lt;Category("TNX Antenna Record"), Description(""), DisplayName("Antenna Redundant Diagonal Type 2")&gt;
    		&lt;DataMember()&gt; Public Property AntennaRedundantDiagonalType2() As String
        			Get
            				Return Me._AntennaRedundantDiagonalType2
        			End Get
        			Set
            				Me._AntennaRedundantDiagonalType2 = Value
        			End Set
    		End Property</v>
      </c>
      <c r="K166" s="11" t="str">
        <f>"Me."&amp;A166&amp; " = " &amp; VLOOKUP(C166,Sheet8!A:D,4,FALSE)&amp;"(recRow.Item("""&amp;A166 &amp;""")" &amp; IF(C166="Number",",6","")&amp;")"</f>
        <v>Me.AntennaRedundantDiagonalType2 = DBtoStr(recRow.Item("AntennaRedundantDiagonalType2"))</v>
      </c>
      <c r="L166" s="11" t="str">
        <f t="shared" si="33"/>
        <v>insertString = insertString.AddtoDBString(Me.AntennaRedundantDiagonalType2.ToString)</v>
      </c>
      <c r="M166" s="11" t="str">
        <f t="shared" si="34"/>
        <v>Equals = If(Me.AntennaRedundantDiagonalType2.CheckChange(otherToCompare.AntennaRedundantDiagonalType2, changes, categoryName, "Antenna Redundant Diagonal Type 2"), Equals, False)</v>
      </c>
      <c r="N166" s="12" t="str">
        <f t="shared" si="35"/>
        <v xml:space="preserve"> 	Case tnxVar.Equals("AntennaRedundantDiagonalType2")
                            Try
                                Me.geometry.upperStructure(recIndex).AntennaRedundantDiagonalType2 = tnxValue
                            Catch ex As Exception
                                Debug.Print("Error parsing TNX variable: " &amp; tnxVar)
                            End Try</v>
      </c>
      <c r="O166" s="12" t="str">
        <f t="shared" si="36"/>
        <v>If IsSomethingString(.AntennaRedundantDiagonalType2) Then 'This field does not get saved when generated from CCIpole
newERIList.Add("AntennaRedundantDiagonalType2=" &amp; .AntennaRedundantDiagonalType2)
End If</v>
      </c>
      <c r="P166" s="11" t="str">
        <f t="shared" si="37"/>
        <v>SQLInsertValues = SQLInsertValues.AddtoDBString(Me.AntennaRedundantDiagonalType2.NullableToString.FormatDBValue)</v>
      </c>
      <c r="Q166" s="11" t="str">
        <f t="shared" si="38"/>
        <v>SQLInsertFields = SQLInsertFields.AddtoDBString("AntennaRedundantDiagonalType2")</v>
      </c>
      <c r="R166" s="11" t="str">
        <f t="shared" si="39"/>
        <v>SQLUpdateFieldsandValues = SQLUpdateFieldsandValues.AddtoDBString("AntennaRedundantDiagonalType2 = " &amp; Me.AntennaRedundantDiagonalType2.NullableToString.FormatDBValue)</v>
      </c>
      <c r="S166" s="10" t="s">
        <v>286</v>
      </c>
    </row>
    <row r="167" spans="1:19" ht="150" x14ac:dyDescent="0.25">
      <c r="A167" t="s">
        <v>2780</v>
      </c>
      <c r="B167" s="11" t="str" cm="1">
        <f t="array" ref="B167">Addspaces(A167)</f>
        <v>Antenna Redundant Diagonal Type 3</v>
      </c>
      <c r="C167" s="15" t="s">
        <v>1224</v>
      </c>
      <c r="D167" s="13" t="str">
        <f>VLOOKUP(C167,Sheet8!A:C,2,FALSE)</f>
        <v>varchar</v>
      </c>
      <c r="E167" s="15">
        <v>100</v>
      </c>
      <c r="F167" s="13" t="str">
        <f>VLOOKUP(C167,Sheet8!A:C,3,FALSE)</f>
        <v>String</v>
      </c>
      <c r="G167" s="15"/>
      <c r="H167" s="11" t="str">
        <f t="shared" si="30"/>
        <v>ADD AntennaRedundantDiagonalType3 varchar(100),</v>
      </c>
      <c r="I167" s="11" t="str">
        <f t="shared" si="31"/>
        <v xml:space="preserve">Private _AntennaRedundantDiagonalType3 As String </v>
      </c>
      <c r="J167" s="12" t="str">
        <f t="shared" si="32"/>
        <v xml:space="preserve">     		&lt;Category("TNX Antenna Record"), Description(""), DisplayName("Antenna Redundant Diagonal Type 3")&gt;
    		&lt;DataMember()&gt; Public Property AntennaRedundantDiagonalType3() As String
        			Get
            				Return Me._AntennaRedundantDiagonalType3
        			End Get
        			Set
            				Me._AntennaRedundantDiagonalType3 = Value
        			End Set
    		End Property</v>
      </c>
      <c r="K167" s="11" t="str">
        <f>"Me."&amp;A167&amp; " = " &amp; VLOOKUP(C167,Sheet8!A:D,4,FALSE)&amp;"(recRow.Item("""&amp;A167 &amp;""")" &amp; IF(C167="Number",",6","")&amp;")"</f>
        <v>Me.AntennaRedundantDiagonalType3 = DBtoStr(recRow.Item("AntennaRedundantDiagonalType3"))</v>
      </c>
      <c r="L167" s="11" t="str">
        <f t="shared" si="33"/>
        <v>insertString = insertString.AddtoDBString(Me.AntennaRedundantDiagonalType3.ToString)</v>
      </c>
      <c r="M167" s="11" t="str">
        <f t="shared" si="34"/>
        <v>Equals = If(Me.AntennaRedundantDiagonalType3.CheckChange(otherToCompare.AntennaRedundantDiagonalType3, changes, categoryName, "Antenna Redundant Diagonal Type 3"), Equals, False)</v>
      </c>
      <c r="N167" s="12" t="str">
        <f t="shared" si="35"/>
        <v xml:space="preserve"> 	Case tnxVar.Equals("AntennaRedundantDiagonalType3")
                            Try
                                Me.geometry.upperStructure(recIndex).AntennaRedundantDiagonalType3 = tnxValue
                            Catch ex As Exception
                                Debug.Print("Error parsing TNX variable: " &amp; tnxVar)
                            End Try</v>
      </c>
      <c r="O167" s="12" t="str">
        <f t="shared" si="36"/>
        <v>If IsSomethingString(.AntennaRedundantDiagonalType3) Then 'This field does not get saved when generated from CCIpole
newERIList.Add("AntennaRedundantDiagonalType3=" &amp; .AntennaRedundantDiagonalType3)
End If</v>
      </c>
      <c r="P167" s="11" t="str">
        <f t="shared" si="37"/>
        <v>SQLInsertValues = SQLInsertValues.AddtoDBString(Me.AntennaRedundantDiagonalType3.NullableToString.FormatDBValue)</v>
      </c>
      <c r="Q167" s="11" t="str">
        <f t="shared" si="38"/>
        <v>SQLInsertFields = SQLInsertFields.AddtoDBString("AntennaRedundantDiagonalType3")</v>
      </c>
      <c r="R167" s="11" t="str">
        <f t="shared" si="39"/>
        <v>SQLUpdateFieldsandValues = SQLUpdateFieldsandValues.AddtoDBString("AntennaRedundantDiagonalType3 = " &amp; Me.AntennaRedundantDiagonalType3.NullableToString.FormatDBValue)</v>
      </c>
      <c r="S167" s="10" t="s">
        <v>286</v>
      </c>
    </row>
    <row r="168" spans="1:19" ht="150" x14ac:dyDescent="0.25">
      <c r="A168" t="s">
        <v>2781</v>
      </c>
      <c r="B168" s="11" t="str" cm="1">
        <f t="array" ref="B168">Addspaces(A168)</f>
        <v>Antenna Redundant Diagonal Type 4</v>
      </c>
      <c r="C168" s="15" t="s">
        <v>1224</v>
      </c>
      <c r="D168" s="13" t="str">
        <f>VLOOKUP(C168,Sheet8!A:C,2,FALSE)</f>
        <v>varchar</v>
      </c>
      <c r="E168" s="15">
        <v>100</v>
      </c>
      <c r="F168" s="13" t="str">
        <f>VLOOKUP(C168,Sheet8!A:C,3,FALSE)</f>
        <v>String</v>
      </c>
      <c r="G168" s="15"/>
      <c r="H168" s="11" t="str">
        <f t="shared" si="30"/>
        <v>ADD AntennaRedundantDiagonalType4 varchar(100),</v>
      </c>
      <c r="I168" s="11" t="str">
        <f t="shared" si="31"/>
        <v xml:space="preserve">Private _AntennaRedundantDiagonalType4 As String </v>
      </c>
      <c r="J168" s="12" t="str">
        <f t="shared" si="32"/>
        <v xml:space="preserve">     		&lt;Category("TNX Antenna Record"), Description(""), DisplayName("Antenna Redundant Diagonal Type 4")&gt;
    		&lt;DataMember()&gt; Public Property AntennaRedundantDiagonalType4() As String
        			Get
            				Return Me._AntennaRedundantDiagonalType4
        			End Get
        			Set
            				Me._AntennaRedundantDiagonalType4 = Value
        			End Set
    		End Property</v>
      </c>
      <c r="K168" s="11" t="str">
        <f>"Me."&amp;A168&amp; " = " &amp; VLOOKUP(C168,Sheet8!A:D,4,FALSE)&amp;"(recRow.Item("""&amp;A168 &amp;""")" &amp; IF(C168="Number",",6","")&amp;")"</f>
        <v>Me.AntennaRedundantDiagonalType4 = DBtoStr(recRow.Item("AntennaRedundantDiagonalType4"))</v>
      </c>
      <c r="L168" s="11" t="str">
        <f t="shared" si="33"/>
        <v>insertString = insertString.AddtoDBString(Me.AntennaRedundantDiagonalType4.ToString)</v>
      </c>
      <c r="M168" s="11" t="str">
        <f t="shared" si="34"/>
        <v>Equals = If(Me.AntennaRedundantDiagonalType4.CheckChange(otherToCompare.AntennaRedundantDiagonalType4, changes, categoryName, "Antenna Redundant Diagonal Type 4"), Equals, False)</v>
      </c>
      <c r="N168" s="12" t="str">
        <f t="shared" si="35"/>
        <v xml:space="preserve"> 	Case tnxVar.Equals("AntennaRedundantDiagonalType4")
                            Try
                                Me.geometry.upperStructure(recIndex).AntennaRedundantDiagonalType4 = tnxValue
                            Catch ex As Exception
                                Debug.Print("Error parsing TNX variable: " &amp; tnxVar)
                            End Try</v>
      </c>
      <c r="O168" s="12" t="str">
        <f t="shared" si="36"/>
        <v>If IsSomethingString(.AntennaRedundantDiagonalType4) Then 'This field does not get saved when generated from CCIpole
newERIList.Add("AntennaRedundantDiagonalType4=" &amp; .AntennaRedundantDiagonalType4)
End If</v>
      </c>
      <c r="P168" s="11" t="str">
        <f t="shared" si="37"/>
        <v>SQLInsertValues = SQLInsertValues.AddtoDBString(Me.AntennaRedundantDiagonalType4.NullableToString.FormatDBValue)</v>
      </c>
      <c r="Q168" s="11" t="str">
        <f t="shared" si="38"/>
        <v>SQLInsertFields = SQLInsertFields.AddtoDBString("AntennaRedundantDiagonalType4")</v>
      </c>
      <c r="R168" s="11" t="str">
        <f t="shared" si="39"/>
        <v>SQLUpdateFieldsandValues = SQLUpdateFieldsandValues.AddtoDBString("AntennaRedundantDiagonalType4 = " &amp; Me.AntennaRedundantDiagonalType4.NullableToString.FormatDBValue)</v>
      </c>
      <c r="S168" s="10" t="s">
        <v>286</v>
      </c>
    </row>
    <row r="169" spans="1:19" x14ac:dyDescent="0.25">
      <c r="A169" s="11"/>
      <c r="B169" s="11"/>
      <c r="C169" s="15"/>
      <c r="D169" s="13"/>
      <c r="E169" s="15"/>
      <c r="F169" s="13"/>
      <c r="G169" s="15"/>
      <c r="H169" s="11"/>
      <c r="I169" s="11"/>
      <c r="J169" s="12"/>
      <c r="K169" s="11"/>
      <c r="L169" s="11"/>
      <c r="M169" s="11"/>
      <c r="N169" s="12"/>
      <c r="O169" s="11"/>
      <c r="P169" s="11"/>
      <c r="Q169" s="11"/>
      <c r="R169" s="11"/>
      <c r="S169" s="10" t="s">
        <v>286</v>
      </c>
    </row>
    <row r="170" spans="1:19" x14ac:dyDescent="0.25">
      <c r="A170" s="11"/>
      <c r="B170" s="11"/>
      <c r="C170" s="15"/>
      <c r="D170" s="13"/>
      <c r="E170" s="15"/>
      <c r="F170" s="13"/>
      <c r="G170" s="15"/>
      <c r="H170" s="11"/>
      <c r="I170" s="11"/>
      <c r="J170" s="12"/>
      <c r="K170" s="11"/>
      <c r="L170" s="11"/>
      <c r="M170" s="11"/>
      <c r="N170" s="12"/>
      <c r="O170" s="11"/>
      <c r="P170" s="11"/>
      <c r="Q170" s="11"/>
      <c r="R170" s="11"/>
      <c r="S170" s="10" t="s">
        <v>286</v>
      </c>
    </row>
    <row r="171" spans="1:19" x14ac:dyDescent="0.25">
      <c r="A171" s="11"/>
      <c r="B171" s="11"/>
      <c r="C171" s="15"/>
      <c r="D171" s="13"/>
      <c r="E171" s="15"/>
      <c r="F171" s="13"/>
      <c r="G171" s="15"/>
      <c r="H171" s="11"/>
      <c r="I171" s="11"/>
      <c r="J171" s="12"/>
      <c r="K171" s="11"/>
      <c r="L171" s="11"/>
      <c r="M171" s="11"/>
      <c r="N171" s="12"/>
      <c r="O171" s="11"/>
      <c r="P171" s="11"/>
      <c r="Q171" s="11"/>
      <c r="R171" s="11"/>
      <c r="S171" s="10" t="s">
        <v>286</v>
      </c>
    </row>
    <row r="172" spans="1:19" x14ac:dyDescent="0.25">
      <c r="A172" s="11"/>
      <c r="B172" s="11"/>
      <c r="C172" s="15"/>
      <c r="D172" s="13"/>
      <c r="E172" s="15"/>
      <c r="F172" s="13"/>
      <c r="G172" s="15"/>
      <c r="H172" s="11"/>
      <c r="I172" s="11"/>
      <c r="J172" s="12"/>
      <c r="K172" s="11"/>
      <c r="L172" s="11"/>
      <c r="M172" s="11"/>
      <c r="N172" s="12"/>
      <c r="O172" s="11"/>
      <c r="P172" s="11"/>
      <c r="Q172" s="11"/>
      <c r="R172" s="11"/>
      <c r="S172" s="10" t="s">
        <v>286</v>
      </c>
    </row>
    <row r="173" spans="1:19" x14ac:dyDescent="0.25">
      <c r="A173" s="11"/>
      <c r="B173" s="11"/>
      <c r="C173" s="15"/>
      <c r="D173" s="13"/>
      <c r="E173" s="15"/>
      <c r="F173" s="13"/>
      <c r="G173" s="15"/>
      <c r="H173" s="11"/>
      <c r="I173" s="11"/>
      <c r="J173" s="12"/>
      <c r="K173" s="11"/>
      <c r="L173" s="11"/>
      <c r="M173" s="11"/>
      <c r="N173" s="12"/>
      <c r="O173" s="11"/>
      <c r="P173" s="11"/>
      <c r="Q173" s="11"/>
      <c r="R173" s="11"/>
      <c r="S173" s="10" t="s">
        <v>286</v>
      </c>
    </row>
    <row r="174" spans="1:19" x14ac:dyDescent="0.25">
      <c r="A174" s="11"/>
      <c r="B174" s="11"/>
      <c r="C174" s="15"/>
      <c r="D174" s="13"/>
      <c r="E174" s="15"/>
      <c r="F174" s="13"/>
      <c r="G174" s="15"/>
      <c r="H174" s="11"/>
      <c r="I174" s="11"/>
      <c r="J174" s="12"/>
      <c r="K174" s="11"/>
      <c r="L174" s="11"/>
      <c r="M174" s="11"/>
      <c r="N174" s="12"/>
      <c r="O174" s="11"/>
      <c r="P174" s="11"/>
      <c r="Q174" s="11"/>
      <c r="R174" s="11"/>
      <c r="S174" s="10" t="s">
        <v>286</v>
      </c>
    </row>
    <row r="175" spans="1:19" x14ac:dyDescent="0.25">
      <c r="A175" s="11"/>
      <c r="B175" s="11"/>
      <c r="C175" s="15"/>
      <c r="D175" s="13"/>
      <c r="E175" s="15"/>
      <c r="F175" s="13"/>
      <c r="G175" s="15"/>
      <c r="H175" s="11"/>
      <c r="I175" s="11"/>
      <c r="J175" s="12"/>
      <c r="K175" s="11"/>
      <c r="L175" s="11"/>
      <c r="M175" s="11"/>
      <c r="N175" s="12"/>
      <c r="O175" s="11"/>
      <c r="P175" s="11"/>
      <c r="Q175" s="11"/>
      <c r="R175" s="11"/>
      <c r="S175" s="10" t="s">
        <v>286</v>
      </c>
    </row>
    <row r="176" spans="1:19" x14ac:dyDescent="0.25">
      <c r="A176" s="11"/>
      <c r="B176" s="11"/>
      <c r="C176" s="15"/>
      <c r="D176" s="13"/>
      <c r="E176" s="15"/>
      <c r="F176" s="13"/>
      <c r="G176" s="15"/>
      <c r="H176" s="11"/>
      <c r="I176" s="11"/>
      <c r="J176" s="12"/>
      <c r="K176" s="11"/>
      <c r="L176" s="11"/>
      <c r="M176" s="11"/>
      <c r="N176" s="12"/>
      <c r="O176" s="11"/>
      <c r="P176" s="11"/>
      <c r="Q176" s="11"/>
      <c r="R176" s="11"/>
      <c r="S176" s="10" t="s">
        <v>286</v>
      </c>
    </row>
    <row r="177" spans="1:19" x14ac:dyDescent="0.25">
      <c r="A177" s="11"/>
      <c r="B177" s="11"/>
      <c r="C177" s="15"/>
      <c r="D177" s="13"/>
      <c r="E177" s="15"/>
      <c r="F177" s="13"/>
      <c r="G177" s="15"/>
      <c r="H177" s="11"/>
      <c r="I177" s="11"/>
      <c r="J177" s="12"/>
      <c r="K177" s="11"/>
      <c r="L177" s="11"/>
      <c r="M177" s="11"/>
      <c r="N177" s="12"/>
      <c r="O177" s="11"/>
      <c r="P177" s="11"/>
      <c r="Q177" s="11"/>
      <c r="R177" s="11"/>
      <c r="S177" s="10" t="s">
        <v>286</v>
      </c>
    </row>
    <row r="178" spans="1:19" x14ac:dyDescent="0.25">
      <c r="A178" s="11"/>
      <c r="B178" s="11"/>
      <c r="C178" s="15"/>
      <c r="D178" s="13"/>
      <c r="E178" s="15"/>
      <c r="F178" s="13"/>
      <c r="G178" s="15"/>
      <c r="H178" s="11"/>
      <c r="I178" s="11"/>
      <c r="J178" s="12"/>
      <c r="K178" s="11"/>
      <c r="L178" s="11"/>
      <c r="M178" s="11"/>
      <c r="N178" s="12"/>
      <c r="O178" s="11"/>
      <c r="P178" s="11"/>
      <c r="Q178" s="11"/>
      <c r="R178" s="11"/>
      <c r="S178" s="10" t="s">
        <v>286</v>
      </c>
    </row>
    <row r="179" spans="1:19" x14ac:dyDescent="0.25">
      <c r="A179" s="11"/>
      <c r="B179" s="11"/>
      <c r="C179" s="15"/>
      <c r="D179" s="13"/>
      <c r="E179" s="15"/>
      <c r="F179" s="13"/>
      <c r="G179" s="15"/>
      <c r="H179" s="11"/>
      <c r="I179" s="11"/>
      <c r="J179" s="12"/>
      <c r="K179" s="11"/>
      <c r="L179" s="11"/>
      <c r="M179" s="11"/>
      <c r="N179" s="12"/>
      <c r="O179" s="11"/>
      <c r="P179" s="11"/>
      <c r="Q179" s="11"/>
      <c r="R179" s="11"/>
      <c r="S179" s="10" t="s">
        <v>286</v>
      </c>
    </row>
    <row r="180" spans="1:19" x14ac:dyDescent="0.25">
      <c r="A180" s="11"/>
      <c r="B180" s="11"/>
      <c r="C180" s="15"/>
      <c r="D180" s="13"/>
      <c r="E180" s="15"/>
      <c r="F180" s="13"/>
      <c r="G180" s="15"/>
      <c r="H180" s="11"/>
      <c r="I180" s="11"/>
      <c r="J180" s="12"/>
      <c r="K180" s="11"/>
      <c r="L180" s="11"/>
      <c r="M180" s="11"/>
      <c r="N180" s="12"/>
      <c r="O180" s="11"/>
      <c r="P180" s="11"/>
      <c r="Q180" s="11"/>
      <c r="R180" s="11"/>
      <c r="S180" s="10" t="s">
        <v>286</v>
      </c>
    </row>
    <row r="181" spans="1:19" x14ac:dyDescent="0.25">
      <c r="A181" s="11"/>
      <c r="B181" s="11"/>
      <c r="C181" s="15"/>
      <c r="D181" s="13"/>
      <c r="E181" s="15"/>
      <c r="F181" s="13"/>
      <c r="G181" s="15"/>
      <c r="H181" s="11"/>
      <c r="I181" s="11"/>
      <c r="J181" s="12"/>
      <c r="K181" s="11"/>
      <c r="L181" s="11"/>
      <c r="M181" s="11"/>
      <c r="N181" s="12"/>
      <c r="O181" s="11"/>
      <c r="P181" s="11"/>
      <c r="Q181" s="11"/>
      <c r="R181" s="11"/>
      <c r="S181" s="10" t="s">
        <v>286</v>
      </c>
    </row>
    <row r="182" spans="1:19" x14ac:dyDescent="0.25">
      <c r="A182" s="11"/>
      <c r="B182" s="11"/>
      <c r="C182" s="15"/>
      <c r="D182" s="13"/>
      <c r="E182" s="15"/>
      <c r="F182" s="13"/>
      <c r="G182" s="15"/>
      <c r="H182" s="11"/>
      <c r="I182" s="11"/>
      <c r="J182" s="12"/>
      <c r="K182" s="11"/>
      <c r="L182" s="11"/>
      <c r="M182" s="11"/>
      <c r="N182" s="12"/>
      <c r="O182" s="11"/>
      <c r="P182" s="11"/>
      <c r="Q182" s="11"/>
      <c r="R182" s="11"/>
      <c r="S182" s="10" t="s">
        <v>286</v>
      </c>
    </row>
    <row r="183" spans="1:19" x14ac:dyDescent="0.25">
      <c r="A183" s="11"/>
      <c r="B183" s="11"/>
      <c r="C183" s="15"/>
      <c r="D183" s="13"/>
      <c r="E183" s="15"/>
      <c r="F183" s="13"/>
      <c r="G183" s="15"/>
      <c r="H183" s="11"/>
      <c r="I183" s="11"/>
      <c r="J183" s="12"/>
      <c r="K183" s="11"/>
      <c r="L183" s="11"/>
      <c r="M183" s="11"/>
      <c r="N183" s="12"/>
      <c r="O183" s="11"/>
      <c r="P183" s="11"/>
      <c r="Q183" s="11"/>
      <c r="R183" s="11"/>
      <c r="S183" s="10" t="s">
        <v>286</v>
      </c>
    </row>
    <row r="184" spans="1:19" x14ac:dyDescent="0.25">
      <c r="A184" s="11"/>
      <c r="B184" s="11"/>
      <c r="C184" s="15"/>
      <c r="D184" s="13"/>
      <c r="E184" s="15"/>
      <c r="F184" s="13"/>
      <c r="G184" s="15"/>
      <c r="H184" s="11"/>
      <c r="I184" s="11"/>
      <c r="J184" s="12"/>
      <c r="K184" s="11"/>
      <c r="L184" s="11"/>
      <c r="M184" s="11"/>
      <c r="N184" s="12"/>
      <c r="O184" s="11"/>
      <c r="P184" s="11"/>
      <c r="Q184" s="11"/>
      <c r="R184" s="11"/>
      <c r="S184" s="10" t="s">
        <v>286</v>
      </c>
    </row>
    <row r="185" spans="1:19" x14ac:dyDescent="0.25">
      <c r="A185" s="11"/>
      <c r="B185" s="11"/>
      <c r="C185" s="15"/>
      <c r="D185" s="13"/>
      <c r="E185" s="15"/>
      <c r="F185" s="13"/>
      <c r="G185" s="15"/>
      <c r="H185" s="11"/>
      <c r="I185" s="11"/>
      <c r="J185" s="12"/>
      <c r="K185" s="11"/>
      <c r="L185" s="11"/>
      <c r="M185" s="11"/>
      <c r="N185" s="12"/>
      <c r="O185" s="11"/>
      <c r="P185" s="11"/>
      <c r="Q185" s="11"/>
      <c r="R185" s="11"/>
      <c r="S185" s="10" t="s">
        <v>286</v>
      </c>
    </row>
    <row r="186" spans="1:19" x14ac:dyDescent="0.25">
      <c r="A186" s="11"/>
      <c r="B186" s="11"/>
      <c r="C186" s="15"/>
      <c r="D186" s="13"/>
      <c r="E186" s="15"/>
      <c r="F186" s="13"/>
      <c r="G186" s="15"/>
      <c r="H186" s="11"/>
      <c r="I186" s="11"/>
      <c r="J186" s="12"/>
      <c r="K186" s="11"/>
      <c r="L186" s="11"/>
      <c r="M186" s="11"/>
      <c r="N186" s="12"/>
      <c r="O186" s="11"/>
      <c r="P186" s="11"/>
      <c r="Q186" s="11"/>
      <c r="R186" s="11"/>
      <c r="S186" s="10" t="s">
        <v>286</v>
      </c>
    </row>
    <row r="187" spans="1:19" x14ac:dyDescent="0.25">
      <c r="A187" s="11"/>
      <c r="B187" s="11"/>
      <c r="C187" s="15"/>
      <c r="D187" s="13"/>
      <c r="E187" s="15"/>
      <c r="F187" s="13"/>
      <c r="G187" s="15"/>
      <c r="H187" s="11"/>
      <c r="I187" s="11"/>
      <c r="J187" s="12"/>
      <c r="K187" s="11"/>
      <c r="L187" s="11"/>
      <c r="M187" s="11"/>
      <c r="N187" s="12"/>
      <c r="O187" s="11"/>
      <c r="P187" s="11"/>
      <c r="Q187" s="11"/>
      <c r="R187" s="11"/>
      <c r="S187" s="10" t="s">
        <v>286</v>
      </c>
    </row>
    <row r="188" spans="1:19" x14ac:dyDescent="0.25">
      <c r="A188" s="11"/>
      <c r="B188" s="11"/>
      <c r="C188" s="15"/>
      <c r="D188" s="13"/>
      <c r="E188" s="15"/>
      <c r="F188" s="13"/>
      <c r="G188" s="15"/>
      <c r="H188" s="11"/>
      <c r="I188" s="11"/>
      <c r="J188" s="12"/>
      <c r="K188" s="11"/>
      <c r="L188" s="11"/>
      <c r="M188" s="11"/>
      <c r="N188" s="12"/>
      <c r="O188" s="11"/>
      <c r="P188" s="11"/>
      <c r="Q188" s="11"/>
      <c r="R188" s="11"/>
      <c r="S188" s="10" t="s">
        <v>286</v>
      </c>
    </row>
    <row r="189" spans="1:19" x14ac:dyDescent="0.25">
      <c r="A189" s="11"/>
      <c r="B189" s="11"/>
      <c r="C189" s="15"/>
      <c r="D189" s="13"/>
      <c r="E189" s="15"/>
      <c r="F189" s="13"/>
      <c r="G189" s="15"/>
      <c r="H189" s="11"/>
      <c r="I189" s="11"/>
      <c r="J189" s="12"/>
      <c r="K189" s="11"/>
      <c r="L189" s="11"/>
      <c r="M189" s="11"/>
      <c r="N189" s="12"/>
      <c r="O189" s="11"/>
      <c r="P189" s="11"/>
      <c r="Q189" s="11"/>
      <c r="R189" s="11"/>
      <c r="S189" s="10" t="s">
        <v>286</v>
      </c>
    </row>
    <row r="190" spans="1:19" x14ac:dyDescent="0.25">
      <c r="A190" s="11"/>
      <c r="B190" s="11"/>
      <c r="C190" s="15"/>
      <c r="D190" s="13"/>
      <c r="E190" s="15"/>
      <c r="F190" s="13"/>
      <c r="G190" s="15"/>
      <c r="H190" s="11"/>
      <c r="I190" s="11"/>
      <c r="J190" s="12"/>
      <c r="K190" s="11"/>
      <c r="L190" s="11"/>
      <c r="M190" s="11"/>
      <c r="N190" s="12"/>
      <c r="O190" s="11"/>
      <c r="P190" s="11"/>
      <c r="Q190" s="11"/>
      <c r="R190" s="11"/>
      <c r="S190" s="10" t="s">
        <v>286</v>
      </c>
    </row>
    <row r="191" spans="1:19" x14ac:dyDescent="0.25">
      <c r="A191" s="11"/>
      <c r="B191" s="11"/>
      <c r="C191" s="15"/>
      <c r="D191" s="13"/>
      <c r="E191" s="15"/>
      <c r="F191" s="13"/>
      <c r="G191" s="15"/>
      <c r="H191" s="11"/>
      <c r="I191" s="11"/>
      <c r="J191" s="12"/>
      <c r="K191" s="11"/>
      <c r="L191" s="11"/>
      <c r="M191" s="11"/>
      <c r="N191" s="12"/>
      <c r="O191" s="11"/>
      <c r="P191" s="11"/>
      <c r="Q191" s="11"/>
      <c r="R191" s="11"/>
      <c r="S191" s="10" t="s">
        <v>286</v>
      </c>
    </row>
    <row r="192" spans="1:19" x14ac:dyDescent="0.25">
      <c r="A192" s="11"/>
      <c r="B192" s="11"/>
      <c r="C192" s="15"/>
      <c r="D192" s="13"/>
      <c r="E192" s="15"/>
      <c r="F192" s="13"/>
      <c r="G192" s="15"/>
      <c r="H192" s="11"/>
      <c r="I192" s="11"/>
      <c r="J192" s="12"/>
      <c r="K192" s="11"/>
      <c r="L192" s="11"/>
      <c r="M192" s="11"/>
      <c r="N192" s="12"/>
      <c r="O192" s="11"/>
      <c r="P192" s="11"/>
      <c r="Q192" s="11"/>
      <c r="R192" s="11"/>
      <c r="S192" s="10" t="s">
        <v>286</v>
      </c>
    </row>
    <row r="193" spans="1:19" x14ac:dyDescent="0.25">
      <c r="A193" s="11"/>
      <c r="B193" s="11"/>
      <c r="C193" s="15"/>
      <c r="D193" s="13"/>
      <c r="E193" s="15"/>
      <c r="F193" s="13"/>
      <c r="G193" s="15"/>
      <c r="H193" s="11"/>
      <c r="I193" s="11"/>
      <c r="J193" s="12"/>
      <c r="K193" s="11"/>
      <c r="L193" s="11"/>
      <c r="M193" s="11"/>
      <c r="N193" s="12"/>
      <c r="O193" s="11"/>
      <c r="P193" s="11"/>
      <c r="Q193" s="11"/>
      <c r="R193" s="11"/>
      <c r="S193" s="10" t="s">
        <v>286</v>
      </c>
    </row>
    <row r="194" spans="1:19" x14ac:dyDescent="0.25">
      <c r="A194" s="11"/>
      <c r="B194" s="11"/>
      <c r="C194" s="15"/>
      <c r="D194" s="13"/>
      <c r="E194" s="15"/>
      <c r="F194" s="13"/>
      <c r="G194" s="15"/>
      <c r="H194" s="11"/>
      <c r="I194" s="11"/>
      <c r="J194" s="12"/>
      <c r="K194" s="11"/>
      <c r="L194" s="11"/>
      <c r="M194" s="11"/>
      <c r="N194" s="12"/>
      <c r="O194" s="11"/>
      <c r="P194" s="11"/>
      <c r="Q194" s="11"/>
      <c r="R194" s="11"/>
      <c r="S194" s="10" t="s">
        <v>286</v>
      </c>
    </row>
    <row r="195" spans="1:19" x14ac:dyDescent="0.25">
      <c r="A195" s="11"/>
      <c r="B195" s="11" t="str" cm="1">
        <f t="array" ref="B195">Addspaces(A195)</f>
        <v/>
      </c>
      <c r="C195" s="15"/>
      <c r="D195" s="13"/>
      <c r="E195" s="15"/>
      <c r="F195" s="13"/>
      <c r="G195" s="15"/>
      <c r="H195" s="11"/>
      <c r="I195" s="11"/>
      <c r="J195" s="12"/>
      <c r="K195" s="11"/>
      <c r="L195" s="11"/>
      <c r="M195" s="11"/>
      <c r="N195" s="12"/>
      <c r="O195" s="11"/>
      <c r="P195" s="11"/>
      <c r="Q195" s="11"/>
      <c r="R195" s="11"/>
      <c r="S195" s="10" t="s">
        <v>286</v>
      </c>
    </row>
    <row r="196" spans="1:19" x14ac:dyDescent="0.25">
      <c r="A196" s="11"/>
      <c r="B196" s="11" t="str" cm="1">
        <f t="array" ref="B196">Addspaces(A196)</f>
        <v/>
      </c>
      <c r="C196" s="15"/>
      <c r="D196" s="13"/>
      <c r="E196" s="15"/>
      <c r="F196" s="13"/>
      <c r="G196" s="15"/>
      <c r="H196" s="11"/>
      <c r="I196" s="11"/>
      <c r="J196" s="12"/>
      <c r="K196" s="11"/>
      <c r="L196" s="11"/>
      <c r="M196" s="11"/>
      <c r="N196" s="12"/>
      <c r="O196" s="11"/>
      <c r="P196" s="11"/>
      <c r="Q196" s="11"/>
      <c r="R196" s="11"/>
      <c r="S196" s="10" t="s">
        <v>286</v>
      </c>
    </row>
    <row r="197" spans="1:19" x14ac:dyDescent="0.25">
      <c r="A197" s="11"/>
      <c r="B197" s="11" t="str" cm="1">
        <f t="array" ref="B197">Addspaces(A197)</f>
        <v/>
      </c>
      <c r="C197" s="15"/>
      <c r="D197" s="13"/>
      <c r="E197" s="15"/>
      <c r="F197" s="13"/>
      <c r="G197" s="15"/>
      <c r="H197" s="11"/>
      <c r="I197" s="11"/>
      <c r="J197" s="12"/>
      <c r="K197" s="11"/>
      <c r="L197" s="11"/>
      <c r="M197" s="11"/>
      <c r="N197" s="12"/>
      <c r="O197" s="11"/>
      <c r="P197" s="11"/>
      <c r="Q197" s="11"/>
      <c r="R197" s="11"/>
      <c r="S197" s="10" t="s">
        <v>286</v>
      </c>
    </row>
    <row r="198" spans="1:19" x14ac:dyDescent="0.25">
      <c r="A198" s="11"/>
      <c r="B198" s="11" t="str" cm="1">
        <f t="array" ref="B198">Addspaces(A198)</f>
        <v/>
      </c>
      <c r="C198" s="15"/>
      <c r="D198" s="13"/>
      <c r="E198" s="15"/>
      <c r="F198" s="13"/>
      <c r="G198" s="15"/>
      <c r="H198" s="11"/>
      <c r="I198" s="11"/>
      <c r="J198" s="12"/>
      <c r="K198" s="11"/>
      <c r="L198" s="11"/>
      <c r="M198" s="11"/>
      <c r="N198" s="12"/>
      <c r="O198" s="11"/>
      <c r="P198" s="11"/>
      <c r="Q198" s="11"/>
      <c r="R198" s="11"/>
      <c r="S198" s="10" t="s">
        <v>286</v>
      </c>
    </row>
  </sheetData>
  <pageMargins left="0.7" right="0.7" top="0.75" bottom="0.75" header="0.3" footer="0.3"/>
  <pageSetup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035A8-91FD-41F6-A2EC-0FDA52FF0501}">
  <sheetPr codeName="Sheet9"/>
  <dimension ref="A2:B448"/>
  <sheetViews>
    <sheetView topLeftCell="A224" workbookViewId="0">
      <selection activeCell="A247" sqref="A247:XFD247"/>
    </sheetView>
  </sheetViews>
  <sheetFormatPr defaultRowHeight="15" x14ac:dyDescent="0.25"/>
  <cols>
    <col min="1" max="1" width="160" bestFit="1" customWidth="1"/>
    <col min="2" max="2" width="99.42578125" bestFit="1" customWidth="1"/>
  </cols>
  <sheetData>
    <row r="2" spans="1:2" x14ac:dyDescent="0.25">
      <c r="A2" t="s">
        <v>1243</v>
      </c>
      <c r="B2" t="s">
        <v>1651</v>
      </c>
    </row>
    <row r="3" spans="1:2" x14ac:dyDescent="0.25">
      <c r="A3" t="s">
        <v>1244</v>
      </c>
      <c r="B3" t="s">
        <v>1652</v>
      </c>
    </row>
    <row r="4" spans="1:2" x14ac:dyDescent="0.25">
      <c r="A4" t="s">
        <v>1245</v>
      </c>
      <c r="B4" t="s">
        <v>1653</v>
      </c>
    </row>
    <row r="5" spans="1:2" x14ac:dyDescent="0.25">
      <c r="A5" t="s">
        <v>1246</v>
      </c>
      <c r="B5" t="s">
        <v>1654</v>
      </c>
    </row>
    <row r="6" spans="1:2" x14ac:dyDescent="0.25">
      <c r="A6" t="s">
        <v>1247</v>
      </c>
      <c r="B6" t="s">
        <v>1655</v>
      </c>
    </row>
    <row r="7" spans="1:2" x14ac:dyDescent="0.25">
      <c r="A7" t="s">
        <v>1248</v>
      </c>
      <c r="B7" t="s">
        <v>1656</v>
      </c>
    </row>
    <row r="8" spans="1:2" x14ac:dyDescent="0.25">
      <c r="A8" t="s">
        <v>1249</v>
      </c>
      <c r="B8" t="s">
        <v>1657</v>
      </c>
    </row>
    <row r="9" spans="1:2" x14ac:dyDescent="0.25">
      <c r="A9" t="s">
        <v>1250</v>
      </c>
      <c r="B9" t="s">
        <v>1658</v>
      </c>
    </row>
    <row r="10" spans="1:2" x14ac:dyDescent="0.25">
      <c r="A10" t="s">
        <v>1251</v>
      </c>
      <c r="B10" t="s">
        <v>1659</v>
      </c>
    </row>
    <row r="11" spans="1:2" x14ac:dyDescent="0.25">
      <c r="A11" t="s">
        <v>1252</v>
      </c>
      <c r="B11" t="s">
        <v>1660</v>
      </c>
    </row>
    <row r="12" spans="1:2" x14ac:dyDescent="0.25">
      <c r="A12" t="s">
        <v>1253</v>
      </c>
      <c r="B12" t="s">
        <v>1661</v>
      </c>
    </row>
    <row r="13" spans="1:2" x14ac:dyDescent="0.25">
      <c r="A13" t="s">
        <v>1254</v>
      </c>
      <c r="B13" t="s">
        <v>1662</v>
      </c>
    </row>
    <row r="14" spans="1:2" x14ac:dyDescent="0.25">
      <c r="A14" t="s">
        <v>1255</v>
      </c>
      <c r="B14" t="s">
        <v>1663</v>
      </c>
    </row>
    <row r="15" spans="1:2" x14ac:dyDescent="0.25">
      <c r="A15" t="s">
        <v>1256</v>
      </c>
      <c r="B15" t="s">
        <v>1664</v>
      </c>
    </row>
    <row r="16" spans="1:2" x14ac:dyDescent="0.25">
      <c r="A16" t="s">
        <v>1257</v>
      </c>
      <c r="B16" t="s">
        <v>1665</v>
      </c>
    </row>
    <row r="17" spans="1:2" x14ac:dyDescent="0.25">
      <c r="A17" t="s">
        <v>1258</v>
      </c>
      <c r="B17" t="s">
        <v>1666</v>
      </c>
    </row>
    <row r="18" spans="1:2" x14ac:dyDescent="0.25">
      <c r="A18" t="s">
        <v>1259</v>
      </c>
      <c r="B18" t="s">
        <v>1667</v>
      </c>
    </row>
    <row r="19" spans="1:2" x14ac:dyDescent="0.25">
      <c r="A19" t="s">
        <v>1260</v>
      </c>
      <c r="B19" t="s">
        <v>1668</v>
      </c>
    </row>
    <row r="20" spans="1:2" x14ac:dyDescent="0.25">
      <c r="A20" t="s">
        <v>1261</v>
      </c>
      <c r="B20" t="s">
        <v>1669</v>
      </c>
    </row>
    <row r="21" spans="1:2" x14ac:dyDescent="0.25">
      <c r="A21" t="s">
        <v>1262</v>
      </c>
      <c r="B21" t="s">
        <v>1670</v>
      </c>
    </row>
    <row r="22" spans="1:2" x14ac:dyDescent="0.25">
      <c r="A22" t="s">
        <v>1263</v>
      </c>
      <c r="B22" t="s">
        <v>1671</v>
      </c>
    </row>
    <row r="23" spans="1:2" x14ac:dyDescent="0.25">
      <c r="A23" t="s">
        <v>1264</v>
      </c>
      <c r="B23" t="s">
        <v>1672</v>
      </c>
    </row>
    <row r="24" spans="1:2" x14ac:dyDescent="0.25">
      <c r="A24" t="s">
        <v>1265</v>
      </c>
      <c r="B24" t="s">
        <v>1673</v>
      </c>
    </row>
    <row r="25" spans="1:2" x14ac:dyDescent="0.25">
      <c r="A25" t="s">
        <v>1266</v>
      </c>
      <c r="B25" t="s">
        <v>1674</v>
      </c>
    </row>
    <row r="26" spans="1:2" x14ac:dyDescent="0.25">
      <c r="A26" t="s">
        <v>1267</v>
      </c>
      <c r="B26" t="s">
        <v>1675</v>
      </c>
    </row>
    <row r="27" spans="1:2" x14ac:dyDescent="0.25">
      <c r="A27" t="s">
        <v>1268</v>
      </c>
      <c r="B27" t="s">
        <v>1676</v>
      </c>
    </row>
    <row r="28" spans="1:2" x14ac:dyDescent="0.25">
      <c r="A28" t="s">
        <v>1269</v>
      </c>
      <c r="B28" t="s">
        <v>1677</v>
      </c>
    </row>
    <row r="29" spans="1:2" x14ac:dyDescent="0.25">
      <c r="A29" t="s">
        <v>1270</v>
      </c>
      <c r="B29" t="s">
        <v>1678</v>
      </c>
    </row>
    <row r="30" spans="1:2" x14ac:dyDescent="0.25">
      <c r="A30" t="s">
        <v>1271</v>
      </c>
      <c r="B30" t="s">
        <v>1679</v>
      </c>
    </row>
    <row r="31" spans="1:2" x14ac:dyDescent="0.25">
      <c r="A31" t="s">
        <v>1272</v>
      </c>
      <c r="B31" t="s">
        <v>1680</v>
      </c>
    </row>
    <row r="32" spans="1:2" x14ac:dyDescent="0.25">
      <c r="A32" t="s">
        <v>1273</v>
      </c>
      <c r="B32" t="s">
        <v>1681</v>
      </c>
    </row>
    <row r="33" spans="1:2" x14ac:dyDescent="0.25">
      <c r="A33" t="s">
        <v>1274</v>
      </c>
      <c r="B33" t="s">
        <v>1682</v>
      </c>
    </row>
    <row r="34" spans="1:2" x14ac:dyDescent="0.25">
      <c r="A34" t="s">
        <v>1275</v>
      </c>
      <c r="B34" t="s">
        <v>1683</v>
      </c>
    </row>
    <row r="35" spans="1:2" x14ac:dyDescent="0.25">
      <c r="A35" t="s">
        <v>1276</v>
      </c>
      <c r="B35" t="s">
        <v>1684</v>
      </c>
    </row>
    <row r="36" spans="1:2" x14ac:dyDescent="0.25">
      <c r="A36" t="s">
        <v>1277</v>
      </c>
      <c r="B36" t="s">
        <v>1685</v>
      </c>
    </row>
    <row r="37" spans="1:2" x14ac:dyDescent="0.25">
      <c r="A37" t="s">
        <v>1278</v>
      </c>
      <c r="B37" t="s">
        <v>1686</v>
      </c>
    </row>
    <row r="38" spans="1:2" x14ac:dyDescent="0.25">
      <c r="A38" t="s">
        <v>1279</v>
      </c>
      <c r="B38" t="s">
        <v>1687</v>
      </c>
    </row>
    <row r="39" spans="1:2" x14ac:dyDescent="0.25">
      <c r="A39" t="s">
        <v>1280</v>
      </c>
      <c r="B39" t="s">
        <v>1688</v>
      </c>
    </row>
    <row r="40" spans="1:2" x14ac:dyDescent="0.25">
      <c r="A40" t="s">
        <v>1281</v>
      </c>
      <c r="B40" t="s">
        <v>1689</v>
      </c>
    </row>
    <row r="41" spans="1:2" x14ac:dyDescent="0.25">
      <c r="A41" t="s">
        <v>1282</v>
      </c>
      <c r="B41" t="s">
        <v>1690</v>
      </c>
    </row>
    <row r="42" spans="1:2" x14ac:dyDescent="0.25">
      <c r="A42" t="s">
        <v>1283</v>
      </c>
      <c r="B42" t="s">
        <v>1691</v>
      </c>
    </row>
    <row r="43" spans="1:2" x14ac:dyDescent="0.25">
      <c r="A43" t="s">
        <v>1284</v>
      </c>
      <c r="B43" t="s">
        <v>1692</v>
      </c>
    </row>
    <row r="44" spans="1:2" x14ac:dyDescent="0.25">
      <c r="A44" t="s">
        <v>1285</v>
      </c>
      <c r="B44" t="s">
        <v>1693</v>
      </c>
    </row>
    <row r="45" spans="1:2" x14ac:dyDescent="0.25">
      <c r="A45" t="s">
        <v>1286</v>
      </c>
      <c r="B45" t="s">
        <v>1694</v>
      </c>
    </row>
    <row r="46" spans="1:2" x14ac:dyDescent="0.25">
      <c r="A46" t="s">
        <v>1287</v>
      </c>
      <c r="B46" t="s">
        <v>1695</v>
      </c>
    </row>
    <row r="47" spans="1:2" x14ac:dyDescent="0.25">
      <c r="A47" t="s">
        <v>1288</v>
      </c>
      <c r="B47" t="s">
        <v>1696</v>
      </c>
    </row>
    <row r="48" spans="1:2" x14ac:dyDescent="0.25">
      <c r="A48" t="s">
        <v>1289</v>
      </c>
      <c r="B48" t="s">
        <v>1697</v>
      </c>
    </row>
    <row r="49" spans="1:2" x14ac:dyDescent="0.25">
      <c r="A49" t="s">
        <v>1290</v>
      </c>
      <c r="B49" t="s">
        <v>1698</v>
      </c>
    </row>
    <row r="50" spans="1:2" x14ac:dyDescent="0.25">
      <c r="A50" t="s">
        <v>1291</v>
      </c>
      <c r="B50" t="s">
        <v>1699</v>
      </c>
    </row>
    <row r="51" spans="1:2" x14ac:dyDescent="0.25">
      <c r="A51" t="s">
        <v>1292</v>
      </c>
      <c r="B51" t="s">
        <v>1700</v>
      </c>
    </row>
    <row r="52" spans="1:2" x14ac:dyDescent="0.25">
      <c r="A52" t="s">
        <v>1293</v>
      </c>
      <c r="B52" t="s">
        <v>1701</v>
      </c>
    </row>
    <row r="53" spans="1:2" x14ac:dyDescent="0.25">
      <c r="A53" t="s">
        <v>1294</v>
      </c>
      <c r="B53" t="s">
        <v>1702</v>
      </c>
    </row>
    <row r="54" spans="1:2" x14ac:dyDescent="0.25">
      <c r="A54" t="s">
        <v>1295</v>
      </c>
      <c r="B54" t="s">
        <v>1703</v>
      </c>
    </row>
    <row r="55" spans="1:2" x14ac:dyDescent="0.25">
      <c r="A55" t="s">
        <v>1296</v>
      </c>
      <c r="B55" t="s">
        <v>1704</v>
      </c>
    </row>
    <row r="56" spans="1:2" x14ac:dyDescent="0.25">
      <c r="A56" t="s">
        <v>1297</v>
      </c>
      <c r="B56" t="s">
        <v>1705</v>
      </c>
    </row>
    <row r="57" spans="1:2" x14ac:dyDescent="0.25">
      <c r="A57" t="s">
        <v>1298</v>
      </c>
      <c r="B57" t="s">
        <v>1706</v>
      </c>
    </row>
    <row r="58" spans="1:2" x14ac:dyDescent="0.25">
      <c r="A58" t="s">
        <v>1299</v>
      </c>
      <c r="B58" t="s">
        <v>1707</v>
      </c>
    </row>
    <row r="59" spans="1:2" x14ac:dyDescent="0.25">
      <c r="A59" t="s">
        <v>1300</v>
      </c>
      <c r="B59" t="s">
        <v>1708</v>
      </c>
    </row>
    <row r="60" spans="1:2" x14ac:dyDescent="0.25">
      <c r="A60" t="s">
        <v>1301</v>
      </c>
      <c r="B60" t="s">
        <v>1709</v>
      </c>
    </row>
    <row r="61" spans="1:2" x14ac:dyDescent="0.25">
      <c r="A61" t="s">
        <v>1302</v>
      </c>
      <c r="B61" t="s">
        <v>1710</v>
      </c>
    </row>
    <row r="62" spans="1:2" x14ac:dyDescent="0.25">
      <c r="A62" t="s">
        <v>1303</v>
      </c>
      <c r="B62" t="s">
        <v>1711</v>
      </c>
    </row>
    <row r="63" spans="1:2" x14ac:dyDescent="0.25">
      <c r="A63" t="s">
        <v>1304</v>
      </c>
      <c r="B63" t="s">
        <v>1712</v>
      </c>
    </row>
    <row r="64" spans="1:2" x14ac:dyDescent="0.25">
      <c r="A64" t="s">
        <v>1305</v>
      </c>
      <c r="B64" t="s">
        <v>1713</v>
      </c>
    </row>
    <row r="65" spans="1:2" x14ac:dyDescent="0.25">
      <c r="A65" t="s">
        <v>1306</v>
      </c>
      <c r="B65" t="s">
        <v>1714</v>
      </c>
    </row>
    <row r="66" spans="1:2" x14ac:dyDescent="0.25">
      <c r="A66" t="s">
        <v>1307</v>
      </c>
      <c r="B66" t="s">
        <v>1715</v>
      </c>
    </row>
    <row r="67" spans="1:2" x14ac:dyDescent="0.25">
      <c r="A67" t="s">
        <v>1308</v>
      </c>
      <c r="B67" t="s">
        <v>1716</v>
      </c>
    </row>
    <row r="68" spans="1:2" x14ac:dyDescent="0.25">
      <c r="A68" t="s">
        <v>1309</v>
      </c>
      <c r="B68" t="s">
        <v>1717</v>
      </c>
    </row>
    <row r="69" spans="1:2" x14ac:dyDescent="0.25">
      <c r="A69" t="s">
        <v>1310</v>
      </c>
      <c r="B69" t="s">
        <v>1718</v>
      </c>
    </row>
    <row r="70" spans="1:2" x14ac:dyDescent="0.25">
      <c r="A70" t="s">
        <v>1311</v>
      </c>
      <c r="B70" t="s">
        <v>1719</v>
      </c>
    </row>
    <row r="71" spans="1:2" x14ac:dyDescent="0.25">
      <c r="A71" t="s">
        <v>1312</v>
      </c>
      <c r="B71" t="s">
        <v>1720</v>
      </c>
    </row>
    <row r="72" spans="1:2" x14ac:dyDescent="0.25">
      <c r="A72" t="s">
        <v>1313</v>
      </c>
      <c r="B72" t="s">
        <v>1721</v>
      </c>
    </row>
    <row r="73" spans="1:2" x14ac:dyDescent="0.25">
      <c r="A73" t="s">
        <v>1314</v>
      </c>
      <c r="B73" t="s">
        <v>1722</v>
      </c>
    </row>
    <row r="74" spans="1:2" x14ac:dyDescent="0.25">
      <c r="A74" t="s">
        <v>1315</v>
      </c>
      <c r="B74" t="s">
        <v>1723</v>
      </c>
    </row>
    <row r="75" spans="1:2" x14ac:dyDescent="0.25">
      <c r="A75" t="s">
        <v>1316</v>
      </c>
      <c r="B75" t="s">
        <v>1724</v>
      </c>
    </row>
    <row r="76" spans="1:2" x14ac:dyDescent="0.25">
      <c r="A76" t="s">
        <v>1317</v>
      </c>
      <c r="B76" t="s">
        <v>1725</v>
      </c>
    </row>
    <row r="77" spans="1:2" x14ac:dyDescent="0.25">
      <c r="A77" t="s">
        <v>1318</v>
      </c>
      <c r="B77" t="s">
        <v>1726</v>
      </c>
    </row>
    <row r="78" spans="1:2" x14ac:dyDescent="0.25">
      <c r="A78" t="s">
        <v>1319</v>
      </c>
      <c r="B78" t="s">
        <v>1727</v>
      </c>
    </row>
    <row r="79" spans="1:2" x14ac:dyDescent="0.25">
      <c r="A79" t="s">
        <v>1320</v>
      </c>
      <c r="B79" t="s">
        <v>1728</v>
      </c>
    </row>
    <row r="80" spans="1:2" x14ac:dyDescent="0.25">
      <c r="A80" t="s">
        <v>1321</v>
      </c>
      <c r="B80" t="s">
        <v>1729</v>
      </c>
    </row>
    <row r="81" spans="1:2" x14ac:dyDescent="0.25">
      <c r="A81" t="s">
        <v>1322</v>
      </c>
      <c r="B81" t="s">
        <v>1730</v>
      </c>
    </row>
    <row r="82" spans="1:2" x14ac:dyDescent="0.25">
      <c r="A82" t="s">
        <v>1323</v>
      </c>
      <c r="B82" t="s">
        <v>1731</v>
      </c>
    </row>
    <row r="83" spans="1:2" x14ac:dyDescent="0.25">
      <c r="A83" t="s">
        <v>1324</v>
      </c>
      <c r="B83" t="s">
        <v>1732</v>
      </c>
    </row>
    <row r="84" spans="1:2" x14ac:dyDescent="0.25">
      <c r="A84" t="s">
        <v>1325</v>
      </c>
      <c r="B84" t="s">
        <v>1733</v>
      </c>
    </row>
    <row r="85" spans="1:2" x14ac:dyDescent="0.25">
      <c r="A85" t="s">
        <v>1326</v>
      </c>
      <c r="B85" t="s">
        <v>1734</v>
      </c>
    </row>
    <row r="86" spans="1:2" x14ac:dyDescent="0.25">
      <c r="A86" t="s">
        <v>1327</v>
      </c>
      <c r="B86" t="s">
        <v>1735</v>
      </c>
    </row>
    <row r="87" spans="1:2" x14ac:dyDescent="0.25">
      <c r="A87" t="s">
        <v>1328</v>
      </c>
      <c r="B87" t="s">
        <v>1736</v>
      </c>
    </row>
    <row r="88" spans="1:2" x14ac:dyDescent="0.25">
      <c r="A88" t="s">
        <v>1329</v>
      </c>
      <c r="B88" t="s">
        <v>1737</v>
      </c>
    </row>
    <row r="89" spans="1:2" x14ac:dyDescent="0.25">
      <c r="A89" t="s">
        <v>1330</v>
      </c>
      <c r="B89" t="s">
        <v>1738</v>
      </c>
    </row>
    <row r="90" spans="1:2" x14ac:dyDescent="0.25">
      <c r="A90" t="s">
        <v>1331</v>
      </c>
      <c r="B90" t="s">
        <v>1739</v>
      </c>
    </row>
    <row r="91" spans="1:2" x14ac:dyDescent="0.25">
      <c r="A91" t="s">
        <v>1332</v>
      </c>
      <c r="B91" t="s">
        <v>1740</v>
      </c>
    </row>
    <row r="92" spans="1:2" x14ac:dyDescent="0.25">
      <c r="A92" t="s">
        <v>1333</v>
      </c>
      <c r="B92" t="s">
        <v>1741</v>
      </c>
    </row>
    <row r="93" spans="1:2" x14ac:dyDescent="0.25">
      <c r="A93" t="s">
        <v>1334</v>
      </c>
      <c r="B93" t="s">
        <v>1742</v>
      </c>
    </row>
    <row r="94" spans="1:2" x14ac:dyDescent="0.25">
      <c r="A94" t="s">
        <v>1335</v>
      </c>
      <c r="B94" t="s">
        <v>1743</v>
      </c>
    </row>
    <row r="95" spans="1:2" x14ac:dyDescent="0.25">
      <c r="A95" t="s">
        <v>1336</v>
      </c>
      <c r="B95" t="s">
        <v>1744</v>
      </c>
    </row>
    <row r="96" spans="1:2" x14ac:dyDescent="0.25">
      <c r="A96" t="s">
        <v>1337</v>
      </c>
      <c r="B96" t="s">
        <v>1745</v>
      </c>
    </row>
    <row r="97" spans="1:2" x14ac:dyDescent="0.25">
      <c r="A97" t="s">
        <v>1338</v>
      </c>
      <c r="B97" t="s">
        <v>1746</v>
      </c>
    </row>
    <row r="98" spans="1:2" x14ac:dyDescent="0.25">
      <c r="A98" t="s">
        <v>1339</v>
      </c>
      <c r="B98" t="s">
        <v>1747</v>
      </c>
    </row>
    <row r="99" spans="1:2" x14ac:dyDescent="0.25">
      <c r="A99" t="s">
        <v>1340</v>
      </c>
      <c r="B99" t="s">
        <v>1748</v>
      </c>
    </row>
    <row r="100" spans="1:2" x14ac:dyDescent="0.25">
      <c r="A100" t="s">
        <v>1341</v>
      </c>
      <c r="B100" t="s">
        <v>1749</v>
      </c>
    </row>
    <row r="101" spans="1:2" x14ac:dyDescent="0.25">
      <c r="A101" t="s">
        <v>1342</v>
      </c>
      <c r="B101" t="s">
        <v>1750</v>
      </c>
    </row>
    <row r="102" spans="1:2" x14ac:dyDescent="0.25">
      <c r="A102" t="s">
        <v>1343</v>
      </c>
      <c r="B102" t="s">
        <v>1751</v>
      </c>
    </row>
    <row r="103" spans="1:2" x14ac:dyDescent="0.25">
      <c r="A103" t="s">
        <v>1344</v>
      </c>
      <c r="B103" t="s">
        <v>1752</v>
      </c>
    </row>
    <row r="104" spans="1:2" x14ac:dyDescent="0.25">
      <c r="A104" t="s">
        <v>1345</v>
      </c>
      <c r="B104" t="s">
        <v>1753</v>
      </c>
    </row>
    <row r="105" spans="1:2" x14ac:dyDescent="0.25">
      <c r="A105" t="s">
        <v>1346</v>
      </c>
      <c r="B105" t="s">
        <v>1754</v>
      </c>
    </row>
    <row r="106" spans="1:2" x14ac:dyDescent="0.25">
      <c r="A106" t="s">
        <v>1347</v>
      </c>
      <c r="B106" t="s">
        <v>1755</v>
      </c>
    </row>
    <row r="107" spans="1:2" x14ac:dyDescent="0.25">
      <c r="A107" t="s">
        <v>1348</v>
      </c>
      <c r="B107" t="s">
        <v>1756</v>
      </c>
    </row>
    <row r="108" spans="1:2" x14ac:dyDescent="0.25">
      <c r="A108" t="s">
        <v>1349</v>
      </c>
      <c r="B108" t="s">
        <v>1757</v>
      </c>
    </row>
    <row r="109" spans="1:2" x14ac:dyDescent="0.25">
      <c r="A109" t="s">
        <v>1350</v>
      </c>
      <c r="B109" t="s">
        <v>1758</v>
      </c>
    </row>
    <row r="110" spans="1:2" x14ac:dyDescent="0.25">
      <c r="A110" t="s">
        <v>1351</v>
      </c>
      <c r="B110" t="s">
        <v>1759</v>
      </c>
    </row>
    <row r="111" spans="1:2" x14ac:dyDescent="0.25">
      <c r="A111" t="s">
        <v>1352</v>
      </c>
      <c r="B111" t="s">
        <v>1760</v>
      </c>
    </row>
    <row r="112" spans="1:2" x14ac:dyDescent="0.25">
      <c r="A112" t="s">
        <v>1353</v>
      </c>
      <c r="B112" t="s">
        <v>1761</v>
      </c>
    </row>
    <row r="113" spans="1:2" x14ac:dyDescent="0.25">
      <c r="A113" t="s">
        <v>1354</v>
      </c>
      <c r="B113" t="s">
        <v>1762</v>
      </c>
    </row>
    <row r="114" spans="1:2" x14ac:dyDescent="0.25">
      <c r="A114" t="s">
        <v>1355</v>
      </c>
      <c r="B114" t="s">
        <v>1763</v>
      </c>
    </row>
    <row r="115" spans="1:2" x14ac:dyDescent="0.25">
      <c r="A115" t="s">
        <v>1356</v>
      </c>
      <c r="B115" t="s">
        <v>1764</v>
      </c>
    </row>
    <row r="116" spans="1:2" x14ac:dyDescent="0.25">
      <c r="A116" t="s">
        <v>1357</v>
      </c>
      <c r="B116" t="s">
        <v>1765</v>
      </c>
    </row>
    <row r="117" spans="1:2" x14ac:dyDescent="0.25">
      <c r="A117" t="s">
        <v>1358</v>
      </c>
      <c r="B117" t="s">
        <v>1766</v>
      </c>
    </row>
    <row r="118" spans="1:2" x14ac:dyDescent="0.25">
      <c r="A118" t="s">
        <v>1359</v>
      </c>
      <c r="B118" t="s">
        <v>1767</v>
      </c>
    </row>
    <row r="119" spans="1:2" x14ac:dyDescent="0.25">
      <c r="A119" t="s">
        <v>1360</v>
      </c>
      <c r="B119" t="s">
        <v>1768</v>
      </c>
    </row>
    <row r="120" spans="1:2" x14ac:dyDescent="0.25">
      <c r="A120" t="s">
        <v>1361</v>
      </c>
      <c r="B120" t="s">
        <v>1769</v>
      </c>
    </row>
    <row r="121" spans="1:2" x14ac:dyDescent="0.25">
      <c r="A121" t="s">
        <v>1362</v>
      </c>
      <c r="B121" t="s">
        <v>1770</v>
      </c>
    </row>
    <row r="122" spans="1:2" x14ac:dyDescent="0.25">
      <c r="A122" t="s">
        <v>1363</v>
      </c>
      <c r="B122" t="s">
        <v>1771</v>
      </c>
    </row>
    <row r="123" spans="1:2" x14ac:dyDescent="0.25">
      <c r="A123" t="s">
        <v>1364</v>
      </c>
      <c r="B123" t="s">
        <v>1772</v>
      </c>
    </row>
    <row r="124" spans="1:2" x14ac:dyDescent="0.25">
      <c r="A124" t="s">
        <v>1365</v>
      </c>
      <c r="B124" t="s">
        <v>1773</v>
      </c>
    </row>
    <row r="125" spans="1:2" x14ac:dyDescent="0.25">
      <c r="A125" t="s">
        <v>1366</v>
      </c>
      <c r="B125" t="s">
        <v>1774</v>
      </c>
    </row>
    <row r="126" spans="1:2" x14ac:dyDescent="0.25">
      <c r="A126" t="s">
        <v>1367</v>
      </c>
      <c r="B126" t="s">
        <v>1775</v>
      </c>
    </row>
    <row r="127" spans="1:2" x14ac:dyDescent="0.25">
      <c r="A127" t="s">
        <v>1368</v>
      </c>
      <c r="B127" t="s">
        <v>1776</v>
      </c>
    </row>
    <row r="128" spans="1:2" x14ac:dyDescent="0.25">
      <c r="A128" t="s">
        <v>1369</v>
      </c>
      <c r="B128" t="s">
        <v>1777</v>
      </c>
    </row>
    <row r="129" spans="1:2" x14ac:dyDescent="0.25">
      <c r="A129" t="s">
        <v>1370</v>
      </c>
      <c r="B129" t="s">
        <v>1778</v>
      </c>
    </row>
    <row r="130" spans="1:2" x14ac:dyDescent="0.25">
      <c r="A130" t="s">
        <v>1371</v>
      </c>
      <c r="B130" t="s">
        <v>1779</v>
      </c>
    </row>
    <row r="131" spans="1:2" x14ac:dyDescent="0.25">
      <c r="A131" t="s">
        <v>1372</v>
      </c>
      <c r="B131" t="s">
        <v>1780</v>
      </c>
    </row>
    <row r="132" spans="1:2" x14ac:dyDescent="0.25">
      <c r="A132" t="s">
        <v>1373</v>
      </c>
      <c r="B132" t="s">
        <v>1781</v>
      </c>
    </row>
    <row r="133" spans="1:2" x14ac:dyDescent="0.25">
      <c r="A133" t="s">
        <v>1374</v>
      </c>
      <c r="B133" t="s">
        <v>1782</v>
      </c>
    </row>
    <row r="134" spans="1:2" x14ac:dyDescent="0.25">
      <c r="A134" t="s">
        <v>1375</v>
      </c>
      <c r="B134" t="s">
        <v>1783</v>
      </c>
    </row>
    <row r="135" spans="1:2" x14ac:dyDescent="0.25">
      <c r="A135" t="s">
        <v>1376</v>
      </c>
      <c r="B135" t="s">
        <v>1784</v>
      </c>
    </row>
    <row r="136" spans="1:2" x14ac:dyDescent="0.25">
      <c r="A136" t="s">
        <v>1377</v>
      </c>
      <c r="B136" t="s">
        <v>1785</v>
      </c>
    </row>
    <row r="137" spans="1:2" x14ac:dyDescent="0.25">
      <c r="A137" t="s">
        <v>1378</v>
      </c>
      <c r="B137" t="s">
        <v>1786</v>
      </c>
    </row>
    <row r="138" spans="1:2" x14ac:dyDescent="0.25">
      <c r="A138" t="s">
        <v>1379</v>
      </c>
      <c r="B138" t="s">
        <v>1787</v>
      </c>
    </row>
    <row r="139" spans="1:2" x14ac:dyDescent="0.25">
      <c r="A139" t="s">
        <v>1380</v>
      </c>
      <c r="B139" t="s">
        <v>1788</v>
      </c>
    </row>
    <row r="140" spans="1:2" x14ac:dyDescent="0.25">
      <c r="A140" t="s">
        <v>1381</v>
      </c>
      <c r="B140" t="s">
        <v>1789</v>
      </c>
    </row>
    <row r="141" spans="1:2" x14ac:dyDescent="0.25">
      <c r="A141" t="s">
        <v>1382</v>
      </c>
      <c r="B141" t="s">
        <v>1790</v>
      </c>
    </row>
    <row r="142" spans="1:2" x14ac:dyDescent="0.25">
      <c r="A142" t="s">
        <v>1383</v>
      </c>
      <c r="B142" t="s">
        <v>1791</v>
      </c>
    </row>
    <row r="143" spans="1:2" x14ac:dyDescent="0.25">
      <c r="A143" t="s">
        <v>1384</v>
      </c>
      <c r="B143" t="s">
        <v>1792</v>
      </c>
    </row>
    <row r="144" spans="1:2" x14ac:dyDescent="0.25">
      <c r="A144" t="s">
        <v>1385</v>
      </c>
      <c r="B144" t="s">
        <v>1793</v>
      </c>
    </row>
    <row r="145" spans="1:2" x14ac:dyDescent="0.25">
      <c r="A145" t="s">
        <v>1386</v>
      </c>
      <c r="B145" t="s">
        <v>1794</v>
      </c>
    </row>
    <row r="146" spans="1:2" x14ac:dyDescent="0.25">
      <c r="A146" t="s">
        <v>1387</v>
      </c>
      <c r="B146" t="s">
        <v>1795</v>
      </c>
    </row>
    <row r="147" spans="1:2" x14ac:dyDescent="0.25">
      <c r="A147" t="s">
        <v>1388</v>
      </c>
      <c r="B147" t="s">
        <v>1796</v>
      </c>
    </row>
    <row r="148" spans="1:2" x14ac:dyDescent="0.25">
      <c r="A148" t="s">
        <v>1389</v>
      </c>
      <c r="B148" t="s">
        <v>1797</v>
      </c>
    </row>
    <row r="149" spans="1:2" x14ac:dyDescent="0.25">
      <c r="A149" t="s">
        <v>1390</v>
      </c>
      <c r="B149" t="s">
        <v>1798</v>
      </c>
    </row>
    <row r="150" spans="1:2" x14ac:dyDescent="0.25">
      <c r="A150" t="s">
        <v>1391</v>
      </c>
      <c r="B150" t="s">
        <v>1799</v>
      </c>
    </row>
    <row r="151" spans="1:2" x14ac:dyDescent="0.25">
      <c r="A151" t="s">
        <v>1392</v>
      </c>
      <c r="B151" t="s">
        <v>1800</v>
      </c>
    </row>
    <row r="152" spans="1:2" x14ac:dyDescent="0.25">
      <c r="A152" t="s">
        <v>1393</v>
      </c>
      <c r="B152" t="s">
        <v>1801</v>
      </c>
    </row>
    <row r="153" spans="1:2" x14ac:dyDescent="0.25">
      <c r="A153" t="s">
        <v>1394</v>
      </c>
      <c r="B153" t="s">
        <v>1802</v>
      </c>
    </row>
    <row r="154" spans="1:2" x14ac:dyDescent="0.25">
      <c r="A154" t="s">
        <v>1395</v>
      </c>
      <c r="B154" t="s">
        <v>1803</v>
      </c>
    </row>
    <row r="155" spans="1:2" x14ac:dyDescent="0.25">
      <c r="A155" t="s">
        <v>1396</v>
      </c>
      <c r="B155" t="s">
        <v>1804</v>
      </c>
    </row>
    <row r="156" spans="1:2" x14ac:dyDescent="0.25">
      <c r="A156" t="s">
        <v>1397</v>
      </c>
      <c r="B156" t="s">
        <v>1805</v>
      </c>
    </row>
    <row r="157" spans="1:2" x14ac:dyDescent="0.25">
      <c r="A157" t="s">
        <v>1398</v>
      </c>
      <c r="B157" t="s">
        <v>1806</v>
      </c>
    </row>
    <row r="158" spans="1:2" x14ac:dyDescent="0.25">
      <c r="A158" t="s">
        <v>1399</v>
      </c>
      <c r="B158" t="s">
        <v>1807</v>
      </c>
    </row>
    <row r="159" spans="1:2" x14ac:dyDescent="0.25">
      <c r="A159" t="s">
        <v>1400</v>
      </c>
      <c r="B159" t="s">
        <v>1808</v>
      </c>
    </row>
    <row r="160" spans="1:2" x14ac:dyDescent="0.25">
      <c r="A160" t="s">
        <v>1401</v>
      </c>
      <c r="B160" t="s">
        <v>1809</v>
      </c>
    </row>
    <row r="161" spans="1:2" x14ac:dyDescent="0.25">
      <c r="A161" t="s">
        <v>1402</v>
      </c>
      <c r="B161" t="s">
        <v>1810</v>
      </c>
    </row>
    <row r="162" spans="1:2" x14ac:dyDescent="0.25">
      <c r="A162" t="s">
        <v>1403</v>
      </c>
      <c r="B162" t="s">
        <v>1811</v>
      </c>
    </row>
    <row r="163" spans="1:2" x14ac:dyDescent="0.25">
      <c r="A163" t="s">
        <v>1404</v>
      </c>
      <c r="B163" t="s">
        <v>1812</v>
      </c>
    </row>
    <row r="164" spans="1:2" x14ac:dyDescent="0.25">
      <c r="A164" t="s">
        <v>1405</v>
      </c>
      <c r="B164" t="s">
        <v>1813</v>
      </c>
    </row>
    <row r="165" spans="1:2" x14ac:dyDescent="0.25">
      <c r="A165" t="s">
        <v>1406</v>
      </c>
      <c r="B165" t="s">
        <v>1814</v>
      </c>
    </row>
    <row r="166" spans="1:2" x14ac:dyDescent="0.25">
      <c r="A166" t="s">
        <v>1407</v>
      </c>
      <c r="B166" t="s">
        <v>1815</v>
      </c>
    </row>
    <row r="167" spans="1:2" x14ac:dyDescent="0.25">
      <c r="A167" t="s">
        <v>1408</v>
      </c>
      <c r="B167" t="s">
        <v>1816</v>
      </c>
    </row>
    <row r="168" spans="1:2" x14ac:dyDescent="0.25">
      <c r="A168" t="s">
        <v>1409</v>
      </c>
      <c r="B168" t="s">
        <v>1817</v>
      </c>
    </row>
    <row r="169" spans="1:2" x14ac:dyDescent="0.25">
      <c r="A169" t="s">
        <v>1410</v>
      </c>
      <c r="B169" t="s">
        <v>1818</v>
      </c>
    </row>
    <row r="170" spans="1:2" x14ac:dyDescent="0.25">
      <c r="A170" t="s">
        <v>1411</v>
      </c>
      <c r="B170" t="s">
        <v>1819</v>
      </c>
    </row>
    <row r="171" spans="1:2" x14ac:dyDescent="0.25">
      <c r="A171" t="s">
        <v>1412</v>
      </c>
      <c r="B171" t="s">
        <v>1820</v>
      </c>
    </row>
    <row r="172" spans="1:2" x14ac:dyDescent="0.25">
      <c r="A172" t="s">
        <v>1413</v>
      </c>
      <c r="B172" t="s">
        <v>1821</v>
      </c>
    </row>
    <row r="173" spans="1:2" x14ac:dyDescent="0.25">
      <c r="A173" t="s">
        <v>1414</v>
      </c>
      <c r="B173" t="s">
        <v>1822</v>
      </c>
    </row>
    <row r="174" spans="1:2" x14ac:dyDescent="0.25">
      <c r="A174" t="s">
        <v>1415</v>
      </c>
      <c r="B174" t="s">
        <v>1823</v>
      </c>
    </row>
    <row r="175" spans="1:2" x14ac:dyDescent="0.25">
      <c r="A175" t="s">
        <v>1416</v>
      </c>
      <c r="B175" t="s">
        <v>1824</v>
      </c>
    </row>
    <row r="176" spans="1:2" x14ac:dyDescent="0.25">
      <c r="A176" t="s">
        <v>1417</v>
      </c>
      <c r="B176" t="s">
        <v>1825</v>
      </c>
    </row>
    <row r="177" spans="1:2" x14ac:dyDescent="0.25">
      <c r="A177" t="s">
        <v>1418</v>
      </c>
      <c r="B177" t="s">
        <v>1826</v>
      </c>
    </row>
    <row r="178" spans="1:2" x14ac:dyDescent="0.25">
      <c r="A178" t="s">
        <v>1419</v>
      </c>
      <c r="B178" t="s">
        <v>1827</v>
      </c>
    </row>
    <row r="179" spans="1:2" x14ac:dyDescent="0.25">
      <c r="A179" t="s">
        <v>1420</v>
      </c>
      <c r="B179" t="s">
        <v>1828</v>
      </c>
    </row>
    <row r="180" spans="1:2" x14ac:dyDescent="0.25">
      <c r="A180" t="s">
        <v>1421</v>
      </c>
      <c r="B180" t="s">
        <v>1829</v>
      </c>
    </row>
    <row r="181" spans="1:2" x14ac:dyDescent="0.25">
      <c r="A181" t="s">
        <v>1422</v>
      </c>
      <c r="B181" t="s">
        <v>1830</v>
      </c>
    </row>
    <row r="182" spans="1:2" x14ac:dyDescent="0.25">
      <c r="A182" t="s">
        <v>1423</v>
      </c>
      <c r="B182" t="s">
        <v>1831</v>
      </c>
    </row>
    <row r="183" spans="1:2" x14ac:dyDescent="0.25">
      <c r="A183" t="s">
        <v>1424</v>
      </c>
      <c r="B183" t="s">
        <v>1832</v>
      </c>
    </row>
    <row r="184" spans="1:2" x14ac:dyDescent="0.25">
      <c r="A184" t="s">
        <v>1425</v>
      </c>
      <c r="B184" t="s">
        <v>1833</v>
      </c>
    </row>
    <row r="185" spans="1:2" x14ac:dyDescent="0.25">
      <c r="A185" t="s">
        <v>1426</v>
      </c>
      <c r="B185" t="s">
        <v>1834</v>
      </c>
    </row>
    <row r="186" spans="1:2" x14ac:dyDescent="0.25">
      <c r="A186" t="s">
        <v>1427</v>
      </c>
      <c r="B186" t="s">
        <v>1835</v>
      </c>
    </row>
    <row r="187" spans="1:2" x14ac:dyDescent="0.25">
      <c r="A187" t="s">
        <v>1428</v>
      </c>
      <c r="B187" t="s">
        <v>1836</v>
      </c>
    </row>
    <row r="188" spans="1:2" x14ac:dyDescent="0.25">
      <c r="A188" t="s">
        <v>1429</v>
      </c>
      <c r="B188" t="s">
        <v>1837</v>
      </c>
    </row>
    <row r="189" spans="1:2" x14ac:dyDescent="0.25">
      <c r="A189" t="s">
        <v>1430</v>
      </c>
      <c r="B189" t="s">
        <v>1838</v>
      </c>
    </row>
    <row r="190" spans="1:2" x14ac:dyDescent="0.25">
      <c r="A190" t="s">
        <v>1431</v>
      </c>
      <c r="B190" t="s">
        <v>1839</v>
      </c>
    </row>
    <row r="191" spans="1:2" x14ac:dyDescent="0.25">
      <c r="A191" t="s">
        <v>1432</v>
      </c>
      <c r="B191" t="s">
        <v>1840</v>
      </c>
    </row>
    <row r="192" spans="1:2" x14ac:dyDescent="0.25">
      <c r="A192" t="s">
        <v>1433</v>
      </c>
      <c r="B192" t="s">
        <v>1841</v>
      </c>
    </row>
    <row r="193" spans="1:2" x14ac:dyDescent="0.25">
      <c r="A193" t="s">
        <v>1434</v>
      </c>
      <c r="B193" t="s">
        <v>1842</v>
      </c>
    </row>
    <row r="194" spans="1:2" x14ac:dyDescent="0.25">
      <c r="A194" t="s">
        <v>1435</v>
      </c>
      <c r="B194" t="s">
        <v>1843</v>
      </c>
    </row>
    <row r="195" spans="1:2" x14ac:dyDescent="0.25">
      <c r="A195" t="s">
        <v>1436</v>
      </c>
      <c r="B195" t="s">
        <v>1844</v>
      </c>
    </row>
    <row r="196" spans="1:2" x14ac:dyDescent="0.25">
      <c r="A196" t="s">
        <v>1437</v>
      </c>
      <c r="B196" t="s">
        <v>1845</v>
      </c>
    </row>
    <row r="197" spans="1:2" x14ac:dyDescent="0.25">
      <c r="A197" t="s">
        <v>1438</v>
      </c>
      <c r="B197" t="s">
        <v>1846</v>
      </c>
    </row>
    <row r="198" spans="1:2" x14ac:dyDescent="0.25">
      <c r="A198" t="s">
        <v>1439</v>
      </c>
      <c r="B198" t="s">
        <v>1847</v>
      </c>
    </row>
    <row r="199" spans="1:2" x14ac:dyDescent="0.25">
      <c r="A199" t="s">
        <v>1440</v>
      </c>
      <c r="B199" t="s">
        <v>1848</v>
      </c>
    </row>
    <row r="200" spans="1:2" x14ac:dyDescent="0.25">
      <c r="A200" t="s">
        <v>1441</v>
      </c>
      <c r="B200" t="s">
        <v>1849</v>
      </c>
    </row>
    <row r="201" spans="1:2" x14ac:dyDescent="0.25">
      <c r="A201" t="s">
        <v>1442</v>
      </c>
      <c r="B201" t="s">
        <v>1850</v>
      </c>
    </row>
    <row r="202" spans="1:2" x14ac:dyDescent="0.25">
      <c r="A202" t="s">
        <v>1443</v>
      </c>
      <c r="B202" t="s">
        <v>1851</v>
      </c>
    </row>
    <row r="203" spans="1:2" x14ac:dyDescent="0.25">
      <c r="A203" t="s">
        <v>1444</v>
      </c>
      <c r="B203" t="s">
        <v>1852</v>
      </c>
    </row>
    <row r="204" spans="1:2" x14ac:dyDescent="0.25">
      <c r="A204" t="s">
        <v>1445</v>
      </c>
      <c r="B204" t="s">
        <v>1853</v>
      </c>
    </row>
    <row r="205" spans="1:2" x14ac:dyDescent="0.25">
      <c r="A205" t="s">
        <v>1446</v>
      </c>
      <c r="B205" t="s">
        <v>1854</v>
      </c>
    </row>
    <row r="206" spans="1:2" x14ac:dyDescent="0.25">
      <c r="A206" t="s">
        <v>1447</v>
      </c>
      <c r="B206" t="s">
        <v>1855</v>
      </c>
    </row>
    <row r="207" spans="1:2" x14ac:dyDescent="0.25">
      <c r="A207" t="s">
        <v>1448</v>
      </c>
      <c r="B207" t="s">
        <v>1856</v>
      </c>
    </row>
    <row r="208" spans="1:2" x14ac:dyDescent="0.25">
      <c r="A208" t="s">
        <v>1449</v>
      </c>
      <c r="B208" t="s">
        <v>1857</v>
      </c>
    </row>
    <row r="209" spans="1:2" x14ac:dyDescent="0.25">
      <c r="A209" t="s">
        <v>1450</v>
      </c>
      <c r="B209" t="s">
        <v>1858</v>
      </c>
    </row>
    <row r="210" spans="1:2" x14ac:dyDescent="0.25">
      <c r="A210" t="s">
        <v>1451</v>
      </c>
      <c r="B210" t="s">
        <v>1859</v>
      </c>
    </row>
    <row r="211" spans="1:2" x14ac:dyDescent="0.25">
      <c r="A211" t="s">
        <v>1452</v>
      </c>
      <c r="B211" t="s">
        <v>1860</v>
      </c>
    </row>
    <row r="212" spans="1:2" x14ac:dyDescent="0.25">
      <c r="A212" t="s">
        <v>1453</v>
      </c>
      <c r="B212" t="s">
        <v>1861</v>
      </c>
    </row>
    <row r="213" spans="1:2" x14ac:dyDescent="0.25">
      <c r="A213" t="s">
        <v>1454</v>
      </c>
      <c r="B213" t="s">
        <v>1862</v>
      </c>
    </row>
    <row r="214" spans="1:2" x14ac:dyDescent="0.25">
      <c r="A214" t="s">
        <v>1455</v>
      </c>
      <c r="B214" t="s">
        <v>1863</v>
      </c>
    </row>
    <row r="215" spans="1:2" x14ac:dyDescent="0.25">
      <c r="A215" t="s">
        <v>1456</v>
      </c>
      <c r="B215" t="s">
        <v>1864</v>
      </c>
    </row>
    <row r="216" spans="1:2" x14ac:dyDescent="0.25">
      <c r="A216" t="s">
        <v>1457</v>
      </c>
      <c r="B216" t="s">
        <v>1865</v>
      </c>
    </row>
    <row r="217" spans="1:2" x14ac:dyDescent="0.25">
      <c r="A217" t="s">
        <v>1458</v>
      </c>
      <c r="B217" t="s">
        <v>1866</v>
      </c>
    </row>
    <row r="218" spans="1:2" x14ac:dyDescent="0.25">
      <c r="A218" t="s">
        <v>1459</v>
      </c>
      <c r="B218" t="s">
        <v>1867</v>
      </c>
    </row>
    <row r="219" spans="1:2" x14ac:dyDescent="0.25">
      <c r="A219" t="s">
        <v>1460</v>
      </c>
      <c r="B219" t="s">
        <v>1868</v>
      </c>
    </row>
    <row r="220" spans="1:2" x14ac:dyDescent="0.25">
      <c r="A220" t="s">
        <v>1461</v>
      </c>
      <c r="B220" t="s">
        <v>1869</v>
      </c>
    </row>
    <row r="221" spans="1:2" x14ac:dyDescent="0.25">
      <c r="A221" t="s">
        <v>1462</v>
      </c>
      <c r="B221" t="s">
        <v>1870</v>
      </c>
    </row>
    <row r="222" spans="1:2" x14ac:dyDescent="0.25">
      <c r="A222" t="s">
        <v>1463</v>
      </c>
      <c r="B222" t="s">
        <v>1871</v>
      </c>
    </row>
    <row r="223" spans="1:2" x14ac:dyDescent="0.25">
      <c r="A223" t="s">
        <v>1464</v>
      </c>
      <c r="B223" t="s">
        <v>1872</v>
      </c>
    </row>
    <row r="224" spans="1:2" x14ac:dyDescent="0.25">
      <c r="A224" t="s">
        <v>1465</v>
      </c>
      <c r="B224" t="s">
        <v>1873</v>
      </c>
    </row>
    <row r="225" spans="1:2" x14ac:dyDescent="0.25">
      <c r="A225" t="s">
        <v>1466</v>
      </c>
      <c r="B225" t="s">
        <v>1874</v>
      </c>
    </row>
    <row r="226" spans="1:2" x14ac:dyDescent="0.25">
      <c r="A226" t="s">
        <v>1467</v>
      </c>
      <c r="B226" t="s">
        <v>1875</v>
      </c>
    </row>
    <row r="227" spans="1:2" x14ac:dyDescent="0.25">
      <c r="A227" t="s">
        <v>1468</v>
      </c>
      <c r="B227" t="s">
        <v>1876</v>
      </c>
    </row>
    <row r="228" spans="1:2" x14ac:dyDescent="0.25">
      <c r="A228" t="s">
        <v>1469</v>
      </c>
      <c r="B228" t="s">
        <v>1877</v>
      </c>
    </row>
    <row r="229" spans="1:2" x14ac:dyDescent="0.25">
      <c r="A229" t="s">
        <v>1470</v>
      </c>
      <c r="B229" t="s">
        <v>1878</v>
      </c>
    </row>
    <row r="230" spans="1:2" x14ac:dyDescent="0.25">
      <c r="A230" t="s">
        <v>1471</v>
      </c>
      <c r="B230" t="s">
        <v>1879</v>
      </c>
    </row>
    <row r="231" spans="1:2" x14ac:dyDescent="0.25">
      <c r="A231" t="s">
        <v>1472</v>
      </c>
      <c r="B231" t="s">
        <v>1880</v>
      </c>
    </row>
    <row r="232" spans="1:2" x14ac:dyDescent="0.25">
      <c r="A232" t="s">
        <v>1473</v>
      </c>
      <c r="B232" t="s">
        <v>1881</v>
      </c>
    </row>
    <row r="233" spans="1:2" x14ac:dyDescent="0.25">
      <c r="A233" t="s">
        <v>1474</v>
      </c>
      <c r="B233" t="s">
        <v>1882</v>
      </c>
    </row>
    <row r="234" spans="1:2" x14ac:dyDescent="0.25">
      <c r="A234" t="s">
        <v>1475</v>
      </c>
      <c r="B234" t="s">
        <v>1883</v>
      </c>
    </row>
    <row r="235" spans="1:2" x14ac:dyDescent="0.25">
      <c r="A235" t="s">
        <v>1476</v>
      </c>
      <c r="B235" t="s">
        <v>1884</v>
      </c>
    </row>
    <row r="236" spans="1:2" x14ac:dyDescent="0.25">
      <c r="A236" t="s">
        <v>1477</v>
      </c>
      <c r="B236" t="s">
        <v>1885</v>
      </c>
    </row>
    <row r="237" spans="1:2" x14ac:dyDescent="0.25">
      <c r="A237" t="s">
        <v>1478</v>
      </c>
      <c r="B237" t="s">
        <v>1886</v>
      </c>
    </row>
    <row r="238" spans="1:2" x14ac:dyDescent="0.25">
      <c r="A238" t="s">
        <v>1479</v>
      </c>
      <c r="B238" t="s">
        <v>1887</v>
      </c>
    </row>
    <row r="239" spans="1:2" x14ac:dyDescent="0.25">
      <c r="A239" t="s">
        <v>1480</v>
      </c>
      <c r="B239" t="s">
        <v>1888</v>
      </c>
    </row>
    <row r="240" spans="1:2" x14ac:dyDescent="0.25">
      <c r="A240" t="s">
        <v>1481</v>
      </c>
      <c r="B240" t="s">
        <v>1889</v>
      </c>
    </row>
    <row r="241" spans="1:2" x14ac:dyDescent="0.25">
      <c r="A241" t="s">
        <v>1482</v>
      </c>
      <c r="B241" t="s">
        <v>1890</v>
      </c>
    </row>
    <row r="242" spans="1:2" x14ac:dyDescent="0.25">
      <c r="A242" t="s">
        <v>1483</v>
      </c>
      <c r="B242" t="s">
        <v>1891</v>
      </c>
    </row>
    <row r="243" spans="1:2" x14ac:dyDescent="0.25">
      <c r="A243" t="s">
        <v>1484</v>
      </c>
      <c r="B243" t="s">
        <v>1892</v>
      </c>
    </row>
    <row r="244" spans="1:2" x14ac:dyDescent="0.25">
      <c r="A244" t="s">
        <v>1485</v>
      </c>
      <c r="B244" t="s">
        <v>1893</v>
      </c>
    </row>
    <row r="245" spans="1:2" x14ac:dyDescent="0.25">
      <c r="A245" t="s">
        <v>1486</v>
      </c>
      <c r="B245" t="s">
        <v>1894</v>
      </c>
    </row>
    <row r="246" spans="1:2" x14ac:dyDescent="0.25">
      <c r="A246" t="s">
        <v>1487</v>
      </c>
      <c r="B246" t="s">
        <v>1895</v>
      </c>
    </row>
    <row r="248" spans="1:2" x14ac:dyDescent="0.25">
      <c r="A248" t="s">
        <v>1488</v>
      </c>
      <c r="B248" t="s">
        <v>1896</v>
      </c>
    </row>
    <row r="249" spans="1:2" x14ac:dyDescent="0.25">
      <c r="A249" t="s">
        <v>1489</v>
      </c>
      <c r="B249" t="s">
        <v>1897</v>
      </c>
    </row>
    <row r="250" spans="1:2" x14ac:dyDescent="0.25">
      <c r="A250" t="s">
        <v>1490</v>
      </c>
      <c r="B250" t="s">
        <v>1898</v>
      </c>
    </row>
    <row r="251" spans="1:2" x14ac:dyDescent="0.25">
      <c r="A251" t="s">
        <v>1491</v>
      </c>
      <c r="B251" t="s">
        <v>1899</v>
      </c>
    </row>
    <row r="252" spans="1:2" x14ac:dyDescent="0.25">
      <c r="A252" t="s">
        <v>1492</v>
      </c>
      <c r="B252" t="s">
        <v>1900</v>
      </c>
    </row>
    <row r="253" spans="1:2" x14ac:dyDescent="0.25">
      <c r="A253" t="s">
        <v>1493</v>
      </c>
      <c r="B253" t="s">
        <v>1901</v>
      </c>
    </row>
    <row r="254" spans="1:2" x14ac:dyDescent="0.25">
      <c r="A254" t="s">
        <v>1494</v>
      </c>
      <c r="B254" t="s">
        <v>1902</v>
      </c>
    </row>
    <row r="255" spans="1:2" x14ac:dyDescent="0.25">
      <c r="A255" t="s">
        <v>1495</v>
      </c>
      <c r="B255" t="s">
        <v>1903</v>
      </c>
    </row>
    <row r="256" spans="1:2" x14ac:dyDescent="0.25">
      <c r="A256" t="s">
        <v>1496</v>
      </c>
      <c r="B256" t="s">
        <v>1904</v>
      </c>
    </row>
    <row r="257" spans="1:2" x14ac:dyDescent="0.25">
      <c r="A257" t="s">
        <v>1497</v>
      </c>
      <c r="B257" t="s">
        <v>1905</v>
      </c>
    </row>
    <row r="258" spans="1:2" x14ac:dyDescent="0.25">
      <c r="A258" t="s">
        <v>1498</v>
      </c>
      <c r="B258" t="s">
        <v>1906</v>
      </c>
    </row>
    <row r="259" spans="1:2" x14ac:dyDescent="0.25">
      <c r="A259" t="s">
        <v>1499</v>
      </c>
      <c r="B259" t="s">
        <v>1907</v>
      </c>
    </row>
    <row r="260" spans="1:2" x14ac:dyDescent="0.25">
      <c r="A260" t="s">
        <v>1500</v>
      </c>
      <c r="B260" t="s">
        <v>1908</v>
      </c>
    </row>
    <row r="261" spans="1:2" x14ac:dyDescent="0.25">
      <c r="A261" t="s">
        <v>1501</v>
      </c>
      <c r="B261" t="s">
        <v>1909</v>
      </c>
    </row>
    <row r="262" spans="1:2" x14ac:dyDescent="0.25">
      <c r="A262" t="s">
        <v>1502</v>
      </c>
      <c r="B262" t="s">
        <v>1910</v>
      </c>
    </row>
    <row r="263" spans="1:2" x14ac:dyDescent="0.25">
      <c r="A263" t="s">
        <v>1503</v>
      </c>
      <c r="B263" t="s">
        <v>1911</v>
      </c>
    </row>
    <row r="264" spans="1:2" x14ac:dyDescent="0.25">
      <c r="A264" t="s">
        <v>1504</v>
      </c>
      <c r="B264" t="s">
        <v>1912</v>
      </c>
    </row>
    <row r="265" spans="1:2" x14ac:dyDescent="0.25">
      <c r="A265" t="s">
        <v>1505</v>
      </c>
      <c r="B265" t="s">
        <v>1913</v>
      </c>
    </row>
    <row r="266" spans="1:2" x14ac:dyDescent="0.25">
      <c r="A266" t="s">
        <v>1506</v>
      </c>
      <c r="B266" t="s">
        <v>1914</v>
      </c>
    </row>
    <row r="267" spans="1:2" x14ac:dyDescent="0.25">
      <c r="A267" t="s">
        <v>1507</v>
      </c>
      <c r="B267" t="s">
        <v>1915</v>
      </c>
    </row>
    <row r="268" spans="1:2" x14ac:dyDescent="0.25">
      <c r="A268" t="s">
        <v>1508</v>
      </c>
      <c r="B268" t="s">
        <v>1916</v>
      </c>
    </row>
    <row r="269" spans="1:2" x14ac:dyDescent="0.25">
      <c r="A269" t="s">
        <v>1509</v>
      </c>
      <c r="B269" t="s">
        <v>1917</v>
      </c>
    </row>
    <row r="270" spans="1:2" x14ac:dyDescent="0.25">
      <c r="A270" t="s">
        <v>1510</v>
      </c>
      <c r="B270" t="s">
        <v>1918</v>
      </c>
    </row>
    <row r="271" spans="1:2" x14ac:dyDescent="0.25">
      <c r="A271" t="s">
        <v>1511</v>
      </c>
      <c r="B271" t="s">
        <v>1919</v>
      </c>
    </row>
    <row r="272" spans="1:2" x14ac:dyDescent="0.25">
      <c r="A272" t="s">
        <v>1512</v>
      </c>
      <c r="B272" t="s">
        <v>1920</v>
      </c>
    </row>
    <row r="273" spans="1:2" x14ac:dyDescent="0.25">
      <c r="A273" t="s">
        <v>1513</v>
      </c>
      <c r="B273" t="s">
        <v>1921</v>
      </c>
    </row>
    <row r="274" spans="1:2" x14ac:dyDescent="0.25">
      <c r="A274" t="s">
        <v>1514</v>
      </c>
      <c r="B274" t="s">
        <v>1922</v>
      </c>
    </row>
    <row r="275" spans="1:2" x14ac:dyDescent="0.25">
      <c r="A275" t="s">
        <v>1515</v>
      </c>
      <c r="B275" t="s">
        <v>1923</v>
      </c>
    </row>
    <row r="276" spans="1:2" x14ac:dyDescent="0.25">
      <c r="A276" t="s">
        <v>1516</v>
      </c>
      <c r="B276" t="s">
        <v>1924</v>
      </c>
    </row>
    <row r="277" spans="1:2" x14ac:dyDescent="0.25">
      <c r="A277" t="s">
        <v>1517</v>
      </c>
      <c r="B277" t="s">
        <v>1925</v>
      </c>
    </row>
    <row r="278" spans="1:2" x14ac:dyDescent="0.25">
      <c r="A278" t="s">
        <v>1518</v>
      </c>
      <c r="B278" t="s">
        <v>1926</v>
      </c>
    </row>
    <row r="279" spans="1:2" x14ac:dyDescent="0.25">
      <c r="A279" t="s">
        <v>1519</v>
      </c>
      <c r="B279" t="s">
        <v>1927</v>
      </c>
    </row>
    <row r="280" spans="1:2" x14ac:dyDescent="0.25">
      <c r="A280" t="s">
        <v>1520</v>
      </c>
      <c r="B280" t="s">
        <v>1928</v>
      </c>
    </row>
    <row r="281" spans="1:2" x14ac:dyDescent="0.25">
      <c r="A281" t="s">
        <v>1521</v>
      </c>
      <c r="B281" t="s">
        <v>1929</v>
      </c>
    </row>
    <row r="282" spans="1:2" x14ac:dyDescent="0.25">
      <c r="A282" t="s">
        <v>1522</v>
      </c>
      <c r="B282" t="s">
        <v>1930</v>
      </c>
    </row>
    <row r="283" spans="1:2" x14ac:dyDescent="0.25">
      <c r="A283" t="s">
        <v>1523</v>
      </c>
      <c r="B283" t="s">
        <v>1931</v>
      </c>
    </row>
    <row r="284" spans="1:2" x14ac:dyDescent="0.25">
      <c r="A284" t="s">
        <v>1524</v>
      </c>
      <c r="B284" t="s">
        <v>1932</v>
      </c>
    </row>
    <row r="285" spans="1:2" x14ac:dyDescent="0.25">
      <c r="A285" t="s">
        <v>1525</v>
      </c>
      <c r="B285" t="s">
        <v>1933</v>
      </c>
    </row>
    <row r="286" spans="1:2" x14ac:dyDescent="0.25">
      <c r="A286" t="s">
        <v>1526</v>
      </c>
      <c r="B286" t="s">
        <v>1934</v>
      </c>
    </row>
    <row r="287" spans="1:2" x14ac:dyDescent="0.25">
      <c r="A287" t="s">
        <v>1527</v>
      </c>
      <c r="B287" t="s">
        <v>1935</v>
      </c>
    </row>
    <row r="288" spans="1:2" x14ac:dyDescent="0.25">
      <c r="A288" t="s">
        <v>1528</v>
      </c>
      <c r="B288" t="s">
        <v>1936</v>
      </c>
    </row>
    <row r="289" spans="1:2" x14ac:dyDescent="0.25">
      <c r="A289" t="s">
        <v>1529</v>
      </c>
      <c r="B289" t="s">
        <v>1937</v>
      </c>
    </row>
    <row r="290" spans="1:2" x14ac:dyDescent="0.25">
      <c r="A290" t="s">
        <v>1530</v>
      </c>
      <c r="B290" t="s">
        <v>1938</v>
      </c>
    </row>
    <row r="291" spans="1:2" x14ac:dyDescent="0.25">
      <c r="A291" t="s">
        <v>1531</v>
      </c>
      <c r="B291" t="s">
        <v>1939</v>
      </c>
    </row>
    <row r="292" spans="1:2" x14ac:dyDescent="0.25">
      <c r="A292" t="s">
        <v>1532</v>
      </c>
      <c r="B292" t="s">
        <v>1940</v>
      </c>
    </row>
    <row r="293" spans="1:2" x14ac:dyDescent="0.25">
      <c r="A293" t="s">
        <v>1533</v>
      </c>
      <c r="B293" t="s">
        <v>1941</v>
      </c>
    </row>
    <row r="294" spans="1:2" x14ac:dyDescent="0.25">
      <c r="A294" t="s">
        <v>1534</v>
      </c>
      <c r="B294" t="s">
        <v>1942</v>
      </c>
    </row>
    <row r="295" spans="1:2" x14ac:dyDescent="0.25">
      <c r="A295" t="s">
        <v>1535</v>
      </c>
      <c r="B295" t="s">
        <v>1943</v>
      </c>
    </row>
    <row r="296" spans="1:2" x14ac:dyDescent="0.25">
      <c r="A296" t="s">
        <v>1536</v>
      </c>
      <c r="B296" t="s">
        <v>1944</v>
      </c>
    </row>
    <row r="297" spans="1:2" x14ac:dyDescent="0.25">
      <c r="A297" t="s">
        <v>1537</v>
      </c>
      <c r="B297" t="s">
        <v>1945</v>
      </c>
    </row>
    <row r="298" spans="1:2" x14ac:dyDescent="0.25">
      <c r="A298" t="s">
        <v>1538</v>
      </c>
      <c r="B298" t="s">
        <v>1946</v>
      </c>
    </row>
    <row r="299" spans="1:2" x14ac:dyDescent="0.25">
      <c r="A299" t="s">
        <v>1539</v>
      </c>
      <c r="B299" t="s">
        <v>1947</v>
      </c>
    </row>
    <row r="300" spans="1:2" x14ac:dyDescent="0.25">
      <c r="A300" t="s">
        <v>1540</v>
      </c>
      <c r="B300" t="s">
        <v>1948</v>
      </c>
    </row>
    <row r="301" spans="1:2" x14ac:dyDescent="0.25">
      <c r="A301" t="s">
        <v>1541</v>
      </c>
      <c r="B301" t="s">
        <v>1949</v>
      </c>
    </row>
    <row r="302" spans="1:2" x14ac:dyDescent="0.25">
      <c r="A302" t="s">
        <v>1542</v>
      </c>
      <c r="B302" t="s">
        <v>1950</v>
      </c>
    </row>
    <row r="303" spans="1:2" x14ac:dyDescent="0.25">
      <c r="A303" t="s">
        <v>1543</v>
      </c>
      <c r="B303" t="s">
        <v>1951</v>
      </c>
    </row>
    <row r="304" spans="1:2" x14ac:dyDescent="0.25">
      <c r="A304" t="s">
        <v>1544</v>
      </c>
      <c r="B304" t="s">
        <v>1952</v>
      </c>
    </row>
    <row r="305" spans="1:2" x14ac:dyDescent="0.25">
      <c r="A305" t="s">
        <v>1545</v>
      </c>
      <c r="B305" t="s">
        <v>1953</v>
      </c>
    </row>
    <row r="306" spans="1:2" x14ac:dyDescent="0.25">
      <c r="A306" t="s">
        <v>1546</v>
      </c>
      <c r="B306" t="s">
        <v>1954</v>
      </c>
    </row>
    <row r="307" spans="1:2" x14ac:dyDescent="0.25">
      <c r="A307" t="s">
        <v>1547</v>
      </c>
      <c r="B307" t="s">
        <v>1955</v>
      </c>
    </row>
    <row r="308" spans="1:2" x14ac:dyDescent="0.25">
      <c r="A308" t="s">
        <v>1548</v>
      </c>
      <c r="B308" t="s">
        <v>1956</v>
      </c>
    </row>
    <row r="309" spans="1:2" x14ac:dyDescent="0.25">
      <c r="A309" t="s">
        <v>1549</v>
      </c>
      <c r="B309" t="s">
        <v>1957</v>
      </c>
    </row>
    <row r="310" spans="1:2" x14ac:dyDescent="0.25">
      <c r="A310" t="s">
        <v>1550</v>
      </c>
      <c r="B310" t="s">
        <v>1958</v>
      </c>
    </row>
    <row r="311" spans="1:2" x14ac:dyDescent="0.25">
      <c r="A311" t="s">
        <v>1551</v>
      </c>
      <c r="B311" t="s">
        <v>1959</v>
      </c>
    </row>
    <row r="312" spans="1:2" x14ac:dyDescent="0.25">
      <c r="A312" t="s">
        <v>1552</v>
      </c>
      <c r="B312" t="s">
        <v>1960</v>
      </c>
    </row>
    <row r="313" spans="1:2" x14ac:dyDescent="0.25">
      <c r="A313" t="s">
        <v>1553</v>
      </c>
      <c r="B313" t="s">
        <v>1961</v>
      </c>
    </row>
    <row r="314" spans="1:2" x14ac:dyDescent="0.25">
      <c r="A314" t="s">
        <v>1554</v>
      </c>
      <c r="B314" t="s">
        <v>1962</v>
      </c>
    </row>
    <row r="315" spans="1:2" x14ac:dyDescent="0.25">
      <c r="A315" t="s">
        <v>1555</v>
      </c>
      <c r="B315" t="s">
        <v>1963</v>
      </c>
    </row>
    <row r="316" spans="1:2" x14ac:dyDescent="0.25">
      <c r="A316" t="s">
        <v>1556</v>
      </c>
      <c r="B316" t="s">
        <v>1964</v>
      </c>
    </row>
    <row r="317" spans="1:2" x14ac:dyDescent="0.25">
      <c r="A317" t="s">
        <v>1557</v>
      </c>
      <c r="B317" t="s">
        <v>1965</v>
      </c>
    </row>
    <row r="318" spans="1:2" x14ac:dyDescent="0.25">
      <c r="A318" t="s">
        <v>1558</v>
      </c>
      <c r="B318" t="s">
        <v>1966</v>
      </c>
    </row>
    <row r="319" spans="1:2" x14ac:dyDescent="0.25">
      <c r="A319" t="s">
        <v>1559</v>
      </c>
      <c r="B319" t="s">
        <v>1967</v>
      </c>
    </row>
    <row r="320" spans="1:2" x14ac:dyDescent="0.25">
      <c r="A320" t="s">
        <v>1560</v>
      </c>
      <c r="B320" t="s">
        <v>1968</v>
      </c>
    </row>
    <row r="321" spans="1:2" x14ac:dyDescent="0.25">
      <c r="A321" t="s">
        <v>1561</v>
      </c>
      <c r="B321" t="s">
        <v>1969</v>
      </c>
    </row>
    <row r="322" spans="1:2" x14ac:dyDescent="0.25">
      <c r="A322" t="s">
        <v>1562</v>
      </c>
      <c r="B322" t="s">
        <v>1970</v>
      </c>
    </row>
    <row r="323" spans="1:2" x14ac:dyDescent="0.25">
      <c r="A323" t="s">
        <v>1563</v>
      </c>
      <c r="B323" t="s">
        <v>1971</v>
      </c>
    </row>
    <row r="324" spans="1:2" x14ac:dyDescent="0.25">
      <c r="A324" t="s">
        <v>1564</v>
      </c>
      <c r="B324" t="s">
        <v>1972</v>
      </c>
    </row>
    <row r="325" spans="1:2" x14ac:dyDescent="0.25">
      <c r="A325" t="s">
        <v>1565</v>
      </c>
      <c r="B325" t="s">
        <v>1973</v>
      </c>
    </row>
    <row r="326" spans="1:2" x14ac:dyDescent="0.25">
      <c r="A326" t="s">
        <v>1566</v>
      </c>
      <c r="B326" t="s">
        <v>1974</v>
      </c>
    </row>
    <row r="327" spans="1:2" x14ac:dyDescent="0.25">
      <c r="A327" t="s">
        <v>1567</v>
      </c>
      <c r="B327" t="s">
        <v>1975</v>
      </c>
    </row>
    <row r="328" spans="1:2" x14ac:dyDescent="0.25">
      <c r="A328" t="s">
        <v>1568</v>
      </c>
      <c r="B328" t="s">
        <v>1976</v>
      </c>
    </row>
    <row r="329" spans="1:2" x14ac:dyDescent="0.25">
      <c r="A329" t="s">
        <v>1569</v>
      </c>
      <c r="B329" t="s">
        <v>1977</v>
      </c>
    </row>
    <row r="330" spans="1:2" x14ac:dyDescent="0.25">
      <c r="A330" t="s">
        <v>1570</v>
      </c>
      <c r="B330" t="s">
        <v>1978</v>
      </c>
    </row>
    <row r="331" spans="1:2" x14ac:dyDescent="0.25">
      <c r="A331" t="s">
        <v>1571</v>
      </c>
      <c r="B331" t="s">
        <v>1979</v>
      </c>
    </row>
    <row r="332" spans="1:2" x14ac:dyDescent="0.25">
      <c r="A332" t="s">
        <v>1572</v>
      </c>
      <c r="B332" t="s">
        <v>1980</v>
      </c>
    </row>
    <row r="333" spans="1:2" x14ac:dyDescent="0.25">
      <c r="A333" t="s">
        <v>1573</v>
      </c>
      <c r="B333" t="s">
        <v>1981</v>
      </c>
    </row>
    <row r="334" spans="1:2" x14ac:dyDescent="0.25">
      <c r="A334" t="s">
        <v>1574</v>
      </c>
      <c r="B334" t="s">
        <v>1982</v>
      </c>
    </row>
    <row r="335" spans="1:2" x14ac:dyDescent="0.25">
      <c r="A335" t="s">
        <v>1575</v>
      </c>
      <c r="B335" t="s">
        <v>1983</v>
      </c>
    </row>
    <row r="336" spans="1:2" x14ac:dyDescent="0.25">
      <c r="A336" t="s">
        <v>1576</v>
      </c>
      <c r="B336" t="s">
        <v>1984</v>
      </c>
    </row>
    <row r="337" spans="1:2" x14ac:dyDescent="0.25">
      <c r="A337" t="s">
        <v>1577</v>
      </c>
      <c r="B337" t="s">
        <v>1985</v>
      </c>
    </row>
    <row r="338" spans="1:2" x14ac:dyDescent="0.25">
      <c r="A338" t="s">
        <v>1578</v>
      </c>
      <c r="B338" t="s">
        <v>1986</v>
      </c>
    </row>
    <row r="339" spans="1:2" x14ac:dyDescent="0.25">
      <c r="A339" t="s">
        <v>1579</v>
      </c>
      <c r="B339" t="s">
        <v>1987</v>
      </c>
    </row>
    <row r="340" spans="1:2" x14ac:dyDescent="0.25">
      <c r="A340" t="s">
        <v>1580</v>
      </c>
      <c r="B340" t="s">
        <v>1988</v>
      </c>
    </row>
    <row r="341" spans="1:2" x14ac:dyDescent="0.25">
      <c r="A341" t="s">
        <v>1581</v>
      </c>
      <c r="B341" t="s">
        <v>1989</v>
      </c>
    </row>
    <row r="342" spans="1:2" x14ac:dyDescent="0.25">
      <c r="A342" t="s">
        <v>1582</v>
      </c>
      <c r="B342" t="s">
        <v>1990</v>
      </c>
    </row>
    <row r="343" spans="1:2" x14ac:dyDescent="0.25">
      <c r="A343" t="s">
        <v>1583</v>
      </c>
      <c r="B343" t="s">
        <v>1991</v>
      </c>
    </row>
    <row r="344" spans="1:2" x14ac:dyDescent="0.25">
      <c r="A344" t="s">
        <v>1584</v>
      </c>
      <c r="B344" t="s">
        <v>1992</v>
      </c>
    </row>
    <row r="345" spans="1:2" x14ac:dyDescent="0.25">
      <c r="A345" t="s">
        <v>1585</v>
      </c>
      <c r="B345" t="s">
        <v>1993</v>
      </c>
    </row>
    <row r="346" spans="1:2" x14ac:dyDescent="0.25">
      <c r="A346" t="s">
        <v>1586</v>
      </c>
      <c r="B346" t="s">
        <v>1994</v>
      </c>
    </row>
    <row r="347" spans="1:2" x14ac:dyDescent="0.25">
      <c r="A347" t="s">
        <v>1587</v>
      </c>
      <c r="B347" t="s">
        <v>1995</v>
      </c>
    </row>
    <row r="348" spans="1:2" x14ac:dyDescent="0.25">
      <c r="A348" t="s">
        <v>1588</v>
      </c>
      <c r="B348" t="s">
        <v>1996</v>
      </c>
    </row>
    <row r="349" spans="1:2" x14ac:dyDescent="0.25">
      <c r="A349" t="s">
        <v>1589</v>
      </c>
      <c r="B349" t="s">
        <v>1997</v>
      </c>
    </row>
    <row r="350" spans="1:2" x14ac:dyDescent="0.25">
      <c r="A350" t="s">
        <v>1590</v>
      </c>
      <c r="B350" t="s">
        <v>1998</v>
      </c>
    </row>
    <row r="351" spans="1:2" x14ac:dyDescent="0.25">
      <c r="A351" t="s">
        <v>1591</v>
      </c>
      <c r="B351" t="s">
        <v>1999</v>
      </c>
    </row>
    <row r="352" spans="1:2" x14ac:dyDescent="0.25">
      <c r="A352" t="s">
        <v>1592</v>
      </c>
      <c r="B352" t="s">
        <v>2000</v>
      </c>
    </row>
    <row r="353" spans="1:2" x14ac:dyDescent="0.25">
      <c r="A353" t="s">
        <v>1593</v>
      </c>
      <c r="B353" t="s">
        <v>2001</v>
      </c>
    </row>
    <row r="354" spans="1:2" x14ac:dyDescent="0.25">
      <c r="A354" t="s">
        <v>1594</v>
      </c>
      <c r="B354" t="s">
        <v>2002</v>
      </c>
    </row>
    <row r="355" spans="1:2" x14ac:dyDescent="0.25">
      <c r="A355" t="s">
        <v>1595</v>
      </c>
      <c r="B355" t="s">
        <v>2003</v>
      </c>
    </row>
    <row r="356" spans="1:2" x14ac:dyDescent="0.25">
      <c r="A356" t="s">
        <v>1596</v>
      </c>
      <c r="B356" t="s">
        <v>2004</v>
      </c>
    </row>
    <row r="357" spans="1:2" x14ac:dyDescent="0.25">
      <c r="A357" t="s">
        <v>1597</v>
      </c>
      <c r="B357" t="s">
        <v>2005</v>
      </c>
    </row>
    <row r="358" spans="1:2" x14ac:dyDescent="0.25">
      <c r="A358" t="s">
        <v>1598</v>
      </c>
      <c r="B358" t="s">
        <v>2006</v>
      </c>
    </row>
    <row r="359" spans="1:2" x14ac:dyDescent="0.25">
      <c r="A359" t="s">
        <v>1599</v>
      </c>
      <c r="B359" t="s">
        <v>2007</v>
      </c>
    </row>
    <row r="360" spans="1:2" x14ac:dyDescent="0.25">
      <c r="A360" t="s">
        <v>1600</v>
      </c>
      <c r="B360" t="s">
        <v>2008</v>
      </c>
    </row>
    <row r="361" spans="1:2" x14ac:dyDescent="0.25">
      <c r="A361" t="s">
        <v>1601</v>
      </c>
      <c r="B361" t="s">
        <v>2009</v>
      </c>
    </row>
    <row r="362" spans="1:2" x14ac:dyDescent="0.25">
      <c r="A362" t="s">
        <v>1602</v>
      </c>
      <c r="B362" t="s">
        <v>2010</v>
      </c>
    </row>
    <row r="363" spans="1:2" x14ac:dyDescent="0.25">
      <c r="A363" t="s">
        <v>1603</v>
      </c>
      <c r="B363" t="s">
        <v>2011</v>
      </c>
    </row>
    <row r="364" spans="1:2" x14ac:dyDescent="0.25">
      <c r="A364" t="s">
        <v>1604</v>
      </c>
      <c r="B364" t="s">
        <v>2012</v>
      </c>
    </row>
    <row r="365" spans="1:2" x14ac:dyDescent="0.25">
      <c r="A365" t="s">
        <v>1605</v>
      </c>
      <c r="B365" t="s">
        <v>2013</v>
      </c>
    </row>
    <row r="366" spans="1:2" x14ac:dyDescent="0.25">
      <c r="A366" t="s">
        <v>1606</v>
      </c>
      <c r="B366" t="s">
        <v>2014</v>
      </c>
    </row>
    <row r="367" spans="1:2" x14ac:dyDescent="0.25">
      <c r="A367" t="s">
        <v>1607</v>
      </c>
      <c r="B367" t="s">
        <v>2015</v>
      </c>
    </row>
    <row r="368" spans="1:2" x14ac:dyDescent="0.25">
      <c r="A368" t="s">
        <v>1608</v>
      </c>
      <c r="B368" t="s">
        <v>2016</v>
      </c>
    </row>
    <row r="369" spans="1:2" x14ac:dyDescent="0.25">
      <c r="A369" t="s">
        <v>1609</v>
      </c>
      <c r="B369" t="s">
        <v>2017</v>
      </c>
    </row>
    <row r="370" spans="1:2" x14ac:dyDescent="0.25">
      <c r="A370" t="s">
        <v>1610</v>
      </c>
      <c r="B370" t="s">
        <v>2018</v>
      </c>
    </row>
    <row r="371" spans="1:2" x14ac:dyDescent="0.25">
      <c r="A371" t="s">
        <v>1611</v>
      </c>
      <c r="B371" t="s">
        <v>2019</v>
      </c>
    </row>
    <row r="372" spans="1:2" x14ac:dyDescent="0.25">
      <c r="A372" t="s">
        <v>1612</v>
      </c>
      <c r="B372" t="s">
        <v>2020</v>
      </c>
    </row>
    <row r="373" spans="1:2" x14ac:dyDescent="0.25">
      <c r="A373" t="s">
        <v>1613</v>
      </c>
      <c r="B373" t="s">
        <v>2021</v>
      </c>
    </row>
    <row r="374" spans="1:2" x14ac:dyDescent="0.25">
      <c r="A374" t="s">
        <v>1614</v>
      </c>
      <c r="B374" t="s">
        <v>2022</v>
      </c>
    </row>
    <row r="375" spans="1:2" x14ac:dyDescent="0.25">
      <c r="A375" t="s">
        <v>1615</v>
      </c>
      <c r="B375" t="s">
        <v>2023</v>
      </c>
    </row>
    <row r="376" spans="1:2" x14ac:dyDescent="0.25">
      <c r="A376" t="s">
        <v>1616</v>
      </c>
      <c r="B376" t="s">
        <v>2024</v>
      </c>
    </row>
    <row r="377" spans="1:2" x14ac:dyDescent="0.25">
      <c r="A377" t="s">
        <v>1617</v>
      </c>
      <c r="B377" t="s">
        <v>2025</v>
      </c>
    </row>
    <row r="378" spans="1:2" x14ac:dyDescent="0.25">
      <c r="A378" t="s">
        <v>1618</v>
      </c>
      <c r="B378" t="s">
        <v>2026</v>
      </c>
    </row>
    <row r="379" spans="1:2" x14ac:dyDescent="0.25">
      <c r="A379" t="s">
        <v>1619</v>
      </c>
      <c r="B379" t="s">
        <v>2027</v>
      </c>
    </row>
    <row r="380" spans="1:2" x14ac:dyDescent="0.25">
      <c r="A380" t="s">
        <v>1620</v>
      </c>
      <c r="B380" t="s">
        <v>2028</v>
      </c>
    </row>
    <row r="381" spans="1:2" x14ac:dyDescent="0.25">
      <c r="A381" t="s">
        <v>1621</v>
      </c>
      <c r="B381" t="s">
        <v>2029</v>
      </c>
    </row>
    <row r="382" spans="1:2" x14ac:dyDescent="0.25">
      <c r="A382" t="s">
        <v>1622</v>
      </c>
      <c r="B382" t="s">
        <v>2030</v>
      </c>
    </row>
    <row r="383" spans="1:2" x14ac:dyDescent="0.25">
      <c r="A383" t="s">
        <v>1623</v>
      </c>
      <c r="B383" t="s">
        <v>2031</v>
      </c>
    </row>
    <row r="384" spans="1:2" x14ac:dyDescent="0.25">
      <c r="A384" t="s">
        <v>1624</v>
      </c>
      <c r="B384" t="s">
        <v>2032</v>
      </c>
    </row>
    <row r="385" spans="1:2" x14ac:dyDescent="0.25">
      <c r="A385" t="s">
        <v>1625</v>
      </c>
      <c r="B385" t="s">
        <v>2033</v>
      </c>
    </row>
    <row r="386" spans="1:2" x14ac:dyDescent="0.25">
      <c r="A386" t="s">
        <v>1626</v>
      </c>
      <c r="B386" t="s">
        <v>2034</v>
      </c>
    </row>
    <row r="387" spans="1:2" x14ac:dyDescent="0.25">
      <c r="A387" t="s">
        <v>1627</v>
      </c>
      <c r="B387" t="s">
        <v>2035</v>
      </c>
    </row>
    <row r="388" spans="1:2" x14ac:dyDescent="0.25">
      <c r="A388" t="s">
        <v>1628</v>
      </c>
      <c r="B388" t="s">
        <v>2036</v>
      </c>
    </row>
    <row r="389" spans="1:2" x14ac:dyDescent="0.25">
      <c r="A389" t="s">
        <v>1629</v>
      </c>
      <c r="B389" t="s">
        <v>2037</v>
      </c>
    </row>
    <row r="390" spans="1:2" x14ac:dyDescent="0.25">
      <c r="A390" t="s">
        <v>1630</v>
      </c>
      <c r="B390" t="s">
        <v>2038</v>
      </c>
    </row>
    <row r="391" spans="1:2" x14ac:dyDescent="0.25">
      <c r="A391" t="s">
        <v>1631</v>
      </c>
      <c r="B391" t="s">
        <v>2039</v>
      </c>
    </row>
    <row r="392" spans="1:2" x14ac:dyDescent="0.25">
      <c r="A392" t="s">
        <v>1632</v>
      </c>
      <c r="B392" t="s">
        <v>2040</v>
      </c>
    </row>
    <row r="393" spans="1:2" x14ac:dyDescent="0.25">
      <c r="A393" t="s">
        <v>1633</v>
      </c>
      <c r="B393" t="s">
        <v>2041</v>
      </c>
    </row>
    <row r="394" spans="1:2" x14ac:dyDescent="0.25">
      <c r="A394" t="s">
        <v>1634</v>
      </c>
      <c r="B394" t="s">
        <v>2042</v>
      </c>
    </row>
    <row r="395" spans="1:2" x14ac:dyDescent="0.25">
      <c r="A395" t="s">
        <v>1635</v>
      </c>
      <c r="B395" t="s">
        <v>2043</v>
      </c>
    </row>
    <row r="396" spans="1:2" x14ac:dyDescent="0.25">
      <c r="A396" t="s">
        <v>1636</v>
      </c>
      <c r="B396" t="s">
        <v>2044</v>
      </c>
    </row>
    <row r="397" spans="1:2" x14ac:dyDescent="0.25">
      <c r="A397" t="s">
        <v>1637</v>
      </c>
      <c r="B397" t="s">
        <v>2045</v>
      </c>
    </row>
    <row r="398" spans="1:2" x14ac:dyDescent="0.25">
      <c r="A398" t="s">
        <v>1638</v>
      </c>
      <c r="B398" t="s">
        <v>2046</v>
      </c>
    </row>
    <row r="399" spans="1:2" x14ac:dyDescent="0.25">
      <c r="A399" t="s">
        <v>1639</v>
      </c>
      <c r="B399" t="s">
        <v>2047</v>
      </c>
    </row>
    <row r="400" spans="1:2" x14ac:dyDescent="0.25">
      <c r="A400" t="s">
        <v>1640</v>
      </c>
      <c r="B400" t="s">
        <v>2048</v>
      </c>
    </row>
    <row r="401" spans="1:2" x14ac:dyDescent="0.25">
      <c r="A401" t="s">
        <v>1641</v>
      </c>
      <c r="B401" t="s">
        <v>2049</v>
      </c>
    </row>
    <row r="402" spans="1:2" x14ac:dyDescent="0.25">
      <c r="A402" t="s">
        <v>1642</v>
      </c>
      <c r="B402" t="s">
        <v>2050</v>
      </c>
    </row>
    <row r="403" spans="1:2" x14ac:dyDescent="0.25">
      <c r="A403" t="s">
        <v>1643</v>
      </c>
      <c r="B403" t="s">
        <v>2051</v>
      </c>
    </row>
    <row r="404" spans="1:2" x14ac:dyDescent="0.25">
      <c r="A404" t="s">
        <v>1644</v>
      </c>
      <c r="B404" t="s">
        <v>2052</v>
      </c>
    </row>
    <row r="405" spans="1:2" x14ac:dyDescent="0.25">
      <c r="A405" t="s">
        <v>1645</v>
      </c>
      <c r="B405" t="s">
        <v>2053</v>
      </c>
    </row>
    <row r="406" spans="1:2" x14ac:dyDescent="0.25">
      <c r="A406" t="s">
        <v>1646</v>
      </c>
      <c r="B406" t="s">
        <v>2054</v>
      </c>
    </row>
    <row r="407" spans="1:2" x14ac:dyDescent="0.25">
      <c r="A407" t="s">
        <v>1647</v>
      </c>
      <c r="B407" t="s">
        <v>2055</v>
      </c>
    </row>
    <row r="408" spans="1:2" x14ac:dyDescent="0.25">
      <c r="A408" t="s">
        <v>1648</v>
      </c>
      <c r="B408" t="s">
        <v>2056</v>
      </c>
    </row>
    <row r="409" spans="1:2" x14ac:dyDescent="0.25">
      <c r="A409" t="s">
        <v>1649</v>
      </c>
      <c r="B409" t="s">
        <v>2057</v>
      </c>
    </row>
    <row r="410" spans="1:2" x14ac:dyDescent="0.25">
      <c r="A410" t="s">
        <v>1650</v>
      </c>
      <c r="B410" t="s">
        <v>2058</v>
      </c>
    </row>
    <row r="411" spans="1:2" x14ac:dyDescent="0.25">
      <c r="B411" t="s">
        <v>2059</v>
      </c>
    </row>
    <row r="412" spans="1:2" x14ac:dyDescent="0.25">
      <c r="B412" t="s">
        <v>2060</v>
      </c>
    </row>
    <row r="413" spans="1:2" x14ac:dyDescent="0.25">
      <c r="B413" t="s">
        <v>2061</v>
      </c>
    </row>
    <row r="414" spans="1:2" x14ac:dyDescent="0.25">
      <c r="B414" t="s">
        <v>2062</v>
      </c>
    </row>
    <row r="415" spans="1:2" x14ac:dyDescent="0.25">
      <c r="B415" t="s">
        <v>2063</v>
      </c>
    </row>
    <row r="416" spans="1:2" x14ac:dyDescent="0.25">
      <c r="B416" t="s">
        <v>2064</v>
      </c>
    </row>
    <row r="417" spans="2:2" x14ac:dyDescent="0.25">
      <c r="B417" t="s">
        <v>2065</v>
      </c>
    </row>
    <row r="418" spans="2:2" x14ac:dyDescent="0.25">
      <c r="B418" t="s">
        <v>2066</v>
      </c>
    </row>
    <row r="419" spans="2:2" x14ac:dyDescent="0.25">
      <c r="B419" t="s">
        <v>2067</v>
      </c>
    </row>
    <row r="420" spans="2:2" x14ac:dyDescent="0.25">
      <c r="B420" t="s">
        <v>2068</v>
      </c>
    </row>
    <row r="421" spans="2:2" x14ac:dyDescent="0.25">
      <c r="B421" t="s">
        <v>2069</v>
      </c>
    </row>
    <row r="422" spans="2:2" x14ac:dyDescent="0.25">
      <c r="B422" t="s">
        <v>2070</v>
      </c>
    </row>
    <row r="423" spans="2:2" x14ac:dyDescent="0.25">
      <c r="B423" t="s">
        <v>2071</v>
      </c>
    </row>
    <row r="424" spans="2:2" x14ac:dyDescent="0.25">
      <c r="B424" t="s">
        <v>2072</v>
      </c>
    </row>
    <row r="425" spans="2:2" x14ac:dyDescent="0.25">
      <c r="B425" t="s">
        <v>2073</v>
      </c>
    </row>
    <row r="426" spans="2:2" x14ac:dyDescent="0.25">
      <c r="B426" t="s">
        <v>2074</v>
      </c>
    </row>
    <row r="427" spans="2:2" x14ac:dyDescent="0.25">
      <c r="B427" t="s">
        <v>2075</v>
      </c>
    </row>
    <row r="428" spans="2:2" x14ac:dyDescent="0.25">
      <c r="B428" t="s">
        <v>2076</v>
      </c>
    </row>
    <row r="429" spans="2:2" x14ac:dyDescent="0.25">
      <c r="B429" t="s">
        <v>2077</v>
      </c>
    </row>
    <row r="430" spans="2:2" x14ac:dyDescent="0.25">
      <c r="B430" t="s">
        <v>2078</v>
      </c>
    </row>
    <row r="431" spans="2:2" x14ac:dyDescent="0.25">
      <c r="B431" t="s">
        <v>2079</v>
      </c>
    </row>
    <row r="432" spans="2:2" x14ac:dyDescent="0.25">
      <c r="B432" t="s">
        <v>2080</v>
      </c>
    </row>
    <row r="433" spans="2:2" x14ac:dyDescent="0.25">
      <c r="B433" t="s">
        <v>2081</v>
      </c>
    </row>
    <row r="434" spans="2:2" x14ac:dyDescent="0.25">
      <c r="B434" t="s">
        <v>2082</v>
      </c>
    </row>
    <row r="435" spans="2:2" x14ac:dyDescent="0.25">
      <c r="B435" t="s">
        <v>2083</v>
      </c>
    </row>
    <row r="436" spans="2:2" x14ac:dyDescent="0.25">
      <c r="B436" t="s">
        <v>2084</v>
      </c>
    </row>
    <row r="437" spans="2:2" x14ac:dyDescent="0.25">
      <c r="B437" t="s">
        <v>2085</v>
      </c>
    </row>
    <row r="438" spans="2:2" x14ac:dyDescent="0.25">
      <c r="B438" t="s">
        <v>2086</v>
      </c>
    </row>
    <row r="439" spans="2:2" x14ac:dyDescent="0.25">
      <c r="B439" t="s">
        <v>2087</v>
      </c>
    </row>
    <row r="440" spans="2:2" x14ac:dyDescent="0.25">
      <c r="B440" t="s">
        <v>2088</v>
      </c>
    </row>
    <row r="441" spans="2:2" x14ac:dyDescent="0.25">
      <c r="B441" t="s">
        <v>2089</v>
      </c>
    </row>
    <row r="442" spans="2:2" x14ac:dyDescent="0.25">
      <c r="B442" t="s">
        <v>2090</v>
      </c>
    </row>
    <row r="443" spans="2:2" x14ac:dyDescent="0.25">
      <c r="B443" t="s">
        <v>2091</v>
      </c>
    </row>
    <row r="444" spans="2:2" x14ac:dyDescent="0.25">
      <c r="B444" t="s">
        <v>2092</v>
      </c>
    </row>
    <row r="445" spans="2:2" x14ac:dyDescent="0.25">
      <c r="B445" t="s">
        <v>2093</v>
      </c>
    </row>
    <row r="446" spans="2:2" x14ac:dyDescent="0.25">
      <c r="B446" t="s">
        <v>2094</v>
      </c>
    </row>
    <row r="447" spans="2:2" x14ac:dyDescent="0.25">
      <c r="B447" t="s">
        <v>2095</v>
      </c>
    </row>
    <row r="448" spans="2:2" x14ac:dyDescent="0.25">
      <c r="B448" t="s">
        <v>2096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C9939-AD5C-4F19-8E2D-BDC90BDD4640}">
  <sheetPr codeName="Sheet7"/>
  <dimension ref="A1:P257"/>
  <sheetViews>
    <sheetView workbookViewId="0">
      <selection activeCell="C5" sqref="C5"/>
    </sheetView>
  </sheetViews>
  <sheetFormatPr defaultRowHeight="15" x14ac:dyDescent="0.25"/>
  <cols>
    <col min="2" max="2" width="13.5703125" bestFit="1" customWidth="1"/>
    <col min="13" max="13" width="48.5703125" bestFit="1" customWidth="1"/>
  </cols>
  <sheetData>
    <row r="1" spans="1:16" x14ac:dyDescent="0.25">
      <c r="A1" t="s">
        <v>1224</v>
      </c>
      <c r="B1" t="s">
        <v>1227</v>
      </c>
      <c r="C1" t="s">
        <v>1224</v>
      </c>
      <c r="D1" t="s">
        <v>1231</v>
      </c>
    </row>
    <row r="2" spans="1:16" x14ac:dyDescent="0.25">
      <c r="A2" t="s">
        <v>1225</v>
      </c>
      <c r="B2" t="s">
        <v>1228</v>
      </c>
      <c r="C2" t="s">
        <v>1238</v>
      </c>
      <c r="D2" t="s">
        <v>1232</v>
      </c>
    </row>
    <row r="3" spans="1:16" x14ac:dyDescent="0.25">
      <c r="A3" t="s">
        <v>1226</v>
      </c>
      <c r="B3" t="s">
        <v>729</v>
      </c>
      <c r="C3" t="s">
        <v>1229</v>
      </c>
      <c r="D3" t="s">
        <v>1233</v>
      </c>
    </row>
    <row r="4" spans="1:16" x14ac:dyDescent="0.25">
      <c r="A4" t="s">
        <v>1234</v>
      </c>
      <c r="B4" t="s">
        <v>724</v>
      </c>
      <c r="C4" t="s">
        <v>1239</v>
      </c>
      <c r="D4" t="s">
        <v>1235</v>
      </c>
    </row>
    <row r="5" spans="1:16" x14ac:dyDescent="0.25">
      <c r="M5" t="s">
        <v>725</v>
      </c>
      <c r="O5" t="s">
        <v>248</v>
      </c>
    </row>
    <row r="6" spans="1:16" x14ac:dyDescent="0.25">
      <c r="N6" t="s">
        <v>771</v>
      </c>
      <c r="O6" t="s">
        <v>248</v>
      </c>
    </row>
    <row r="7" spans="1:16" x14ac:dyDescent="0.25">
      <c r="N7" t="s">
        <v>772</v>
      </c>
      <c r="O7" t="s">
        <v>248</v>
      </c>
    </row>
    <row r="8" spans="1:16" x14ac:dyDescent="0.25">
      <c r="N8" t="s">
        <v>773</v>
      </c>
      <c r="O8" t="s">
        <v>723</v>
      </c>
      <c r="P8" t="s">
        <v>248</v>
      </c>
    </row>
    <row r="9" spans="1:16" x14ac:dyDescent="0.25">
      <c r="N9" t="s">
        <v>774</v>
      </c>
      <c r="O9" t="s">
        <v>723</v>
      </c>
      <c r="P9" t="s">
        <v>248</v>
      </c>
    </row>
    <row r="10" spans="1:16" x14ac:dyDescent="0.25">
      <c r="N10" t="s">
        <v>775</v>
      </c>
      <c r="O10" t="s">
        <v>723</v>
      </c>
      <c r="P10" t="s">
        <v>248</v>
      </c>
    </row>
    <row r="11" spans="1:16" x14ac:dyDescent="0.25">
      <c r="N11" t="s">
        <v>776</v>
      </c>
      <c r="O11" t="s">
        <v>248</v>
      </c>
    </row>
    <row r="12" spans="1:16" x14ac:dyDescent="0.25">
      <c r="N12" t="s">
        <v>777</v>
      </c>
      <c r="O12" t="s">
        <v>248</v>
      </c>
    </row>
    <row r="13" spans="1:16" x14ac:dyDescent="0.25">
      <c r="N13" t="s">
        <v>778</v>
      </c>
      <c r="O13" t="s">
        <v>723</v>
      </c>
      <c r="P13" t="s">
        <v>248</v>
      </c>
    </row>
    <row r="14" spans="1:16" x14ac:dyDescent="0.25">
      <c r="N14" t="s">
        <v>779</v>
      </c>
      <c r="O14" t="s">
        <v>248</v>
      </c>
    </row>
    <row r="15" spans="1:16" x14ac:dyDescent="0.25">
      <c r="N15" t="s">
        <v>780</v>
      </c>
      <c r="O15" t="s">
        <v>248</v>
      </c>
    </row>
    <row r="16" spans="1:16" x14ac:dyDescent="0.25">
      <c r="N16" t="s">
        <v>781</v>
      </c>
      <c r="O16" t="s">
        <v>723</v>
      </c>
      <c r="P16" t="s">
        <v>248</v>
      </c>
    </row>
    <row r="17" spans="14:16" x14ac:dyDescent="0.25">
      <c r="N17" t="s">
        <v>782</v>
      </c>
      <c r="O17" t="s">
        <v>248</v>
      </c>
    </row>
    <row r="18" spans="14:16" x14ac:dyDescent="0.25">
      <c r="N18" t="s">
        <v>783</v>
      </c>
      <c r="O18" t="s">
        <v>723</v>
      </c>
      <c r="P18" t="s">
        <v>248</v>
      </c>
    </row>
    <row r="19" spans="14:16" x14ac:dyDescent="0.25">
      <c r="N19" t="s">
        <v>784</v>
      </c>
      <c r="O19" t="s">
        <v>248</v>
      </c>
    </row>
    <row r="20" spans="14:16" x14ac:dyDescent="0.25">
      <c r="N20" t="s">
        <v>785</v>
      </c>
      <c r="O20" t="s">
        <v>723</v>
      </c>
      <c r="P20" t="s">
        <v>248</v>
      </c>
    </row>
    <row r="21" spans="14:16" x14ac:dyDescent="0.25">
      <c r="N21" t="s">
        <v>786</v>
      </c>
      <c r="O21" t="s">
        <v>248</v>
      </c>
    </row>
    <row r="22" spans="14:16" x14ac:dyDescent="0.25">
      <c r="N22" t="s">
        <v>787</v>
      </c>
      <c r="O22" t="s">
        <v>723</v>
      </c>
      <c r="P22" t="s">
        <v>248</v>
      </c>
    </row>
    <row r="23" spans="14:16" x14ac:dyDescent="0.25">
      <c r="N23" t="s">
        <v>788</v>
      </c>
      <c r="O23" t="s">
        <v>248</v>
      </c>
    </row>
    <row r="24" spans="14:16" x14ac:dyDescent="0.25">
      <c r="N24" t="s">
        <v>789</v>
      </c>
      <c r="O24" t="s">
        <v>723</v>
      </c>
      <c r="P24" t="s">
        <v>248</v>
      </c>
    </row>
    <row r="25" spans="14:16" x14ac:dyDescent="0.25">
      <c r="N25" t="s">
        <v>790</v>
      </c>
      <c r="O25" t="s">
        <v>248</v>
      </c>
    </row>
    <row r="26" spans="14:16" x14ac:dyDescent="0.25">
      <c r="N26" t="s">
        <v>791</v>
      </c>
      <c r="O26" t="s">
        <v>723</v>
      </c>
      <c r="P26" t="s">
        <v>248</v>
      </c>
    </row>
    <row r="27" spans="14:16" x14ac:dyDescent="0.25">
      <c r="N27" t="s">
        <v>792</v>
      </c>
      <c r="O27" t="s">
        <v>248</v>
      </c>
    </row>
    <row r="28" spans="14:16" x14ac:dyDescent="0.25">
      <c r="N28" t="s">
        <v>793</v>
      </c>
      <c r="O28" t="s">
        <v>723</v>
      </c>
      <c r="P28" t="s">
        <v>248</v>
      </c>
    </row>
    <row r="29" spans="14:16" x14ac:dyDescent="0.25">
      <c r="N29" t="s">
        <v>794</v>
      </c>
      <c r="O29" t="s">
        <v>248</v>
      </c>
    </row>
    <row r="30" spans="14:16" x14ac:dyDescent="0.25">
      <c r="N30" t="s">
        <v>795</v>
      </c>
      <c r="O30" t="s">
        <v>723</v>
      </c>
      <c r="P30" t="s">
        <v>248</v>
      </c>
    </row>
    <row r="31" spans="14:16" x14ac:dyDescent="0.25">
      <c r="N31" t="s">
        <v>796</v>
      </c>
      <c r="O31" t="s">
        <v>248</v>
      </c>
    </row>
    <row r="32" spans="14:16" x14ac:dyDescent="0.25">
      <c r="N32" t="s">
        <v>797</v>
      </c>
      <c r="O32" t="s">
        <v>248</v>
      </c>
    </row>
    <row r="33" spans="14:16" x14ac:dyDescent="0.25">
      <c r="N33" t="s">
        <v>798</v>
      </c>
      <c r="O33" t="s">
        <v>248</v>
      </c>
    </row>
    <row r="34" spans="14:16" x14ac:dyDescent="0.25">
      <c r="N34" t="s">
        <v>799</v>
      </c>
      <c r="O34" t="s">
        <v>248</v>
      </c>
    </row>
    <row r="35" spans="14:16" x14ac:dyDescent="0.25">
      <c r="N35" t="s">
        <v>800</v>
      </c>
      <c r="O35" t="s">
        <v>248</v>
      </c>
    </row>
    <row r="36" spans="14:16" x14ac:dyDescent="0.25">
      <c r="N36" t="s">
        <v>801</v>
      </c>
      <c r="O36" t="s">
        <v>248</v>
      </c>
    </row>
    <row r="37" spans="14:16" x14ac:dyDescent="0.25">
      <c r="N37" t="s">
        <v>802</v>
      </c>
      <c r="O37" t="s">
        <v>248</v>
      </c>
    </row>
    <row r="38" spans="14:16" x14ac:dyDescent="0.25">
      <c r="N38" t="s">
        <v>803</v>
      </c>
      <c r="O38" t="s">
        <v>248</v>
      </c>
    </row>
    <row r="39" spans="14:16" x14ac:dyDescent="0.25">
      <c r="N39" t="s">
        <v>804</v>
      </c>
      <c r="O39" t="s">
        <v>248</v>
      </c>
    </row>
    <row r="40" spans="14:16" x14ac:dyDescent="0.25">
      <c r="N40" t="s">
        <v>805</v>
      </c>
      <c r="O40" t="s">
        <v>723</v>
      </c>
      <c r="P40" t="s">
        <v>248</v>
      </c>
    </row>
    <row r="41" spans="14:16" x14ac:dyDescent="0.25">
      <c r="N41" t="s">
        <v>806</v>
      </c>
      <c r="O41" t="s">
        <v>723</v>
      </c>
      <c r="P41" t="s">
        <v>248</v>
      </c>
    </row>
    <row r="42" spans="14:16" x14ac:dyDescent="0.25">
      <c r="N42" t="s">
        <v>807</v>
      </c>
      <c r="O42" t="s">
        <v>248</v>
      </c>
    </row>
    <row r="43" spans="14:16" x14ac:dyDescent="0.25">
      <c r="N43" t="s">
        <v>808</v>
      </c>
      <c r="O43" t="s">
        <v>248</v>
      </c>
    </row>
    <row r="44" spans="14:16" x14ac:dyDescent="0.25">
      <c r="N44" t="s">
        <v>809</v>
      </c>
      <c r="O44" t="s">
        <v>248</v>
      </c>
    </row>
    <row r="45" spans="14:16" x14ac:dyDescent="0.25">
      <c r="N45" t="s">
        <v>810</v>
      </c>
      <c r="O45" t="s">
        <v>248</v>
      </c>
    </row>
    <row r="46" spans="14:16" x14ac:dyDescent="0.25">
      <c r="N46" t="s">
        <v>811</v>
      </c>
      <c r="O46" t="s">
        <v>248</v>
      </c>
    </row>
    <row r="47" spans="14:16" x14ac:dyDescent="0.25">
      <c r="N47" t="s">
        <v>812</v>
      </c>
      <c r="O47" t="s">
        <v>248</v>
      </c>
    </row>
    <row r="48" spans="14:16" x14ac:dyDescent="0.25">
      <c r="N48" t="s">
        <v>813</v>
      </c>
      <c r="O48" t="s">
        <v>723</v>
      </c>
      <c r="P48" t="s">
        <v>248</v>
      </c>
    </row>
    <row r="49" spans="14:15" x14ac:dyDescent="0.25">
      <c r="N49" t="s">
        <v>814</v>
      </c>
      <c r="O49" t="s">
        <v>248</v>
      </c>
    </row>
    <row r="50" spans="14:15" x14ac:dyDescent="0.25">
      <c r="N50" t="s">
        <v>815</v>
      </c>
      <c r="O50" t="s">
        <v>248</v>
      </c>
    </row>
    <row r="51" spans="14:15" x14ac:dyDescent="0.25">
      <c r="N51" t="s">
        <v>816</v>
      </c>
      <c r="O51" t="s">
        <v>248</v>
      </c>
    </row>
    <row r="52" spans="14:15" x14ac:dyDescent="0.25">
      <c r="N52" t="s">
        <v>817</v>
      </c>
      <c r="O52" t="s">
        <v>248</v>
      </c>
    </row>
    <row r="53" spans="14:15" x14ac:dyDescent="0.25">
      <c r="N53" t="s">
        <v>818</v>
      </c>
      <c r="O53" t="s">
        <v>248</v>
      </c>
    </row>
    <row r="54" spans="14:15" x14ac:dyDescent="0.25">
      <c r="N54" t="s">
        <v>819</v>
      </c>
      <c r="O54" t="s">
        <v>248</v>
      </c>
    </row>
    <row r="55" spans="14:15" x14ac:dyDescent="0.25">
      <c r="N55" t="s">
        <v>820</v>
      </c>
      <c r="O55" t="s">
        <v>248</v>
      </c>
    </row>
    <row r="56" spans="14:15" x14ac:dyDescent="0.25">
      <c r="N56" t="s">
        <v>821</v>
      </c>
      <c r="O56" t="s">
        <v>248</v>
      </c>
    </row>
    <row r="57" spans="14:15" x14ac:dyDescent="0.25">
      <c r="N57" t="s">
        <v>822</v>
      </c>
      <c r="O57" t="s">
        <v>248</v>
      </c>
    </row>
    <row r="58" spans="14:15" x14ac:dyDescent="0.25">
      <c r="N58" t="s">
        <v>823</v>
      </c>
      <c r="O58" t="s">
        <v>248</v>
      </c>
    </row>
    <row r="59" spans="14:15" x14ac:dyDescent="0.25">
      <c r="N59" t="s">
        <v>824</v>
      </c>
      <c r="O59" t="s">
        <v>248</v>
      </c>
    </row>
    <row r="60" spans="14:15" x14ac:dyDescent="0.25">
      <c r="N60" t="s">
        <v>825</v>
      </c>
      <c r="O60" t="s">
        <v>248</v>
      </c>
    </row>
    <row r="61" spans="14:15" x14ac:dyDescent="0.25">
      <c r="N61" t="s">
        <v>826</v>
      </c>
      <c r="O61" t="s">
        <v>248</v>
      </c>
    </row>
    <row r="62" spans="14:15" x14ac:dyDescent="0.25">
      <c r="N62" t="s">
        <v>827</v>
      </c>
      <c r="O62" t="s">
        <v>248</v>
      </c>
    </row>
    <row r="63" spans="14:15" x14ac:dyDescent="0.25">
      <c r="N63" t="s">
        <v>828</v>
      </c>
      <c r="O63" t="s">
        <v>248</v>
      </c>
    </row>
    <row r="64" spans="14:15" x14ac:dyDescent="0.25">
      <c r="N64" t="s">
        <v>829</v>
      </c>
      <c r="O64" t="s">
        <v>248</v>
      </c>
    </row>
    <row r="65" spans="14:16" x14ac:dyDescent="0.25">
      <c r="N65" t="s">
        <v>830</v>
      </c>
      <c r="O65" t="s">
        <v>248</v>
      </c>
    </row>
    <row r="66" spans="14:16" x14ac:dyDescent="0.25">
      <c r="N66" t="s">
        <v>831</v>
      </c>
      <c r="O66" t="s">
        <v>248</v>
      </c>
    </row>
    <row r="67" spans="14:16" x14ac:dyDescent="0.25">
      <c r="N67" t="s">
        <v>832</v>
      </c>
      <c r="O67" t="s">
        <v>723</v>
      </c>
      <c r="P67" t="s">
        <v>248</v>
      </c>
    </row>
    <row r="68" spans="14:16" x14ac:dyDescent="0.25">
      <c r="N68" t="s">
        <v>833</v>
      </c>
      <c r="O68" t="s">
        <v>248</v>
      </c>
    </row>
    <row r="69" spans="14:16" x14ac:dyDescent="0.25">
      <c r="N69" t="s">
        <v>834</v>
      </c>
      <c r="O69" t="s">
        <v>248</v>
      </c>
    </row>
    <row r="70" spans="14:16" x14ac:dyDescent="0.25">
      <c r="N70" t="s">
        <v>835</v>
      </c>
      <c r="O70" t="s">
        <v>248</v>
      </c>
    </row>
    <row r="71" spans="14:16" x14ac:dyDescent="0.25">
      <c r="N71" t="s">
        <v>836</v>
      </c>
      <c r="O71" t="s">
        <v>248</v>
      </c>
    </row>
    <row r="72" spans="14:16" x14ac:dyDescent="0.25">
      <c r="N72" t="s">
        <v>837</v>
      </c>
      <c r="O72" t="s">
        <v>248</v>
      </c>
    </row>
    <row r="73" spans="14:16" x14ac:dyDescent="0.25">
      <c r="N73" t="s">
        <v>838</v>
      </c>
      <c r="O73" t="s">
        <v>248</v>
      </c>
    </row>
    <row r="74" spans="14:16" x14ac:dyDescent="0.25">
      <c r="N74" t="s">
        <v>839</v>
      </c>
      <c r="O74" t="s">
        <v>248</v>
      </c>
    </row>
    <row r="75" spans="14:16" x14ac:dyDescent="0.25">
      <c r="N75" t="s">
        <v>840</v>
      </c>
      <c r="O75" t="s">
        <v>248</v>
      </c>
    </row>
    <row r="76" spans="14:16" x14ac:dyDescent="0.25">
      <c r="N76" t="s">
        <v>841</v>
      </c>
      <c r="O76" t="s">
        <v>248</v>
      </c>
    </row>
    <row r="77" spans="14:16" x14ac:dyDescent="0.25">
      <c r="N77" t="s">
        <v>842</v>
      </c>
      <c r="O77" t="s">
        <v>248</v>
      </c>
    </row>
    <row r="78" spans="14:16" x14ac:dyDescent="0.25">
      <c r="N78" t="s">
        <v>843</v>
      </c>
      <c r="O78" t="s">
        <v>248</v>
      </c>
    </row>
    <row r="79" spans="14:16" x14ac:dyDescent="0.25">
      <c r="N79" t="s">
        <v>844</v>
      </c>
      <c r="O79" t="s">
        <v>248</v>
      </c>
    </row>
    <row r="80" spans="14:16" x14ac:dyDescent="0.25">
      <c r="N80" t="s">
        <v>845</v>
      </c>
      <c r="O80" t="s">
        <v>248</v>
      </c>
    </row>
    <row r="81" spans="14:16" x14ac:dyDescent="0.25">
      <c r="N81" t="s">
        <v>846</v>
      </c>
      <c r="O81" t="s">
        <v>248</v>
      </c>
    </row>
    <row r="82" spans="14:16" x14ac:dyDescent="0.25">
      <c r="N82" t="s">
        <v>847</v>
      </c>
      <c r="O82" t="s">
        <v>723</v>
      </c>
      <c r="P82" t="s">
        <v>248</v>
      </c>
    </row>
    <row r="83" spans="14:16" x14ac:dyDescent="0.25">
      <c r="N83" t="s">
        <v>848</v>
      </c>
      <c r="O83" t="s">
        <v>248</v>
      </c>
    </row>
    <row r="84" spans="14:16" x14ac:dyDescent="0.25">
      <c r="N84" t="s">
        <v>849</v>
      </c>
      <c r="O84" t="s">
        <v>723</v>
      </c>
      <c r="P84" t="s">
        <v>248</v>
      </c>
    </row>
    <row r="85" spans="14:16" x14ac:dyDescent="0.25">
      <c r="N85" t="s">
        <v>850</v>
      </c>
      <c r="O85" t="s">
        <v>248</v>
      </c>
    </row>
    <row r="86" spans="14:16" x14ac:dyDescent="0.25">
      <c r="N86" t="s">
        <v>851</v>
      </c>
      <c r="O86" t="s">
        <v>723</v>
      </c>
      <c r="P86" t="s">
        <v>248</v>
      </c>
    </row>
    <row r="87" spans="14:16" x14ac:dyDescent="0.25">
      <c r="N87" t="s">
        <v>852</v>
      </c>
      <c r="O87" t="s">
        <v>723</v>
      </c>
      <c r="P87" t="s">
        <v>248</v>
      </c>
    </row>
    <row r="88" spans="14:16" x14ac:dyDescent="0.25">
      <c r="N88" t="s">
        <v>853</v>
      </c>
      <c r="O88" t="s">
        <v>723</v>
      </c>
      <c r="P88" t="s">
        <v>248</v>
      </c>
    </row>
    <row r="89" spans="14:16" x14ac:dyDescent="0.25">
      <c r="N89" t="s">
        <v>854</v>
      </c>
      <c r="O89" t="s">
        <v>723</v>
      </c>
      <c r="P89" t="s">
        <v>248</v>
      </c>
    </row>
    <row r="90" spans="14:16" x14ac:dyDescent="0.25">
      <c r="N90" t="s">
        <v>855</v>
      </c>
      <c r="O90" t="s">
        <v>723</v>
      </c>
      <c r="P90" t="s">
        <v>248</v>
      </c>
    </row>
    <row r="91" spans="14:16" x14ac:dyDescent="0.25">
      <c r="N91" t="s">
        <v>856</v>
      </c>
      <c r="O91" t="s">
        <v>248</v>
      </c>
    </row>
    <row r="92" spans="14:16" x14ac:dyDescent="0.25">
      <c r="N92" t="s">
        <v>857</v>
      </c>
      <c r="O92" t="s">
        <v>723</v>
      </c>
      <c r="P92" t="s">
        <v>248</v>
      </c>
    </row>
    <row r="93" spans="14:16" x14ac:dyDescent="0.25">
      <c r="N93" t="s">
        <v>858</v>
      </c>
      <c r="O93" t="s">
        <v>723</v>
      </c>
      <c r="P93" t="s">
        <v>248</v>
      </c>
    </row>
    <row r="94" spans="14:16" x14ac:dyDescent="0.25">
      <c r="N94" t="s">
        <v>859</v>
      </c>
      <c r="O94" t="s">
        <v>723</v>
      </c>
      <c r="P94" t="s">
        <v>248</v>
      </c>
    </row>
    <row r="95" spans="14:16" x14ac:dyDescent="0.25">
      <c r="N95" t="s">
        <v>860</v>
      </c>
      <c r="O95" t="s">
        <v>723</v>
      </c>
      <c r="P95" t="s">
        <v>248</v>
      </c>
    </row>
    <row r="96" spans="14:16" x14ac:dyDescent="0.25">
      <c r="N96" t="s">
        <v>861</v>
      </c>
      <c r="O96" t="s">
        <v>723</v>
      </c>
      <c r="P96" t="s">
        <v>248</v>
      </c>
    </row>
    <row r="97" spans="14:16" x14ac:dyDescent="0.25">
      <c r="N97" t="s">
        <v>862</v>
      </c>
      <c r="O97" t="s">
        <v>723</v>
      </c>
      <c r="P97" t="s">
        <v>248</v>
      </c>
    </row>
    <row r="98" spans="14:16" x14ac:dyDescent="0.25">
      <c r="N98" t="s">
        <v>863</v>
      </c>
      <c r="O98" t="s">
        <v>723</v>
      </c>
      <c r="P98" t="s">
        <v>248</v>
      </c>
    </row>
    <row r="99" spans="14:16" x14ac:dyDescent="0.25">
      <c r="N99" t="s">
        <v>864</v>
      </c>
      <c r="O99" t="s">
        <v>723</v>
      </c>
      <c r="P99" t="s">
        <v>248</v>
      </c>
    </row>
    <row r="100" spans="14:16" x14ac:dyDescent="0.25">
      <c r="N100" t="s">
        <v>865</v>
      </c>
      <c r="O100" t="s">
        <v>248</v>
      </c>
    </row>
    <row r="101" spans="14:16" x14ac:dyDescent="0.25">
      <c r="N101" t="s">
        <v>866</v>
      </c>
      <c r="O101" t="s">
        <v>723</v>
      </c>
      <c r="P101" t="s">
        <v>248</v>
      </c>
    </row>
    <row r="102" spans="14:16" x14ac:dyDescent="0.25">
      <c r="N102" t="s">
        <v>867</v>
      </c>
      <c r="O102" t="s">
        <v>723</v>
      </c>
      <c r="P102" t="s">
        <v>248</v>
      </c>
    </row>
    <row r="103" spans="14:16" x14ac:dyDescent="0.25">
      <c r="N103" t="s">
        <v>868</v>
      </c>
      <c r="O103" t="s">
        <v>723</v>
      </c>
      <c r="P103" t="s">
        <v>248</v>
      </c>
    </row>
    <row r="104" spans="14:16" x14ac:dyDescent="0.25">
      <c r="N104" t="s">
        <v>869</v>
      </c>
      <c r="O104" t="s">
        <v>723</v>
      </c>
      <c r="P104" t="s">
        <v>248</v>
      </c>
    </row>
    <row r="105" spans="14:16" x14ac:dyDescent="0.25">
      <c r="N105" t="s">
        <v>870</v>
      </c>
      <c r="O105" t="s">
        <v>723</v>
      </c>
      <c r="P105" t="s">
        <v>248</v>
      </c>
    </row>
    <row r="106" spans="14:16" x14ac:dyDescent="0.25">
      <c r="N106" t="s">
        <v>871</v>
      </c>
      <c r="O106" t="s">
        <v>723</v>
      </c>
      <c r="P106" t="s">
        <v>248</v>
      </c>
    </row>
    <row r="107" spans="14:16" x14ac:dyDescent="0.25">
      <c r="N107" t="s">
        <v>872</v>
      </c>
      <c r="O107" t="s">
        <v>723</v>
      </c>
      <c r="P107" t="s">
        <v>248</v>
      </c>
    </row>
    <row r="108" spans="14:16" x14ac:dyDescent="0.25">
      <c r="N108" t="s">
        <v>873</v>
      </c>
      <c r="O108" t="s">
        <v>723</v>
      </c>
      <c r="P108" t="s">
        <v>248</v>
      </c>
    </row>
    <row r="109" spans="14:16" x14ac:dyDescent="0.25">
      <c r="N109" t="s">
        <v>874</v>
      </c>
      <c r="O109" t="s">
        <v>723</v>
      </c>
      <c r="P109" t="s">
        <v>248</v>
      </c>
    </row>
    <row r="110" spans="14:16" x14ac:dyDescent="0.25">
      <c r="N110" t="s">
        <v>875</v>
      </c>
      <c r="O110" t="s">
        <v>723</v>
      </c>
      <c r="P110" t="s">
        <v>248</v>
      </c>
    </row>
    <row r="111" spans="14:16" x14ac:dyDescent="0.25">
      <c r="N111" t="s">
        <v>876</v>
      </c>
      <c r="O111" t="s">
        <v>723</v>
      </c>
      <c r="P111" t="s">
        <v>248</v>
      </c>
    </row>
    <row r="112" spans="14:16" x14ac:dyDescent="0.25">
      <c r="N112" t="s">
        <v>877</v>
      </c>
      <c r="O112" t="s">
        <v>723</v>
      </c>
      <c r="P112" t="s">
        <v>248</v>
      </c>
    </row>
    <row r="113" spans="14:16" x14ac:dyDescent="0.25">
      <c r="N113" t="s">
        <v>878</v>
      </c>
      <c r="O113" t="s">
        <v>723</v>
      </c>
      <c r="P113" t="s">
        <v>248</v>
      </c>
    </row>
    <row r="114" spans="14:16" x14ac:dyDescent="0.25">
      <c r="N114" t="s">
        <v>879</v>
      </c>
      <c r="O114" t="s">
        <v>723</v>
      </c>
      <c r="P114" t="s">
        <v>248</v>
      </c>
    </row>
    <row r="115" spans="14:16" x14ac:dyDescent="0.25">
      <c r="N115" t="s">
        <v>880</v>
      </c>
      <c r="O115" t="s">
        <v>723</v>
      </c>
      <c r="P115" t="s">
        <v>248</v>
      </c>
    </row>
    <row r="116" spans="14:16" x14ac:dyDescent="0.25">
      <c r="N116" t="s">
        <v>881</v>
      </c>
      <c r="O116" t="s">
        <v>723</v>
      </c>
      <c r="P116" t="s">
        <v>248</v>
      </c>
    </row>
    <row r="117" spans="14:16" x14ac:dyDescent="0.25">
      <c r="N117" t="s">
        <v>882</v>
      </c>
      <c r="O117" t="s">
        <v>723</v>
      </c>
      <c r="P117" t="s">
        <v>248</v>
      </c>
    </row>
    <row r="118" spans="14:16" x14ac:dyDescent="0.25">
      <c r="N118" t="s">
        <v>883</v>
      </c>
      <c r="O118" t="s">
        <v>723</v>
      </c>
      <c r="P118" t="s">
        <v>248</v>
      </c>
    </row>
    <row r="119" spans="14:16" x14ac:dyDescent="0.25">
      <c r="N119" t="s">
        <v>884</v>
      </c>
      <c r="O119" t="s">
        <v>723</v>
      </c>
      <c r="P119" t="s">
        <v>248</v>
      </c>
    </row>
    <row r="120" spans="14:16" x14ac:dyDescent="0.25">
      <c r="N120" t="s">
        <v>885</v>
      </c>
      <c r="O120" t="s">
        <v>723</v>
      </c>
      <c r="P120" t="s">
        <v>248</v>
      </c>
    </row>
    <row r="121" spans="14:16" x14ac:dyDescent="0.25">
      <c r="N121" t="s">
        <v>886</v>
      </c>
      <c r="O121" t="s">
        <v>723</v>
      </c>
      <c r="P121" t="s">
        <v>248</v>
      </c>
    </row>
    <row r="122" spans="14:16" x14ac:dyDescent="0.25">
      <c r="N122" t="s">
        <v>887</v>
      </c>
      <c r="O122" t="s">
        <v>723</v>
      </c>
      <c r="P122" t="s">
        <v>248</v>
      </c>
    </row>
    <row r="123" spans="14:16" x14ac:dyDescent="0.25">
      <c r="N123" t="s">
        <v>888</v>
      </c>
      <c r="O123" t="s">
        <v>723</v>
      </c>
      <c r="P123" t="s">
        <v>248</v>
      </c>
    </row>
    <row r="124" spans="14:16" x14ac:dyDescent="0.25">
      <c r="N124" t="s">
        <v>889</v>
      </c>
      <c r="O124" t="s">
        <v>723</v>
      </c>
      <c r="P124" t="s">
        <v>248</v>
      </c>
    </row>
    <row r="125" spans="14:16" x14ac:dyDescent="0.25">
      <c r="N125" t="s">
        <v>890</v>
      </c>
      <c r="O125" t="s">
        <v>723</v>
      </c>
      <c r="P125" t="s">
        <v>248</v>
      </c>
    </row>
    <row r="126" spans="14:16" x14ac:dyDescent="0.25">
      <c r="N126" t="s">
        <v>891</v>
      </c>
      <c r="O126" t="s">
        <v>723</v>
      </c>
      <c r="P126" t="s">
        <v>248</v>
      </c>
    </row>
    <row r="127" spans="14:16" x14ac:dyDescent="0.25">
      <c r="N127" t="s">
        <v>892</v>
      </c>
      <c r="O127" t="s">
        <v>723</v>
      </c>
      <c r="P127" t="s">
        <v>248</v>
      </c>
    </row>
    <row r="128" spans="14:16" x14ac:dyDescent="0.25">
      <c r="N128" t="s">
        <v>893</v>
      </c>
      <c r="O128" t="s">
        <v>723</v>
      </c>
      <c r="P128" t="s">
        <v>248</v>
      </c>
    </row>
    <row r="129" spans="14:16" x14ac:dyDescent="0.25">
      <c r="N129" t="s">
        <v>894</v>
      </c>
      <c r="O129" t="s">
        <v>723</v>
      </c>
      <c r="P129" t="s">
        <v>248</v>
      </c>
    </row>
    <row r="130" spans="14:16" x14ac:dyDescent="0.25">
      <c r="N130" t="s">
        <v>895</v>
      </c>
      <c r="O130" t="s">
        <v>723</v>
      </c>
      <c r="P130" t="s">
        <v>248</v>
      </c>
    </row>
    <row r="131" spans="14:16" x14ac:dyDescent="0.25">
      <c r="N131" t="s">
        <v>896</v>
      </c>
      <c r="O131" t="s">
        <v>723</v>
      </c>
      <c r="P131" t="s">
        <v>248</v>
      </c>
    </row>
    <row r="132" spans="14:16" x14ac:dyDescent="0.25">
      <c r="N132" t="s">
        <v>897</v>
      </c>
      <c r="O132" t="s">
        <v>723</v>
      </c>
      <c r="P132" t="s">
        <v>248</v>
      </c>
    </row>
    <row r="133" spans="14:16" x14ac:dyDescent="0.25">
      <c r="N133" t="s">
        <v>898</v>
      </c>
      <c r="O133" t="s">
        <v>723</v>
      </c>
      <c r="P133" t="s">
        <v>248</v>
      </c>
    </row>
    <row r="134" spans="14:16" x14ac:dyDescent="0.25">
      <c r="N134" t="s">
        <v>899</v>
      </c>
      <c r="O134" t="s">
        <v>723</v>
      </c>
      <c r="P134" t="s">
        <v>248</v>
      </c>
    </row>
    <row r="135" spans="14:16" x14ac:dyDescent="0.25">
      <c r="N135" t="s">
        <v>900</v>
      </c>
      <c r="O135" t="s">
        <v>723</v>
      </c>
      <c r="P135" t="s">
        <v>248</v>
      </c>
    </row>
    <row r="136" spans="14:16" x14ac:dyDescent="0.25">
      <c r="N136" t="s">
        <v>901</v>
      </c>
      <c r="O136" t="s">
        <v>723</v>
      </c>
      <c r="P136" t="s">
        <v>248</v>
      </c>
    </row>
    <row r="137" spans="14:16" x14ac:dyDescent="0.25">
      <c r="N137" t="s">
        <v>902</v>
      </c>
      <c r="O137" t="s">
        <v>723</v>
      </c>
      <c r="P137" t="s">
        <v>248</v>
      </c>
    </row>
    <row r="138" spans="14:16" x14ac:dyDescent="0.25">
      <c r="N138" t="s">
        <v>903</v>
      </c>
      <c r="O138" t="s">
        <v>723</v>
      </c>
      <c r="P138" t="s">
        <v>248</v>
      </c>
    </row>
    <row r="139" spans="14:16" x14ac:dyDescent="0.25">
      <c r="N139" t="s">
        <v>904</v>
      </c>
      <c r="O139" t="s">
        <v>723</v>
      </c>
      <c r="P139" t="s">
        <v>248</v>
      </c>
    </row>
    <row r="140" spans="14:16" x14ac:dyDescent="0.25">
      <c r="N140" t="s">
        <v>905</v>
      </c>
      <c r="O140" t="s">
        <v>248</v>
      </c>
    </row>
    <row r="141" spans="14:16" x14ac:dyDescent="0.25">
      <c r="N141" t="s">
        <v>906</v>
      </c>
      <c r="O141" t="s">
        <v>248</v>
      </c>
    </row>
    <row r="142" spans="14:16" x14ac:dyDescent="0.25">
      <c r="N142" t="s">
        <v>907</v>
      </c>
      <c r="O142" t="s">
        <v>723</v>
      </c>
      <c r="P142" t="s">
        <v>248</v>
      </c>
    </row>
    <row r="143" spans="14:16" x14ac:dyDescent="0.25">
      <c r="N143" t="s">
        <v>908</v>
      </c>
      <c r="O143" t="s">
        <v>723</v>
      </c>
      <c r="P143" t="s">
        <v>248</v>
      </c>
    </row>
    <row r="144" spans="14:16" x14ac:dyDescent="0.25">
      <c r="N144" t="s">
        <v>909</v>
      </c>
      <c r="O144" t="s">
        <v>723</v>
      </c>
      <c r="P144" t="s">
        <v>248</v>
      </c>
    </row>
    <row r="145" spans="14:16" x14ac:dyDescent="0.25">
      <c r="N145" t="s">
        <v>910</v>
      </c>
      <c r="O145" t="s">
        <v>723</v>
      </c>
      <c r="P145" t="s">
        <v>248</v>
      </c>
    </row>
    <row r="146" spans="14:16" x14ac:dyDescent="0.25">
      <c r="N146" t="s">
        <v>911</v>
      </c>
      <c r="O146" t="s">
        <v>723</v>
      </c>
      <c r="P146" t="s">
        <v>248</v>
      </c>
    </row>
    <row r="147" spans="14:16" x14ac:dyDescent="0.25">
      <c r="N147" t="s">
        <v>912</v>
      </c>
      <c r="O147" t="s">
        <v>723</v>
      </c>
      <c r="P147" t="s">
        <v>248</v>
      </c>
    </row>
    <row r="148" spans="14:16" x14ac:dyDescent="0.25">
      <c r="N148" t="s">
        <v>913</v>
      </c>
      <c r="O148" t="s">
        <v>723</v>
      </c>
      <c r="P148" t="s">
        <v>248</v>
      </c>
    </row>
    <row r="149" spans="14:16" x14ac:dyDescent="0.25">
      <c r="N149" t="s">
        <v>914</v>
      </c>
      <c r="O149" t="s">
        <v>723</v>
      </c>
      <c r="P149" t="s">
        <v>248</v>
      </c>
    </row>
    <row r="150" spans="14:16" x14ac:dyDescent="0.25">
      <c r="N150" t="s">
        <v>915</v>
      </c>
      <c r="O150" t="s">
        <v>723</v>
      </c>
      <c r="P150" t="s">
        <v>248</v>
      </c>
    </row>
    <row r="151" spans="14:16" x14ac:dyDescent="0.25">
      <c r="N151" t="s">
        <v>916</v>
      </c>
      <c r="O151" t="s">
        <v>723</v>
      </c>
      <c r="P151" t="s">
        <v>248</v>
      </c>
    </row>
    <row r="152" spans="14:16" x14ac:dyDescent="0.25">
      <c r="N152" t="s">
        <v>970</v>
      </c>
      <c r="O152" t="s">
        <v>723</v>
      </c>
      <c r="P152" t="s">
        <v>248</v>
      </c>
    </row>
    <row r="153" spans="14:16" x14ac:dyDescent="0.25">
      <c r="N153" t="s">
        <v>919</v>
      </c>
      <c r="O153" t="s">
        <v>723</v>
      </c>
      <c r="P153" t="s">
        <v>248</v>
      </c>
    </row>
    <row r="154" spans="14:16" x14ac:dyDescent="0.25">
      <c r="N154" t="s">
        <v>920</v>
      </c>
      <c r="O154" t="s">
        <v>723</v>
      </c>
      <c r="P154" t="s">
        <v>248</v>
      </c>
    </row>
    <row r="155" spans="14:16" x14ac:dyDescent="0.25">
      <c r="N155" t="s">
        <v>921</v>
      </c>
      <c r="O155" t="s">
        <v>723</v>
      </c>
      <c r="P155" t="s">
        <v>248</v>
      </c>
    </row>
    <row r="156" spans="14:16" x14ac:dyDescent="0.25">
      <c r="N156" t="s">
        <v>922</v>
      </c>
      <c r="O156" t="s">
        <v>723</v>
      </c>
      <c r="P156" t="s">
        <v>248</v>
      </c>
    </row>
    <row r="157" spans="14:16" x14ac:dyDescent="0.25">
      <c r="N157" t="s">
        <v>923</v>
      </c>
      <c r="O157" t="s">
        <v>723</v>
      </c>
      <c r="P157" t="s">
        <v>248</v>
      </c>
    </row>
    <row r="158" spans="14:16" x14ac:dyDescent="0.25">
      <c r="N158" t="s">
        <v>924</v>
      </c>
      <c r="O158" t="s">
        <v>723</v>
      </c>
      <c r="P158" t="s">
        <v>248</v>
      </c>
    </row>
    <row r="159" spans="14:16" x14ac:dyDescent="0.25">
      <c r="N159" t="s">
        <v>925</v>
      </c>
      <c r="O159" t="s">
        <v>723</v>
      </c>
      <c r="P159" t="s">
        <v>248</v>
      </c>
    </row>
    <row r="160" spans="14:16" x14ac:dyDescent="0.25">
      <c r="N160" t="s">
        <v>926</v>
      </c>
      <c r="O160" t="s">
        <v>248</v>
      </c>
    </row>
    <row r="161" spans="14:16" x14ac:dyDescent="0.25">
      <c r="N161" t="s">
        <v>927</v>
      </c>
      <c r="O161" t="s">
        <v>248</v>
      </c>
    </row>
    <row r="162" spans="14:16" x14ac:dyDescent="0.25">
      <c r="N162" t="s">
        <v>928</v>
      </c>
      <c r="O162" t="s">
        <v>248</v>
      </c>
    </row>
    <row r="163" spans="14:16" x14ac:dyDescent="0.25">
      <c r="N163" t="s">
        <v>929</v>
      </c>
      <c r="O163" t="s">
        <v>248</v>
      </c>
    </row>
    <row r="164" spans="14:16" x14ac:dyDescent="0.25">
      <c r="N164" t="s">
        <v>930</v>
      </c>
      <c r="O164" t="s">
        <v>248</v>
      </c>
    </row>
    <row r="165" spans="14:16" x14ac:dyDescent="0.25">
      <c r="N165" t="s">
        <v>931</v>
      </c>
      <c r="O165" t="s">
        <v>248</v>
      </c>
    </row>
    <row r="166" spans="14:16" x14ac:dyDescent="0.25">
      <c r="N166" t="s">
        <v>932</v>
      </c>
      <c r="O166" t="s">
        <v>248</v>
      </c>
    </row>
    <row r="167" spans="14:16" x14ac:dyDescent="0.25">
      <c r="N167" t="s">
        <v>933</v>
      </c>
      <c r="O167" t="s">
        <v>248</v>
      </c>
    </row>
    <row r="168" spans="14:16" x14ac:dyDescent="0.25">
      <c r="N168" t="s">
        <v>934</v>
      </c>
      <c r="O168" t="s">
        <v>248</v>
      </c>
    </row>
    <row r="169" spans="14:16" x14ac:dyDescent="0.25">
      <c r="N169" t="s">
        <v>935</v>
      </c>
      <c r="O169" t="s">
        <v>723</v>
      </c>
      <c r="P169" t="s">
        <v>248</v>
      </c>
    </row>
    <row r="170" spans="14:16" x14ac:dyDescent="0.25">
      <c r="N170" t="s">
        <v>936</v>
      </c>
      <c r="O170" t="s">
        <v>248</v>
      </c>
    </row>
    <row r="171" spans="14:16" x14ac:dyDescent="0.25">
      <c r="N171" t="s">
        <v>937</v>
      </c>
      <c r="O171" t="s">
        <v>723</v>
      </c>
      <c r="P171" t="s">
        <v>248</v>
      </c>
    </row>
    <row r="172" spans="14:16" x14ac:dyDescent="0.25">
      <c r="N172" t="s">
        <v>938</v>
      </c>
      <c r="O172" t="s">
        <v>248</v>
      </c>
    </row>
    <row r="173" spans="14:16" x14ac:dyDescent="0.25">
      <c r="N173" t="s">
        <v>939</v>
      </c>
      <c r="O173" t="s">
        <v>723</v>
      </c>
      <c r="P173" t="s">
        <v>248</v>
      </c>
    </row>
    <row r="174" spans="14:16" x14ac:dyDescent="0.25">
      <c r="N174" t="s">
        <v>940</v>
      </c>
      <c r="O174" t="s">
        <v>248</v>
      </c>
    </row>
    <row r="175" spans="14:16" x14ac:dyDescent="0.25">
      <c r="N175" t="s">
        <v>941</v>
      </c>
      <c r="O175" t="s">
        <v>723</v>
      </c>
      <c r="P175" t="s">
        <v>248</v>
      </c>
    </row>
    <row r="176" spans="14:16" x14ac:dyDescent="0.25">
      <c r="N176" t="s">
        <v>942</v>
      </c>
      <c r="O176" t="s">
        <v>248</v>
      </c>
    </row>
    <row r="177" spans="14:16" x14ac:dyDescent="0.25">
      <c r="N177" t="s">
        <v>943</v>
      </c>
      <c r="O177" t="s">
        <v>723</v>
      </c>
      <c r="P177" t="s">
        <v>248</v>
      </c>
    </row>
    <row r="178" spans="14:16" x14ac:dyDescent="0.25">
      <c r="N178" t="s">
        <v>944</v>
      </c>
      <c r="O178" t="s">
        <v>248</v>
      </c>
    </row>
    <row r="179" spans="14:16" x14ac:dyDescent="0.25">
      <c r="N179" t="s">
        <v>945</v>
      </c>
      <c r="O179" t="s">
        <v>723</v>
      </c>
      <c r="P179" t="s">
        <v>248</v>
      </c>
    </row>
    <row r="180" spans="14:16" x14ac:dyDescent="0.25">
      <c r="N180" t="s">
        <v>946</v>
      </c>
      <c r="O180" t="s">
        <v>248</v>
      </c>
    </row>
    <row r="181" spans="14:16" x14ac:dyDescent="0.25">
      <c r="N181" t="s">
        <v>947</v>
      </c>
      <c r="O181" t="s">
        <v>723</v>
      </c>
      <c r="P181" t="s">
        <v>248</v>
      </c>
    </row>
    <row r="182" spans="14:16" x14ac:dyDescent="0.25">
      <c r="N182" t="s">
        <v>948</v>
      </c>
      <c r="O182" t="s">
        <v>723</v>
      </c>
      <c r="P182" t="s">
        <v>248</v>
      </c>
    </row>
    <row r="183" spans="14:16" x14ac:dyDescent="0.25">
      <c r="N183" t="s">
        <v>949</v>
      </c>
      <c r="O183" t="s">
        <v>723</v>
      </c>
      <c r="P183" t="s">
        <v>248</v>
      </c>
    </row>
    <row r="184" spans="14:16" x14ac:dyDescent="0.25">
      <c r="N184" t="s">
        <v>950</v>
      </c>
      <c r="O184" t="s">
        <v>723</v>
      </c>
      <c r="P184" t="s">
        <v>248</v>
      </c>
    </row>
    <row r="185" spans="14:16" x14ac:dyDescent="0.25">
      <c r="N185" t="s">
        <v>951</v>
      </c>
      <c r="O185" t="s">
        <v>723</v>
      </c>
      <c r="P185" t="s">
        <v>248</v>
      </c>
    </row>
    <row r="186" spans="14:16" x14ac:dyDescent="0.25">
      <c r="N186" t="s">
        <v>952</v>
      </c>
      <c r="O186" t="s">
        <v>723</v>
      </c>
      <c r="P186" t="s">
        <v>248</v>
      </c>
    </row>
    <row r="187" spans="14:16" x14ac:dyDescent="0.25">
      <c r="N187" t="s">
        <v>953</v>
      </c>
      <c r="O187" t="s">
        <v>723</v>
      </c>
      <c r="P187" t="s">
        <v>248</v>
      </c>
    </row>
    <row r="188" spans="14:16" x14ac:dyDescent="0.25">
      <c r="N188" t="s">
        <v>954</v>
      </c>
      <c r="O188" t="s">
        <v>723</v>
      </c>
      <c r="P188" t="s">
        <v>248</v>
      </c>
    </row>
    <row r="189" spans="14:16" x14ac:dyDescent="0.25">
      <c r="N189" t="s">
        <v>955</v>
      </c>
      <c r="O189" t="s">
        <v>723</v>
      </c>
      <c r="P189" t="s">
        <v>248</v>
      </c>
    </row>
    <row r="190" spans="14:16" x14ac:dyDescent="0.25">
      <c r="N190" t="s">
        <v>956</v>
      </c>
      <c r="O190" t="s">
        <v>723</v>
      </c>
      <c r="P190" t="s">
        <v>248</v>
      </c>
    </row>
    <row r="191" spans="14:16" x14ac:dyDescent="0.25">
      <c r="N191" t="s">
        <v>957</v>
      </c>
      <c r="O191" t="s">
        <v>723</v>
      </c>
      <c r="P191" t="s">
        <v>248</v>
      </c>
    </row>
    <row r="192" spans="14:16" x14ac:dyDescent="0.25">
      <c r="N192" t="s">
        <v>958</v>
      </c>
      <c r="O192" t="s">
        <v>723</v>
      </c>
      <c r="P192" t="s">
        <v>248</v>
      </c>
    </row>
    <row r="193" spans="14:16" x14ac:dyDescent="0.25">
      <c r="N193" t="s">
        <v>959</v>
      </c>
      <c r="O193" t="s">
        <v>723</v>
      </c>
      <c r="P193" t="s">
        <v>248</v>
      </c>
    </row>
    <row r="194" spans="14:16" x14ac:dyDescent="0.25">
      <c r="N194" t="s">
        <v>960</v>
      </c>
      <c r="O194" t="s">
        <v>723</v>
      </c>
      <c r="P194" t="s">
        <v>248</v>
      </c>
    </row>
    <row r="195" spans="14:16" x14ac:dyDescent="0.25">
      <c r="N195" t="s">
        <v>971</v>
      </c>
      <c r="O195" t="s">
        <v>248</v>
      </c>
    </row>
    <row r="196" spans="14:16" x14ac:dyDescent="0.25">
      <c r="N196" t="s">
        <v>972</v>
      </c>
      <c r="O196" t="s">
        <v>723</v>
      </c>
      <c r="P196" t="s">
        <v>248</v>
      </c>
    </row>
    <row r="197" spans="14:16" x14ac:dyDescent="0.25">
      <c r="N197" t="s">
        <v>973</v>
      </c>
      <c r="O197" t="s">
        <v>248</v>
      </c>
    </row>
    <row r="198" spans="14:16" x14ac:dyDescent="0.25">
      <c r="N198" t="s">
        <v>974</v>
      </c>
      <c r="O198" t="s">
        <v>723</v>
      </c>
      <c r="P198" t="s">
        <v>248</v>
      </c>
    </row>
    <row r="199" spans="14:16" x14ac:dyDescent="0.25">
      <c r="N199" t="s">
        <v>975</v>
      </c>
      <c r="O199" t="s">
        <v>723</v>
      </c>
      <c r="P199" t="s">
        <v>248</v>
      </c>
    </row>
    <row r="200" spans="14:16" x14ac:dyDescent="0.25">
      <c r="N200" t="s">
        <v>976</v>
      </c>
      <c r="O200" t="s">
        <v>723</v>
      </c>
      <c r="P200" t="s">
        <v>248</v>
      </c>
    </row>
    <row r="201" spans="14:16" x14ac:dyDescent="0.25">
      <c r="N201" t="s">
        <v>977</v>
      </c>
      <c r="O201" t="s">
        <v>723</v>
      </c>
      <c r="P201" t="s">
        <v>248</v>
      </c>
    </row>
    <row r="202" spans="14:16" x14ac:dyDescent="0.25">
      <c r="N202" t="s">
        <v>978</v>
      </c>
      <c r="O202" t="s">
        <v>248</v>
      </c>
    </row>
    <row r="203" spans="14:16" x14ac:dyDescent="0.25">
      <c r="N203" t="s">
        <v>979</v>
      </c>
      <c r="O203" t="s">
        <v>723</v>
      </c>
      <c r="P203" t="s">
        <v>248</v>
      </c>
    </row>
    <row r="204" spans="14:16" x14ac:dyDescent="0.25">
      <c r="N204" t="s">
        <v>980</v>
      </c>
      <c r="O204" t="s">
        <v>248</v>
      </c>
    </row>
    <row r="205" spans="14:16" x14ac:dyDescent="0.25">
      <c r="N205" t="s">
        <v>981</v>
      </c>
      <c r="O205" t="s">
        <v>723</v>
      </c>
      <c r="P205" t="s">
        <v>248</v>
      </c>
    </row>
    <row r="206" spans="14:16" x14ac:dyDescent="0.25">
      <c r="N206" t="s">
        <v>982</v>
      </c>
      <c r="O206" t="s">
        <v>723</v>
      </c>
      <c r="P206" t="s">
        <v>248</v>
      </c>
    </row>
    <row r="207" spans="14:16" x14ac:dyDescent="0.25">
      <c r="N207" t="s">
        <v>983</v>
      </c>
      <c r="O207" t="s">
        <v>723</v>
      </c>
      <c r="P207" t="s">
        <v>248</v>
      </c>
    </row>
    <row r="208" spans="14:16" x14ac:dyDescent="0.25">
      <c r="N208" t="s">
        <v>984</v>
      </c>
      <c r="O208" t="s">
        <v>723</v>
      </c>
      <c r="P208" t="s">
        <v>248</v>
      </c>
    </row>
    <row r="209" spans="14:16" x14ac:dyDescent="0.25">
      <c r="N209" t="s">
        <v>985</v>
      </c>
      <c r="O209" t="s">
        <v>248</v>
      </c>
    </row>
    <row r="210" spans="14:16" x14ac:dyDescent="0.25">
      <c r="N210" t="s">
        <v>986</v>
      </c>
      <c r="O210" t="s">
        <v>723</v>
      </c>
      <c r="P210" t="s">
        <v>248</v>
      </c>
    </row>
    <row r="211" spans="14:16" x14ac:dyDescent="0.25">
      <c r="N211" t="s">
        <v>987</v>
      </c>
      <c r="O211" t="s">
        <v>248</v>
      </c>
    </row>
    <row r="212" spans="14:16" x14ac:dyDescent="0.25">
      <c r="N212" t="s">
        <v>988</v>
      </c>
      <c r="O212" t="s">
        <v>723</v>
      </c>
      <c r="P212" t="s">
        <v>248</v>
      </c>
    </row>
    <row r="213" spans="14:16" x14ac:dyDescent="0.25">
      <c r="N213" t="s">
        <v>989</v>
      </c>
      <c r="O213" t="s">
        <v>723</v>
      </c>
      <c r="P213" t="s">
        <v>248</v>
      </c>
    </row>
    <row r="214" spans="14:16" x14ac:dyDescent="0.25">
      <c r="N214" t="s">
        <v>990</v>
      </c>
      <c r="O214" t="s">
        <v>723</v>
      </c>
      <c r="P214" t="s">
        <v>248</v>
      </c>
    </row>
    <row r="215" spans="14:16" x14ac:dyDescent="0.25">
      <c r="N215" t="s">
        <v>991</v>
      </c>
      <c r="O215" t="s">
        <v>723</v>
      </c>
      <c r="P215" t="s">
        <v>248</v>
      </c>
    </row>
    <row r="216" spans="14:16" x14ac:dyDescent="0.25">
      <c r="N216" t="s">
        <v>992</v>
      </c>
      <c r="O216" t="s">
        <v>248</v>
      </c>
    </row>
    <row r="217" spans="14:16" x14ac:dyDescent="0.25">
      <c r="N217" t="s">
        <v>993</v>
      </c>
      <c r="O217" t="s">
        <v>723</v>
      </c>
      <c r="P217" t="s">
        <v>248</v>
      </c>
    </row>
    <row r="218" spans="14:16" x14ac:dyDescent="0.25">
      <c r="N218" t="s">
        <v>994</v>
      </c>
      <c r="O218" t="s">
        <v>248</v>
      </c>
    </row>
    <row r="219" spans="14:16" x14ac:dyDescent="0.25">
      <c r="N219" t="s">
        <v>995</v>
      </c>
      <c r="O219" t="s">
        <v>723</v>
      </c>
      <c r="P219" t="s">
        <v>248</v>
      </c>
    </row>
    <row r="220" spans="14:16" x14ac:dyDescent="0.25">
      <c r="N220" t="s">
        <v>996</v>
      </c>
      <c r="O220" t="s">
        <v>723</v>
      </c>
      <c r="P220" t="s">
        <v>248</v>
      </c>
    </row>
    <row r="221" spans="14:16" x14ac:dyDescent="0.25">
      <c r="N221" t="s">
        <v>997</v>
      </c>
      <c r="O221" t="s">
        <v>723</v>
      </c>
      <c r="P221" t="s">
        <v>248</v>
      </c>
    </row>
    <row r="222" spans="14:16" x14ac:dyDescent="0.25">
      <c r="N222" t="s">
        <v>998</v>
      </c>
      <c r="O222" t="s">
        <v>723</v>
      </c>
      <c r="P222" t="s">
        <v>248</v>
      </c>
    </row>
    <row r="223" spans="14:16" x14ac:dyDescent="0.25">
      <c r="N223" t="s">
        <v>999</v>
      </c>
      <c r="O223" t="s">
        <v>248</v>
      </c>
    </row>
    <row r="224" spans="14:16" x14ac:dyDescent="0.25">
      <c r="N224" t="s">
        <v>1000</v>
      </c>
      <c r="O224" t="s">
        <v>723</v>
      </c>
      <c r="P224" t="s">
        <v>248</v>
      </c>
    </row>
    <row r="225" spans="5:16" x14ac:dyDescent="0.25">
      <c r="N225" t="s">
        <v>1001</v>
      </c>
      <c r="O225" t="s">
        <v>248</v>
      </c>
    </row>
    <row r="226" spans="5:16" x14ac:dyDescent="0.25">
      <c r="N226" t="s">
        <v>1002</v>
      </c>
      <c r="O226" t="s">
        <v>723</v>
      </c>
      <c r="P226" t="s">
        <v>248</v>
      </c>
    </row>
    <row r="227" spans="5:16" x14ac:dyDescent="0.25">
      <c r="N227" t="s">
        <v>1003</v>
      </c>
      <c r="O227" t="s">
        <v>723</v>
      </c>
      <c r="P227" t="s">
        <v>248</v>
      </c>
    </row>
    <row r="228" spans="5:16" x14ac:dyDescent="0.25">
      <c r="N228" t="s">
        <v>1004</v>
      </c>
      <c r="O228" t="s">
        <v>723</v>
      </c>
      <c r="P228" t="s">
        <v>248</v>
      </c>
    </row>
    <row r="229" spans="5:16" x14ac:dyDescent="0.25">
      <c r="N229" t="s">
        <v>1005</v>
      </c>
      <c r="O229" t="s">
        <v>723</v>
      </c>
      <c r="P229" t="s">
        <v>248</v>
      </c>
    </row>
    <row r="230" spans="5:16" x14ac:dyDescent="0.25">
      <c r="E230" t="s">
        <v>1236</v>
      </c>
      <c r="F230" t="e">
        <v>#N/A</v>
      </c>
      <c r="G230" t="s">
        <v>1237</v>
      </c>
      <c r="N230" t="s">
        <v>1006</v>
      </c>
      <c r="O230" t="s">
        <v>248</v>
      </c>
    </row>
    <row r="231" spans="5:16" x14ac:dyDescent="0.25">
      <c r="N231" t="s">
        <v>1007</v>
      </c>
      <c r="O231" t="s">
        <v>723</v>
      </c>
      <c r="P231" t="s">
        <v>248</v>
      </c>
    </row>
    <row r="232" spans="5:16" x14ac:dyDescent="0.25">
      <c r="N232" t="s">
        <v>1008</v>
      </c>
      <c r="O232" t="s">
        <v>248</v>
      </c>
    </row>
    <row r="233" spans="5:16" x14ac:dyDescent="0.25">
      <c r="N233" t="s">
        <v>1009</v>
      </c>
      <c r="O233" t="s">
        <v>723</v>
      </c>
      <c r="P233" t="s">
        <v>248</v>
      </c>
    </row>
    <row r="234" spans="5:16" x14ac:dyDescent="0.25">
      <c r="N234" t="s">
        <v>1010</v>
      </c>
      <c r="O234" t="s">
        <v>723</v>
      </c>
      <c r="P234" t="s">
        <v>248</v>
      </c>
    </row>
    <row r="235" spans="5:16" x14ac:dyDescent="0.25">
      <c r="N235" t="s">
        <v>1011</v>
      </c>
      <c r="O235" t="s">
        <v>723</v>
      </c>
      <c r="P235" t="s">
        <v>248</v>
      </c>
    </row>
    <row r="236" spans="5:16" x14ac:dyDescent="0.25">
      <c r="N236" t="s">
        <v>1012</v>
      </c>
      <c r="O236" t="s">
        <v>723</v>
      </c>
      <c r="P236" t="s">
        <v>248</v>
      </c>
    </row>
    <row r="237" spans="5:16" x14ac:dyDescent="0.25">
      <c r="N237" t="s">
        <v>1013</v>
      </c>
      <c r="O237" t="s">
        <v>248</v>
      </c>
    </row>
    <row r="238" spans="5:16" x14ac:dyDescent="0.25">
      <c r="N238" t="s">
        <v>1014</v>
      </c>
      <c r="O238" t="s">
        <v>723</v>
      </c>
      <c r="P238" t="s">
        <v>248</v>
      </c>
    </row>
    <row r="239" spans="5:16" x14ac:dyDescent="0.25">
      <c r="N239" t="s">
        <v>1015</v>
      </c>
      <c r="O239" t="s">
        <v>248</v>
      </c>
    </row>
    <row r="240" spans="5:16" x14ac:dyDescent="0.25">
      <c r="N240" t="s">
        <v>1016</v>
      </c>
      <c r="O240" t="s">
        <v>723</v>
      </c>
      <c r="P240" t="s">
        <v>248</v>
      </c>
    </row>
    <row r="241" spans="14:16" x14ac:dyDescent="0.25">
      <c r="N241" t="s">
        <v>1017</v>
      </c>
      <c r="O241" t="s">
        <v>723</v>
      </c>
      <c r="P241" t="s">
        <v>248</v>
      </c>
    </row>
    <row r="242" spans="14:16" x14ac:dyDescent="0.25">
      <c r="N242" t="s">
        <v>1018</v>
      </c>
      <c r="O242" t="s">
        <v>723</v>
      </c>
      <c r="P242" t="s">
        <v>248</v>
      </c>
    </row>
    <row r="243" spans="14:16" x14ac:dyDescent="0.25">
      <c r="N243" t="s">
        <v>1019</v>
      </c>
      <c r="O243" t="s">
        <v>723</v>
      </c>
      <c r="P243" t="s">
        <v>248</v>
      </c>
    </row>
    <row r="244" spans="14:16" x14ac:dyDescent="0.25">
      <c r="N244" t="s">
        <v>1020</v>
      </c>
      <c r="O244" t="s">
        <v>248</v>
      </c>
    </row>
    <row r="245" spans="14:16" x14ac:dyDescent="0.25">
      <c r="N245" t="s">
        <v>1021</v>
      </c>
      <c r="O245" t="s">
        <v>248</v>
      </c>
    </row>
    <row r="246" spans="14:16" x14ac:dyDescent="0.25">
      <c r="N246" t="s">
        <v>1022</v>
      </c>
      <c r="O246" t="s">
        <v>248</v>
      </c>
    </row>
    <row r="247" spans="14:16" x14ac:dyDescent="0.25">
      <c r="N247" t="s">
        <v>1023</v>
      </c>
      <c r="O247" t="s">
        <v>248</v>
      </c>
    </row>
    <row r="248" spans="14:16" x14ac:dyDescent="0.25">
      <c r="N248" t="s">
        <v>1024</v>
      </c>
      <c r="O248" t="s">
        <v>248</v>
      </c>
    </row>
    <row r="249" spans="14:16" x14ac:dyDescent="0.25">
      <c r="N249" t="s">
        <v>1025</v>
      </c>
      <c r="O249" t="s">
        <v>248</v>
      </c>
    </row>
    <row r="250" spans="14:16" x14ac:dyDescent="0.25">
      <c r="N250" t="s">
        <v>961</v>
      </c>
      <c r="O250" t="s">
        <v>723</v>
      </c>
      <c r="P250" t="s">
        <v>248</v>
      </c>
    </row>
    <row r="251" spans="14:16" x14ac:dyDescent="0.25">
      <c r="N251" t="s">
        <v>962</v>
      </c>
      <c r="O251" t="s">
        <v>723</v>
      </c>
      <c r="P251" t="s">
        <v>248</v>
      </c>
    </row>
    <row r="252" spans="14:16" x14ac:dyDescent="0.25">
      <c r="N252" t="s">
        <v>963</v>
      </c>
      <c r="O252" t="s">
        <v>723</v>
      </c>
      <c r="P252" t="s">
        <v>248</v>
      </c>
    </row>
    <row r="253" spans="14:16" x14ac:dyDescent="0.25">
      <c r="N253" t="s">
        <v>964</v>
      </c>
      <c r="O253" t="s">
        <v>723</v>
      </c>
      <c r="P253" t="s">
        <v>248</v>
      </c>
    </row>
    <row r="254" spans="14:16" x14ac:dyDescent="0.25">
      <c r="N254" t="s">
        <v>965</v>
      </c>
      <c r="O254" t="s">
        <v>723</v>
      </c>
      <c r="P254" t="s">
        <v>248</v>
      </c>
    </row>
    <row r="255" spans="14:16" x14ac:dyDescent="0.25">
      <c r="N255" t="s">
        <v>966</v>
      </c>
      <c r="O255" t="s">
        <v>723</v>
      </c>
      <c r="P255" t="s">
        <v>248</v>
      </c>
    </row>
    <row r="256" spans="14:16" x14ac:dyDescent="0.25">
      <c r="N256" t="s">
        <v>967</v>
      </c>
      <c r="O256" t="s">
        <v>723</v>
      </c>
      <c r="P256" t="s">
        <v>248</v>
      </c>
    </row>
    <row r="257" spans="14:16" x14ac:dyDescent="0.25">
      <c r="N257" t="s">
        <v>968</v>
      </c>
      <c r="O257" t="s">
        <v>723</v>
      </c>
      <c r="P257" t="s">
        <v>248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006F-D6C1-4A79-9AD6-04BA7688E7AF}">
  <sheetPr codeName="Sheet11"/>
  <dimension ref="A1:G404"/>
  <sheetViews>
    <sheetView topLeftCell="A378" workbookViewId="0">
      <selection activeCell="F386" sqref="F386:F404"/>
    </sheetView>
  </sheetViews>
  <sheetFormatPr defaultRowHeight="15" x14ac:dyDescent="0.25"/>
  <cols>
    <col min="1" max="1" width="22.85546875" bestFit="1" customWidth="1"/>
    <col min="2" max="2" width="48.28515625" bestFit="1" customWidth="1"/>
    <col min="6" max="6" width="39" bestFit="1" customWidth="1"/>
  </cols>
  <sheetData>
    <row r="1" spans="1:2" x14ac:dyDescent="0.25">
      <c r="A1" t="s">
        <v>2097</v>
      </c>
      <c r="B1" t="s">
        <v>288</v>
      </c>
    </row>
    <row r="2" spans="1:2" x14ac:dyDescent="0.25">
      <c r="A2" t="s">
        <v>2097</v>
      </c>
      <c r="B2" t="s">
        <v>289</v>
      </c>
    </row>
    <row r="3" spans="1:2" x14ac:dyDescent="0.25">
      <c r="A3" t="s">
        <v>2097</v>
      </c>
      <c r="B3" t="s">
        <v>290</v>
      </c>
    </row>
    <row r="4" spans="1:2" x14ac:dyDescent="0.25">
      <c r="A4" t="s">
        <v>2097</v>
      </c>
      <c r="B4" t="s">
        <v>291</v>
      </c>
    </row>
    <row r="5" spans="1:2" x14ac:dyDescent="0.25">
      <c r="A5" t="s">
        <v>2097</v>
      </c>
      <c r="B5" t="s">
        <v>292</v>
      </c>
    </row>
    <row r="6" spans="1:2" x14ac:dyDescent="0.25">
      <c r="A6" t="s">
        <v>2097</v>
      </c>
      <c r="B6" t="s">
        <v>293</v>
      </c>
    </row>
    <row r="7" spans="1:2" x14ac:dyDescent="0.25">
      <c r="A7" t="s">
        <v>2097</v>
      </c>
      <c r="B7" t="s">
        <v>294</v>
      </c>
    </row>
    <row r="8" spans="1:2" x14ac:dyDescent="0.25">
      <c r="A8" t="s">
        <v>2097</v>
      </c>
      <c r="B8" t="s">
        <v>295</v>
      </c>
    </row>
    <row r="9" spans="1:2" x14ac:dyDescent="0.25">
      <c r="A9" t="s">
        <v>2097</v>
      </c>
      <c r="B9" t="s">
        <v>296</v>
      </c>
    </row>
    <row r="10" spans="1:2" x14ac:dyDescent="0.25">
      <c r="A10" t="s">
        <v>2097</v>
      </c>
      <c r="B10" t="s">
        <v>297</v>
      </c>
    </row>
    <row r="11" spans="1:2" x14ac:dyDescent="0.25">
      <c r="A11" t="s">
        <v>2097</v>
      </c>
      <c r="B11" t="s">
        <v>299</v>
      </c>
    </row>
    <row r="12" spans="1:2" x14ac:dyDescent="0.25">
      <c r="A12" t="s">
        <v>2097</v>
      </c>
      <c r="B12" t="s">
        <v>300</v>
      </c>
    </row>
    <row r="13" spans="1:2" x14ac:dyDescent="0.25">
      <c r="A13" t="s">
        <v>2097</v>
      </c>
      <c r="B13" t="s">
        <v>301</v>
      </c>
    </row>
    <row r="14" spans="1:2" x14ac:dyDescent="0.25">
      <c r="A14" t="s">
        <v>2097</v>
      </c>
      <c r="B14" t="s">
        <v>302</v>
      </c>
    </row>
    <row r="15" spans="1:2" x14ac:dyDescent="0.25">
      <c r="A15" t="s">
        <v>2097</v>
      </c>
      <c r="B15" t="s">
        <v>304</v>
      </c>
    </row>
    <row r="16" spans="1:2" x14ac:dyDescent="0.25">
      <c r="A16" t="s">
        <v>2097</v>
      </c>
      <c r="B16" t="s">
        <v>306</v>
      </c>
    </row>
    <row r="17" spans="1:2" x14ac:dyDescent="0.25">
      <c r="A17" t="s">
        <v>2097</v>
      </c>
      <c r="B17" t="s">
        <v>308</v>
      </c>
    </row>
    <row r="18" spans="1:2" x14ac:dyDescent="0.25">
      <c r="A18" t="s">
        <v>2097</v>
      </c>
      <c r="B18" t="s">
        <v>310</v>
      </c>
    </row>
    <row r="19" spans="1:2" x14ac:dyDescent="0.25">
      <c r="A19" t="s">
        <v>2097</v>
      </c>
      <c r="B19" t="s">
        <v>311</v>
      </c>
    </row>
    <row r="20" spans="1:2" x14ac:dyDescent="0.25">
      <c r="A20" t="s">
        <v>2097</v>
      </c>
      <c r="B20" t="s">
        <v>313</v>
      </c>
    </row>
    <row r="21" spans="1:2" x14ac:dyDescent="0.25">
      <c r="A21" t="s">
        <v>2097</v>
      </c>
      <c r="B21" t="s">
        <v>314</v>
      </c>
    </row>
    <row r="22" spans="1:2" x14ac:dyDescent="0.25">
      <c r="A22" t="s">
        <v>2097</v>
      </c>
      <c r="B22" t="s">
        <v>316</v>
      </c>
    </row>
    <row r="23" spans="1:2" x14ac:dyDescent="0.25">
      <c r="A23" t="s">
        <v>2097</v>
      </c>
      <c r="B23" t="s">
        <v>317</v>
      </c>
    </row>
    <row r="24" spans="1:2" x14ac:dyDescent="0.25">
      <c r="A24" t="s">
        <v>2097</v>
      </c>
      <c r="B24" t="s">
        <v>318</v>
      </c>
    </row>
    <row r="25" spans="1:2" x14ac:dyDescent="0.25">
      <c r="A25" t="s">
        <v>2097</v>
      </c>
      <c r="B25" t="s">
        <v>319</v>
      </c>
    </row>
    <row r="26" spans="1:2" x14ac:dyDescent="0.25">
      <c r="A26" t="s">
        <v>2097</v>
      </c>
      <c r="B26" t="s">
        <v>321</v>
      </c>
    </row>
    <row r="27" spans="1:2" x14ac:dyDescent="0.25">
      <c r="A27" t="s">
        <v>2097</v>
      </c>
      <c r="B27" t="s">
        <v>322</v>
      </c>
    </row>
    <row r="28" spans="1:2" x14ac:dyDescent="0.25">
      <c r="A28" t="s">
        <v>2097</v>
      </c>
      <c r="B28" t="s">
        <v>323</v>
      </c>
    </row>
    <row r="29" spans="1:2" x14ac:dyDescent="0.25">
      <c r="A29" t="s">
        <v>2097</v>
      </c>
      <c r="B29" t="s">
        <v>324</v>
      </c>
    </row>
    <row r="30" spans="1:2" x14ac:dyDescent="0.25">
      <c r="A30" t="s">
        <v>2097</v>
      </c>
      <c r="B30" t="s">
        <v>325</v>
      </c>
    </row>
    <row r="31" spans="1:2" x14ac:dyDescent="0.25">
      <c r="A31" t="s">
        <v>2097</v>
      </c>
      <c r="B31" t="s">
        <v>326</v>
      </c>
    </row>
    <row r="32" spans="1:2" x14ac:dyDescent="0.25">
      <c r="A32" t="s">
        <v>2097</v>
      </c>
      <c r="B32" t="s">
        <v>327</v>
      </c>
    </row>
    <row r="33" spans="1:2" x14ac:dyDescent="0.25">
      <c r="A33" t="s">
        <v>2097</v>
      </c>
      <c r="B33" t="s">
        <v>328</v>
      </c>
    </row>
    <row r="34" spans="1:2" x14ac:dyDescent="0.25">
      <c r="A34" t="s">
        <v>2097</v>
      </c>
      <c r="B34" t="s">
        <v>329</v>
      </c>
    </row>
    <row r="35" spans="1:2" x14ac:dyDescent="0.25">
      <c r="A35" t="s">
        <v>2097</v>
      </c>
      <c r="B35" t="s">
        <v>330</v>
      </c>
    </row>
    <row r="36" spans="1:2" x14ac:dyDescent="0.25">
      <c r="A36" t="s">
        <v>2097</v>
      </c>
      <c r="B36" t="s">
        <v>332</v>
      </c>
    </row>
    <row r="37" spans="1:2" x14ac:dyDescent="0.25">
      <c r="A37" t="s">
        <v>2097</v>
      </c>
      <c r="B37" t="s">
        <v>333</v>
      </c>
    </row>
    <row r="38" spans="1:2" x14ac:dyDescent="0.25">
      <c r="A38" t="s">
        <v>2097</v>
      </c>
      <c r="B38" t="s">
        <v>335</v>
      </c>
    </row>
    <row r="39" spans="1:2" x14ac:dyDescent="0.25">
      <c r="A39" t="s">
        <v>2097</v>
      </c>
      <c r="B39" t="s">
        <v>337</v>
      </c>
    </row>
    <row r="40" spans="1:2" x14ac:dyDescent="0.25">
      <c r="A40" t="s">
        <v>2097</v>
      </c>
      <c r="B40" t="s">
        <v>338</v>
      </c>
    </row>
    <row r="41" spans="1:2" x14ac:dyDescent="0.25">
      <c r="A41" t="s">
        <v>2097</v>
      </c>
      <c r="B41" t="s">
        <v>339</v>
      </c>
    </row>
    <row r="42" spans="1:2" x14ac:dyDescent="0.25">
      <c r="A42" t="s">
        <v>2097</v>
      </c>
      <c r="B42" t="s">
        <v>340</v>
      </c>
    </row>
    <row r="43" spans="1:2" x14ac:dyDescent="0.25">
      <c r="A43" t="s">
        <v>2097</v>
      </c>
      <c r="B43" t="s">
        <v>341</v>
      </c>
    </row>
    <row r="44" spans="1:2" x14ac:dyDescent="0.25">
      <c r="A44" t="s">
        <v>2097</v>
      </c>
      <c r="B44" t="s">
        <v>343</v>
      </c>
    </row>
    <row r="45" spans="1:2" x14ac:dyDescent="0.25">
      <c r="A45" t="s">
        <v>2097</v>
      </c>
      <c r="B45" t="s">
        <v>344</v>
      </c>
    </row>
    <row r="46" spans="1:2" x14ac:dyDescent="0.25">
      <c r="A46" t="s">
        <v>2097</v>
      </c>
      <c r="B46" t="s">
        <v>345</v>
      </c>
    </row>
    <row r="47" spans="1:2" x14ac:dyDescent="0.25">
      <c r="A47" t="s">
        <v>2097</v>
      </c>
      <c r="B47" t="s">
        <v>347</v>
      </c>
    </row>
    <row r="48" spans="1:2" x14ac:dyDescent="0.25">
      <c r="A48" t="s">
        <v>2097</v>
      </c>
      <c r="B48" t="s">
        <v>348</v>
      </c>
    </row>
    <row r="49" spans="1:2" x14ac:dyDescent="0.25">
      <c r="A49" t="s">
        <v>2097</v>
      </c>
      <c r="B49" t="s">
        <v>730</v>
      </c>
    </row>
    <row r="50" spans="1:2" x14ac:dyDescent="0.25">
      <c r="A50" t="s">
        <v>2097</v>
      </c>
      <c r="B50" t="s">
        <v>731</v>
      </c>
    </row>
    <row r="51" spans="1:2" x14ac:dyDescent="0.25">
      <c r="A51" t="s">
        <v>2097</v>
      </c>
      <c r="B51" t="s">
        <v>732</v>
      </c>
    </row>
    <row r="52" spans="1:2" x14ac:dyDescent="0.25">
      <c r="A52" t="s">
        <v>2097</v>
      </c>
      <c r="B52" t="s">
        <v>429</v>
      </c>
    </row>
    <row r="53" spans="1:2" x14ac:dyDescent="0.25">
      <c r="A53" t="s">
        <v>2097</v>
      </c>
      <c r="B53" t="s">
        <v>433</v>
      </c>
    </row>
    <row r="54" spans="1:2" x14ac:dyDescent="0.25">
      <c r="A54" t="s">
        <v>2097</v>
      </c>
      <c r="B54" t="s">
        <v>435</v>
      </c>
    </row>
    <row r="55" spans="1:2" x14ac:dyDescent="0.25">
      <c r="A55" t="s">
        <v>2097</v>
      </c>
      <c r="B55" t="s">
        <v>436</v>
      </c>
    </row>
    <row r="56" spans="1:2" x14ac:dyDescent="0.25">
      <c r="A56" t="s">
        <v>2097</v>
      </c>
      <c r="B56" t="s">
        <v>437</v>
      </c>
    </row>
    <row r="57" spans="1:2" x14ac:dyDescent="0.25">
      <c r="A57" t="s">
        <v>2097</v>
      </c>
      <c r="B57" t="s">
        <v>441</v>
      </c>
    </row>
    <row r="58" spans="1:2" x14ac:dyDescent="0.25">
      <c r="A58" t="s">
        <v>2097</v>
      </c>
      <c r="B58" t="s">
        <v>445</v>
      </c>
    </row>
    <row r="59" spans="1:2" x14ac:dyDescent="0.25">
      <c r="A59" t="s">
        <v>2097</v>
      </c>
      <c r="B59" t="s">
        <v>447</v>
      </c>
    </row>
    <row r="60" spans="1:2" x14ac:dyDescent="0.25">
      <c r="A60" t="s">
        <v>2097</v>
      </c>
      <c r="B60" t="s">
        <v>448</v>
      </c>
    </row>
    <row r="61" spans="1:2" x14ac:dyDescent="0.25">
      <c r="A61" t="s">
        <v>2097</v>
      </c>
      <c r="B61" t="s">
        <v>449</v>
      </c>
    </row>
    <row r="62" spans="1:2" x14ac:dyDescent="0.25">
      <c r="A62" t="s">
        <v>2097</v>
      </c>
      <c r="B62" t="s">
        <v>450</v>
      </c>
    </row>
    <row r="63" spans="1:2" x14ac:dyDescent="0.25">
      <c r="A63" t="s">
        <v>2097</v>
      </c>
      <c r="B63" t="s">
        <v>451</v>
      </c>
    </row>
    <row r="64" spans="1:2" x14ac:dyDescent="0.25">
      <c r="A64" t="s">
        <v>2097</v>
      </c>
      <c r="B64" t="s">
        <v>452</v>
      </c>
    </row>
    <row r="65" spans="1:2" x14ac:dyDescent="0.25">
      <c r="A65" t="s">
        <v>2097</v>
      </c>
      <c r="B65" t="s">
        <v>453</v>
      </c>
    </row>
    <row r="66" spans="1:2" x14ac:dyDescent="0.25">
      <c r="A66" t="s">
        <v>2097</v>
      </c>
      <c r="B66" t="s">
        <v>454</v>
      </c>
    </row>
    <row r="67" spans="1:2" x14ac:dyDescent="0.25">
      <c r="A67" t="s">
        <v>2097</v>
      </c>
      <c r="B67" t="s">
        <v>455</v>
      </c>
    </row>
    <row r="68" spans="1:2" x14ac:dyDescent="0.25">
      <c r="A68" t="s">
        <v>2097</v>
      </c>
      <c r="B68" t="s">
        <v>456</v>
      </c>
    </row>
    <row r="69" spans="1:2" x14ac:dyDescent="0.25">
      <c r="A69" t="s">
        <v>2097</v>
      </c>
      <c r="B69" t="s">
        <v>457</v>
      </c>
    </row>
    <row r="70" spans="1:2" x14ac:dyDescent="0.25">
      <c r="A70" t="s">
        <v>2097</v>
      </c>
      <c r="B70" t="s">
        <v>458</v>
      </c>
    </row>
    <row r="71" spans="1:2" x14ac:dyDescent="0.25">
      <c r="A71" t="s">
        <v>2097</v>
      </c>
      <c r="B71" t="s">
        <v>459</v>
      </c>
    </row>
    <row r="72" spans="1:2" x14ac:dyDescent="0.25">
      <c r="A72" t="s">
        <v>2097</v>
      </c>
      <c r="B72" t="s">
        <v>460</v>
      </c>
    </row>
    <row r="73" spans="1:2" x14ac:dyDescent="0.25">
      <c r="A73" t="s">
        <v>2097</v>
      </c>
      <c r="B73" t="s">
        <v>461</v>
      </c>
    </row>
    <row r="74" spans="1:2" x14ac:dyDescent="0.25">
      <c r="A74" t="s">
        <v>2097</v>
      </c>
      <c r="B74" t="s">
        <v>462</v>
      </c>
    </row>
    <row r="75" spans="1:2" x14ac:dyDescent="0.25">
      <c r="A75" t="s">
        <v>2097</v>
      </c>
      <c r="B75" t="s">
        <v>463</v>
      </c>
    </row>
    <row r="76" spans="1:2" x14ac:dyDescent="0.25">
      <c r="A76" t="s">
        <v>2097</v>
      </c>
      <c r="B76" t="s">
        <v>464</v>
      </c>
    </row>
    <row r="77" spans="1:2" x14ac:dyDescent="0.25">
      <c r="A77" t="s">
        <v>2097</v>
      </c>
      <c r="B77" t="s">
        <v>465</v>
      </c>
    </row>
    <row r="78" spans="1:2" x14ac:dyDescent="0.25">
      <c r="A78" t="s">
        <v>2097</v>
      </c>
      <c r="B78" t="s">
        <v>466</v>
      </c>
    </row>
    <row r="79" spans="1:2" x14ac:dyDescent="0.25">
      <c r="A79" t="s">
        <v>2097</v>
      </c>
      <c r="B79" t="s">
        <v>467</v>
      </c>
    </row>
    <row r="80" spans="1:2" x14ac:dyDescent="0.25">
      <c r="A80" t="s">
        <v>2097</v>
      </c>
      <c r="B80" t="s">
        <v>468</v>
      </c>
    </row>
    <row r="81" spans="1:2" x14ac:dyDescent="0.25">
      <c r="A81" t="s">
        <v>2097</v>
      </c>
      <c r="B81" t="s">
        <v>469</v>
      </c>
    </row>
    <row r="82" spans="1:2" x14ac:dyDescent="0.25">
      <c r="A82" t="s">
        <v>2097</v>
      </c>
      <c r="B82" t="s">
        <v>470</v>
      </c>
    </row>
    <row r="83" spans="1:2" x14ac:dyDescent="0.25">
      <c r="A83" t="s">
        <v>2097</v>
      </c>
      <c r="B83" t="s">
        <v>471</v>
      </c>
    </row>
    <row r="84" spans="1:2" x14ac:dyDescent="0.25">
      <c r="A84" t="s">
        <v>2097</v>
      </c>
      <c r="B84" t="s">
        <v>472</v>
      </c>
    </row>
    <row r="85" spans="1:2" x14ac:dyDescent="0.25">
      <c r="A85" t="s">
        <v>2097</v>
      </c>
      <c r="B85" t="s">
        <v>473</v>
      </c>
    </row>
    <row r="86" spans="1:2" x14ac:dyDescent="0.25">
      <c r="A86" t="s">
        <v>2097</v>
      </c>
      <c r="B86" t="s">
        <v>474</v>
      </c>
    </row>
    <row r="87" spans="1:2" x14ac:dyDescent="0.25">
      <c r="A87" t="s">
        <v>2097</v>
      </c>
      <c r="B87" t="s">
        <v>475</v>
      </c>
    </row>
    <row r="88" spans="1:2" x14ac:dyDescent="0.25">
      <c r="A88" t="s">
        <v>2097</v>
      </c>
      <c r="B88" t="s">
        <v>476</v>
      </c>
    </row>
    <row r="89" spans="1:2" x14ac:dyDescent="0.25">
      <c r="A89" t="s">
        <v>2097</v>
      </c>
      <c r="B89" t="s">
        <v>477</v>
      </c>
    </row>
    <row r="90" spans="1:2" x14ac:dyDescent="0.25">
      <c r="A90" t="s">
        <v>2097</v>
      </c>
      <c r="B90" t="s">
        <v>478</v>
      </c>
    </row>
    <row r="91" spans="1:2" x14ac:dyDescent="0.25">
      <c r="A91" t="s">
        <v>2097</v>
      </c>
      <c r="B91" t="s">
        <v>479</v>
      </c>
    </row>
    <row r="92" spans="1:2" x14ac:dyDescent="0.25">
      <c r="A92" t="s">
        <v>2097</v>
      </c>
      <c r="B92" t="s">
        <v>480</v>
      </c>
    </row>
    <row r="93" spans="1:2" x14ac:dyDescent="0.25">
      <c r="A93" t="s">
        <v>2097</v>
      </c>
      <c r="B93" t="s">
        <v>481</v>
      </c>
    </row>
    <row r="94" spans="1:2" x14ac:dyDescent="0.25">
      <c r="A94" t="s">
        <v>2097</v>
      </c>
      <c r="B94" t="s">
        <v>482</v>
      </c>
    </row>
    <row r="95" spans="1:2" x14ac:dyDescent="0.25">
      <c r="A95" t="s">
        <v>2097</v>
      </c>
      <c r="B95" t="s">
        <v>483</v>
      </c>
    </row>
    <row r="96" spans="1:2" x14ac:dyDescent="0.25">
      <c r="A96" t="s">
        <v>2097</v>
      </c>
      <c r="B96" t="s">
        <v>484</v>
      </c>
    </row>
    <row r="97" spans="1:2" x14ac:dyDescent="0.25">
      <c r="A97" t="s">
        <v>2097</v>
      </c>
      <c r="B97" t="s">
        <v>485</v>
      </c>
    </row>
    <row r="98" spans="1:2" x14ac:dyDescent="0.25">
      <c r="A98" t="s">
        <v>2097</v>
      </c>
      <c r="B98" t="s">
        <v>486</v>
      </c>
    </row>
    <row r="99" spans="1:2" x14ac:dyDescent="0.25">
      <c r="A99" t="s">
        <v>2097</v>
      </c>
      <c r="B99" t="s">
        <v>487</v>
      </c>
    </row>
    <row r="100" spans="1:2" x14ac:dyDescent="0.25">
      <c r="A100" t="s">
        <v>2097</v>
      </c>
      <c r="B100" t="s">
        <v>488</v>
      </c>
    </row>
    <row r="101" spans="1:2" x14ac:dyDescent="0.25">
      <c r="A101" t="s">
        <v>2097</v>
      </c>
      <c r="B101" t="s">
        <v>489</v>
      </c>
    </row>
    <row r="102" spans="1:2" x14ac:dyDescent="0.25">
      <c r="A102" t="s">
        <v>2097</v>
      </c>
      <c r="B102" t="s">
        <v>490</v>
      </c>
    </row>
    <row r="103" spans="1:2" x14ac:dyDescent="0.25">
      <c r="A103" t="s">
        <v>2097</v>
      </c>
      <c r="B103" t="s">
        <v>491</v>
      </c>
    </row>
    <row r="104" spans="1:2" x14ac:dyDescent="0.25">
      <c r="A104" t="s">
        <v>2097</v>
      </c>
      <c r="B104" t="s">
        <v>492</v>
      </c>
    </row>
    <row r="105" spans="1:2" x14ac:dyDescent="0.25">
      <c r="A105" t="s">
        <v>2097</v>
      </c>
      <c r="B105" t="s">
        <v>493</v>
      </c>
    </row>
    <row r="106" spans="1:2" x14ac:dyDescent="0.25">
      <c r="A106" t="s">
        <v>2097</v>
      </c>
      <c r="B106" t="s">
        <v>494</v>
      </c>
    </row>
    <row r="107" spans="1:2" x14ac:dyDescent="0.25">
      <c r="A107" t="s">
        <v>2097</v>
      </c>
      <c r="B107" t="s">
        <v>495</v>
      </c>
    </row>
    <row r="108" spans="1:2" x14ac:dyDescent="0.25">
      <c r="A108" t="s">
        <v>2097</v>
      </c>
      <c r="B108" t="s">
        <v>496</v>
      </c>
    </row>
    <row r="109" spans="1:2" x14ac:dyDescent="0.25">
      <c r="A109" t="s">
        <v>2097</v>
      </c>
      <c r="B109" t="s">
        <v>497</v>
      </c>
    </row>
    <row r="110" spans="1:2" x14ac:dyDescent="0.25">
      <c r="A110" t="s">
        <v>2097</v>
      </c>
      <c r="B110" t="s">
        <v>498</v>
      </c>
    </row>
    <row r="111" spans="1:2" x14ac:dyDescent="0.25">
      <c r="A111" t="s">
        <v>2097</v>
      </c>
      <c r="B111" t="s">
        <v>499</v>
      </c>
    </row>
    <row r="112" spans="1:2" x14ac:dyDescent="0.25">
      <c r="A112" t="s">
        <v>2097</v>
      </c>
      <c r="B112" t="s">
        <v>500</v>
      </c>
    </row>
    <row r="113" spans="1:2" x14ac:dyDescent="0.25">
      <c r="A113" t="s">
        <v>2097</v>
      </c>
      <c r="B113" t="s">
        <v>501</v>
      </c>
    </row>
    <row r="114" spans="1:2" x14ac:dyDescent="0.25">
      <c r="A114" t="s">
        <v>2097</v>
      </c>
      <c r="B114" t="s">
        <v>502</v>
      </c>
    </row>
    <row r="115" spans="1:2" x14ac:dyDescent="0.25">
      <c r="A115" t="s">
        <v>2097</v>
      </c>
      <c r="B115" t="s">
        <v>503</v>
      </c>
    </row>
    <row r="116" spans="1:2" x14ac:dyDescent="0.25">
      <c r="A116" t="s">
        <v>2097</v>
      </c>
      <c r="B116" t="s">
        <v>504</v>
      </c>
    </row>
    <row r="117" spans="1:2" x14ac:dyDescent="0.25">
      <c r="A117" t="s">
        <v>2097</v>
      </c>
      <c r="B117" t="s">
        <v>505</v>
      </c>
    </row>
    <row r="118" spans="1:2" x14ac:dyDescent="0.25">
      <c r="A118" t="s">
        <v>2097</v>
      </c>
      <c r="B118" t="s">
        <v>506</v>
      </c>
    </row>
    <row r="119" spans="1:2" x14ac:dyDescent="0.25">
      <c r="A119" t="s">
        <v>2097</v>
      </c>
      <c r="B119" t="s">
        <v>507</v>
      </c>
    </row>
    <row r="120" spans="1:2" x14ac:dyDescent="0.25">
      <c r="A120" t="s">
        <v>2097</v>
      </c>
      <c r="B120" t="s">
        <v>508</v>
      </c>
    </row>
    <row r="121" spans="1:2" x14ac:dyDescent="0.25">
      <c r="A121" t="s">
        <v>2097</v>
      </c>
      <c r="B121" t="s">
        <v>509</v>
      </c>
    </row>
    <row r="122" spans="1:2" x14ac:dyDescent="0.25">
      <c r="A122" t="s">
        <v>2097</v>
      </c>
      <c r="B122" t="s">
        <v>510</v>
      </c>
    </row>
    <row r="123" spans="1:2" x14ac:dyDescent="0.25">
      <c r="A123" t="s">
        <v>2097</v>
      </c>
      <c r="B123" t="s">
        <v>511</v>
      </c>
    </row>
    <row r="124" spans="1:2" x14ac:dyDescent="0.25">
      <c r="A124" t="s">
        <v>2097</v>
      </c>
      <c r="B124" t="s">
        <v>512</v>
      </c>
    </row>
    <row r="125" spans="1:2" x14ac:dyDescent="0.25">
      <c r="A125" t="s">
        <v>2097</v>
      </c>
      <c r="B125" t="s">
        <v>513</v>
      </c>
    </row>
    <row r="126" spans="1:2" x14ac:dyDescent="0.25">
      <c r="A126" t="s">
        <v>2097</v>
      </c>
      <c r="B126" t="s">
        <v>514</v>
      </c>
    </row>
    <row r="127" spans="1:2" x14ac:dyDescent="0.25">
      <c r="A127" t="s">
        <v>2097</v>
      </c>
      <c r="B127" t="s">
        <v>516</v>
      </c>
    </row>
    <row r="128" spans="1:2" x14ac:dyDescent="0.25">
      <c r="A128" t="s">
        <v>2097</v>
      </c>
      <c r="B128" t="s">
        <v>517</v>
      </c>
    </row>
    <row r="129" spans="1:2" x14ac:dyDescent="0.25">
      <c r="A129" t="s">
        <v>2097</v>
      </c>
      <c r="B129" t="s">
        <v>518</v>
      </c>
    </row>
    <row r="130" spans="1:2" x14ac:dyDescent="0.25">
      <c r="A130" t="s">
        <v>2097</v>
      </c>
      <c r="B130" t="s">
        <v>519</v>
      </c>
    </row>
    <row r="131" spans="1:2" x14ac:dyDescent="0.25">
      <c r="A131" t="s">
        <v>2097</v>
      </c>
      <c r="B131" t="s">
        <v>520</v>
      </c>
    </row>
    <row r="132" spans="1:2" x14ac:dyDescent="0.25">
      <c r="A132" t="s">
        <v>2097</v>
      </c>
      <c r="B132" t="s">
        <v>521</v>
      </c>
    </row>
    <row r="133" spans="1:2" x14ac:dyDescent="0.25">
      <c r="A133" t="s">
        <v>2097</v>
      </c>
      <c r="B133" t="s">
        <v>522</v>
      </c>
    </row>
    <row r="134" spans="1:2" x14ac:dyDescent="0.25">
      <c r="A134" t="s">
        <v>2097</v>
      </c>
      <c r="B134" t="s">
        <v>523</v>
      </c>
    </row>
    <row r="135" spans="1:2" x14ac:dyDescent="0.25">
      <c r="A135" t="s">
        <v>2097</v>
      </c>
      <c r="B135" t="s">
        <v>524</v>
      </c>
    </row>
    <row r="136" spans="1:2" x14ac:dyDescent="0.25">
      <c r="A136" t="s">
        <v>2097</v>
      </c>
      <c r="B136" t="s">
        <v>525</v>
      </c>
    </row>
    <row r="137" spans="1:2" x14ac:dyDescent="0.25">
      <c r="A137" t="s">
        <v>2097</v>
      </c>
      <c r="B137" t="s">
        <v>526</v>
      </c>
    </row>
    <row r="138" spans="1:2" x14ac:dyDescent="0.25">
      <c r="A138" t="s">
        <v>2097</v>
      </c>
      <c r="B138" t="s">
        <v>527</v>
      </c>
    </row>
    <row r="139" spans="1:2" x14ac:dyDescent="0.25">
      <c r="A139" t="s">
        <v>2097</v>
      </c>
      <c r="B139" t="s">
        <v>528</v>
      </c>
    </row>
    <row r="140" spans="1:2" x14ac:dyDescent="0.25">
      <c r="A140" t="s">
        <v>2097</v>
      </c>
      <c r="B140" t="s">
        <v>529</v>
      </c>
    </row>
    <row r="141" spans="1:2" x14ac:dyDescent="0.25">
      <c r="A141" t="s">
        <v>2097</v>
      </c>
      <c r="B141" t="s">
        <v>530</v>
      </c>
    </row>
    <row r="142" spans="1:2" x14ac:dyDescent="0.25">
      <c r="A142" t="s">
        <v>2097</v>
      </c>
      <c r="B142" t="s">
        <v>531</v>
      </c>
    </row>
    <row r="143" spans="1:2" x14ac:dyDescent="0.25">
      <c r="A143" t="s">
        <v>2097</v>
      </c>
      <c r="B143" t="s">
        <v>532</v>
      </c>
    </row>
    <row r="144" spans="1:2" x14ac:dyDescent="0.25">
      <c r="A144" t="s">
        <v>2097</v>
      </c>
      <c r="B144" t="s">
        <v>533</v>
      </c>
    </row>
    <row r="145" spans="1:2" x14ac:dyDescent="0.25">
      <c r="A145" t="s">
        <v>2097</v>
      </c>
      <c r="B145" t="s">
        <v>534</v>
      </c>
    </row>
    <row r="146" spans="1:2" x14ac:dyDescent="0.25">
      <c r="A146" t="s">
        <v>2097</v>
      </c>
      <c r="B146" t="s">
        <v>535</v>
      </c>
    </row>
    <row r="147" spans="1:2" x14ac:dyDescent="0.25">
      <c r="A147" t="s">
        <v>2097</v>
      </c>
      <c r="B147" t="s">
        <v>536</v>
      </c>
    </row>
    <row r="148" spans="1:2" x14ac:dyDescent="0.25">
      <c r="A148" t="s">
        <v>2097</v>
      </c>
      <c r="B148" t="s">
        <v>538</v>
      </c>
    </row>
    <row r="149" spans="1:2" x14ac:dyDescent="0.25">
      <c r="A149" t="s">
        <v>2097</v>
      </c>
      <c r="B149" t="s">
        <v>539</v>
      </c>
    </row>
    <row r="150" spans="1:2" x14ac:dyDescent="0.25">
      <c r="A150" t="s">
        <v>2097</v>
      </c>
      <c r="B150" t="s">
        <v>540</v>
      </c>
    </row>
    <row r="151" spans="1:2" x14ac:dyDescent="0.25">
      <c r="A151" t="s">
        <v>2097</v>
      </c>
      <c r="B151" t="s">
        <v>541</v>
      </c>
    </row>
    <row r="152" spans="1:2" x14ac:dyDescent="0.25">
      <c r="A152" t="s">
        <v>2097</v>
      </c>
      <c r="B152" t="s">
        <v>542</v>
      </c>
    </row>
    <row r="153" spans="1:2" x14ac:dyDescent="0.25">
      <c r="A153" t="s">
        <v>2097</v>
      </c>
      <c r="B153" t="s">
        <v>543</v>
      </c>
    </row>
    <row r="154" spans="1:2" x14ac:dyDescent="0.25">
      <c r="A154" t="s">
        <v>2097</v>
      </c>
      <c r="B154" t="s">
        <v>544</v>
      </c>
    </row>
    <row r="155" spans="1:2" x14ac:dyDescent="0.25">
      <c r="A155" t="s">
        <v>2097</v>
      </c>
      <c r="B155" t="s">
        <v>545</v>
      </c>
    </row>
    <row r="156" spans="1:2" x14ac:dyDescent="0.25">
      <c r="A156" t="s">
        <v>2097</v>
      </c>
      <c r="B156" t="s">
        <v>547</v>
      </c>
    </row>
    <row r="157" spans="1:2" x14ac:dyDescent="0.25">
      <c r="A157" t="s">
        <v>2097</v>
      </c>
      <c r="B157" t="s">
        <v>548</v>
      </c>
    </row>
    <row r="158" spans="1:2" x14ac:dyDescent="0.25">
      <c r="A158" t="s">
        <v>2097</v>
      </c>
      <c r="B158" t="s">
        <v>549</v>
      </c>
    </row>
    <row r="159" spans="1:2" x14ac:dyDescent="0.25">
      <c r="A159" t="s">
        <v>2097</v>
      </c>
      <c r="B159" t="s">
        <v>550</v>
      </c>
    </row>
    <row r="160" spans="1:2" x14ac:dyDescent="0.25">
      <c r="A160" t="s">
        <v>2097</v>
      </c>
      <c r="B160" t="s">
        <v>552</v>
      </c>
    </row>
    <row r="161" spans="1:2" x14ac:dyDescent="0.25">
      <c r="A161" t="s">
        <v>2097</v>
      </c>
      <c r="B161" t="s">
        <v>553</v>
      </c>
    </row>
    <row r="162" spans="1:2" x14ac:dyDescent="0.25">
      <c r="A162" t="s">
        <v>2097</v>
      </c>
      <c r="B162" t="s">
        <v>554</v>
      </c>
    </row>
    <row r="163" spans="1:2" x14ac:dyDescent="0.25">
      <c r="A163" t="s">
        <v>2097</v>
      </c>
      <c r="B163" t="s">
        <v>555</v>
      </c>
    </row>
    <row r="164" spans="1:2" x14ac:dyDescent="0.25">
      <c r="A164" t="s">
        <v>2097</v>
      </c>
      <c r="B164" t="s">
        <v>556</v>
      </c>
    </row>
    <row r="165" spans="1:2" x14ac:dyDescent="0.25">
      <c r="A165" t="s">
        <v>2097</v>
      </c>
      <c r="B165" t="s">
        <v>557</v>
      </c>
    </row>
    <row r="166" spans="1:2" x14ac:dyDescent="0.25">
      <c r="A166" t="s">
        <v>2097</v>
      </c>
      <c r="B166" t="s">
        <v>558</v>
      </c>
    </row>
    <row r="167" spans="1:2" x14ac:dyDescent="0.25">
      <c r="A167" t="s">
        <v>2097</v>
      </c>
      <c r="B167" t="s">
        <v>559</v>
      </c>
    </row>
    <row r="168" spans="1:2" x14ac:dyDescent="0.25">
      <c r="A168" t="s">
        <v>2097</v>
      </c>
      <c r="B168" t="s">
        <v>560</v>
      </c>
    </row>
    <row r="169" spans="1:2" x14ac:dyDescent="0.25">
      <c r="A169" t="s">
        <v>2097</v>
      </c>
      <c r="B169" t="s">
        <v>561</v>
      </c>
    </row>
    <row r="170" spans="1:2" x14ac:dyDescent="0.25">
      <c r="A170" t="s">
        <v>2097</v>
      </c>
      <c r="B170" t="s">
        <v>562</v>
      </c>
    </row>
    <row r="171" spans="1:2" x14ac:dyDescent="0.25">
      <c r="A171" t="s">
        <v>2097</v>
      </c>
      <c r="B171" t="s">
        <v>563</v>
      </c>
    </row>
    <row r="172" spans="1:2" x14ac:dyDescent="0.25">
      <c r="A172" t="s">
        <v>2097</v>
      </c>
      <c r="B172" t="s">
        <v>564</v>
      </c>
    </row>
    <row r="173" spans="1:2" x14ac:dyDescent="0.25">
      <c r="A173" t="s">
        <v>2097</v>
      </c>
      <c r="B173" t="s">
        <v>565</v>
      </c>
    </row>
    <row r="174" spans="1:2" x14ac:dyDescent="0.25">
      <c r="A174" t="s">
        <v>2097</v>
      </c>
      <c r="B174" t="s">
        <v>566</v>
      </c>
    </row>
    <row r="175" spans="1:2" x14ac:dyDescent="0.25">
      <c r="A175" t="s">
        <v>2097</v>
      </c>
      <c r="B175" t="s">
        <v>567</v>
      </c>
    </row>
    <row r="176" spans="1:2" x14ac:dyDescent="0.25">
      <c r="A176" t="s">
        <v>2097</v>
      </c>
      <c r="B176" t="s">
        <v>568</v>
      </c>
    </row>
    <row r="177" spans="1:2" x14ac:dyDescent="0.25">
      <c r="A177" t="s">
        <v>2097</v>
      </c>
      <c r="B177" t="s">
        <v>569</v>
      </c>
    </row>
    <row r="178" spans="1:2" x14ac:dyDescent="0.25">
      <c r="A178" t="s">
        <v>2097</v>
      </c>
      <c r="B178" t="s">
        <v>570</v>
      </c>
    </row>
    <row r="179" spans="1:2" x14ac:dyDescent="0.25">
      <c r="A179" t="s">
        <v>2097</v>
      </c>
      <c r="B179" t="s">
        <v>571</v>
      </c>
    </row>
    <row r="180" spans="1:2" x14ac:dyDescent="0.25">
      <c r="A180" t="s">
        <v>2097</v>
      </c>
      <c r="B180" t="s">
        <v>572</v>
      </c>
    </row>
    <row r="181" spans="1:2" x14ac:dyDescent="0.25">
      <c r="A181" t="s">
        <v>2097</v>
      </c>
      <c r="B181" t="s">
        <v>573</v>
      </c>
    </row>
    <row r="182" spans="1:2" x14ac:dyDescent="0.25">
      <c r="A182" t="s">
        <v>2097</v>
      </c>
      <c r="B182" t="s">
        <v>733</v>
      </c>
    </row>
    <row r="183" spans="1:2" x14ac:dyDescent="0.25">
      <c r="A183" t="s">
        <v>2097</v>
      </c>
      <c r="B183" t="s">
        <v>734</v>
      </c>
    </row>
    <row r="184" spans="1:2" x14ac:dyDescent="0.25">
      <c r="A184" t="s">
        <v>2097</v>
      </c>
      <c r="B184" t="s">
        <v>735</v>
      </c>
    </row>
    <row r="185" spans="1:2" x14ac:dyDescent="0.25">
      <c r="A185" t="s">
        <v>2097</v>
      </c>
      <c r="B185" t="s">
        <v>736</v>
      </c>
    </row>
    <row r="186" spans="1:2" x14ac:dyDescent="0.25">
      <c r="A186" t="s">
        <v>2097</v>
      </c>
      <c r="B186" t="s">
        <v>737</v>
      </c>
    </row>
    <row r="187" spans="1:2" x14ac:dyDescent="0.25">
      <c r="A187" t="s">
        <v>2097</v>
      </c>
      <c r="B187" t="s">
        <v>738</v>
      </c>
    </row>
    <row r="188" spans="1:2" x14ac:dyDescent="0.25">
      <c r="A188" t="s">
        <v>2097</v>
      </c>
      <c r="B188" t="s">
        <v>739</v>
      </c>
    </row>
    <row r="189" spans="1:2" x14ac:dyDescent="0.25">
      <c r="A189" t="s">
        <v>2097</v>
      </c>
      <c r="B189" t="s">
        <v>740</v>
      </c>
    </row>
    <row r="190" spans="1:2" x14ac:dyDescent="0.25">
      <c r="A190" t="s">
        <v>2097</v>
      </c>
      <c r="B190" t="s">
        <v>741</v>
      </c>
    </row>
    <row r="191" spans="1:2" x14ac:dyDescent="0.25">
      <c r="A191" t="s">
        <v>2097</v>
      </c>
      <c r="B191" t="s">
        <v>742</v>
      </c>
    </row>
    <row r="192" spans="1:2" x14ac:dyDescent="0.25">
      <c r="A192" t="s">
        <v>2097</v>
      </c>
      <c r="B192" t="s">
        <v>743</v>
      </c>
    </row>
    <row r="193" spans="1:2" x14ac:dyDescent="0.25">
      <c r="A193" t="s">
        <v>2097</v>
      </c>
      <c r="B193" t="s">
        <v>744</v>
      </c>
    </row>
    <row r="194" spans="1:2" x14ac:dyDescent="0.25">
      <c r="A194" t="s">
        <v>2097</v>
      </c>
      <c r="B194" t="s">
        <v>745</v>
      </c>
    </row>
    <row r="195" spans="1:2" x14ac:dyDescent="0.25">
      <c r="A195" t="s">
        <v>2097</v>
      </c>
      <c r="B195" t="s">
        <v>746</v>
      </c>
    </row>
    <row r="196" spans="1:2" x14ac:dyDescent="0.25">
      <c r="A196" t="s">
        <v>2097</v>
      </c>
      <c r="B196" t="s">
        <v>630</v>
      </c>
    </row>
    <row r="197" spans="1:2" x14ac:dyDescent="0.25">
      <c r="A197" t="s">
        <v>2097</v>
      </c>
      <c r="B197" t="s">
        <v>631</v>
      </c>
    </row>
    <row r="198" spans="1:2" x14ac:dyDescent="0.25">
      <c r="A198" t="s">
        <v>2097</v>
      </c>
      <c r="B198" t="s">
        <v>632</v>
      </c>
    </row>
    <row r="199" spans="1:2" x14ac:dyDescent="0.25">
      <c r="A199" t="s">
        <v>2097</v>
      </c>
      <c r="B199" t="s">
        <v>633</v>
      </c>
    </row>
    <row r="200" spans="1:2" x14ac:dyDescent="0.25">
      <c r="A200" t="s">
        <v>2097</v>
      </c>
      <c r="B200" t="s">
        <v>634</v>
      </c>
    </row>
    <row r="201" spans="1:2" x14ac:dyDescent="0.25">
      <c r="A201" t="s">
        <v>2097</v>
      </c>
      <c r="B201" t="s">
        <v>635</v>
      </c>
    </row>
    <row r="202" spans="1:2" x14ac:dyDescent="0.25">
      <c r="A202" t="s">
        <v>2097</v>
      </c>
      <c r="B202" t="s">
        <v>636</v>
      </c>
    </row>
    <row r="203" spans="1:2" x14ac:dyDescent="0.25">
      <c r="A203" t="s">
        <v>2097</v>
      </c>
      <c r="B203" t="s">
        <v>637</v>
      </c>
    </row>
    <row r="204" spans="1:2" x14ac:dyDescent="0.25">
      <c r="A204" t="s">
        <v>2097</v>
      </c>
      <c r="B204" t="s">
        <v>638</v>
      </c>
    </row>
    <row r="205" spans="1:2" x14ac:dyDescent="0.25">
      <c r="A205" t="s">
        <v>2097</v>
      </c>
      <c r="B205" t="s">
        <v>639</v>
      </c>
    </row>
    <row r="206" spans="1:2" x14ac:dyDescent="0.25">
      <c r="A206" t="s">
        <v>2097</v>
      </c>
      <c r="B206" t="s">
        <v>640</v>
      </c>
    </row>
    <row r="207" spans="1:2" x14ac:dyDescent="0.25">
      <c r="A207" t="s">
        <v>2097</v>
      </c>
      <c r="B207" t="s">
        <v>641</v>
      </c>
    </row>
    <row r="208" spans="1:2" x14ac:dyDescent="0.25">
      <c r="A208" t="s">
        <v>2097</v>
      </c>
      <c r="B208" t="s">
        <v>642</v>
      </c>
    </row>
    <row r="209" spans="1:2" x14ac:dyDescent="0.25">
      <c r="A209" t="s">
        <v>2097</v>
      </c>
      <c r="B209" t="s">
        <v>643</v>
      </c>
    </row>
    <row r="210" spans="1:2" x14ac:dyDescent="0.25">
      <c r="A210" t="s">
        <v>2097</v>
      </c>
      <c r="B210" t="s">
        <v>644</v>
      </c>
    </row>
    <row r="211" spans="1:2" x14ac:dyDescent="0.25">
      <c r="A211" t="s">
        <v>2097</v>
      </c>
      <c r="B211" t="s">
        <v>645</v>
      </c>
    </row>
    <row r="212" spans="1:2" x14ac:dyDescent="0.25">
      <c r="A212" t="s">
        <v>2097</v>
      </c>
      <c r="B212" t="s">
        <v>646</v>
      </c>
    </row>
    <row r="213" spans="1:2" x14ac:dyDescent="0.25">
      <c r="A213" t="s">
        <v>2097</v>
      </c>
      <c r="B213" t="s">
        <v>647</v>
      </c>
    </row>
    <row r="214" spans="1:2" x14ac:dyDescent="0.25">
      <c r="A214" t="s">
        <v>2097</v>
      </c>
      <c r="B214" t="s">
        <v>648</v>
      </c>
    </row>
    <row r="215" spans="1:2" x14ac:dyDescent="0.25">
      <c r="A215" t="s">
        <v>2097</v>
      </c>
      <c r="B215" t="s">
        <v>649</v>
      </c>
    </row>
    <row r="216" spans="1:2" x14ac:dyDescent="0.25">
      <c r="A216" t="s">
        <v>2097</v>
      </c>
      <c r="B216" t="s">
        <v>650</v>
      </c>
    </row>
    <row r="217" spans="1:2" x14ac:dyDescent="0.25">
      <c r="A217" t="s">
        <v>2097</v>
      </c>
      <c r="B217" t="s">
        <v>747</v>
      </c>
    </row>
    <row r="218" spans="1:2" x14ac:dyDescent="0.25">
      <c r="A218" t="s">
        <v>2097</v>
      </c>
      <c r="B218" t="s">
        <v>748</v>
      </c>
    </row>
    <row r="219" spans="1:2" x14ac:dyDescent="0.25">
      <c r="A219" t="s">
        <v>2097</v>
      </c>
      <c r="B219" t="s">
        <v>749</v>
      </c>
    </row>
    <row r="220" spans="1:2" x14ac:dyDescent="0.25">
      <c r="A220" t="s">
        <v>2097</v>
      </c>
      <c r="B220" t="s">
        <v>750</v>
      </c>
    </row>
    <row r="221" spans="1:2" x14ac:dyDescent="0.25">
      <c r="A221" t="s">
        <v>2097</v>
      </c>
      <c r="B221" t="s">
        <v>751</v>
      </c>
    </row>
    <row r="222" spans="1:2" x14ac:dyDescent="0.25">
      <c r="A222" t="s">
        <v>2097</v>
      </c>
      <c r="B222" t="s">
        <v>752</v>
      </c>
    </row>
    <row r="223" spans="1:2" x14ac:dyDescent="0.25">
      <c r="A223" t="s">
        <v>2097</v>
      </c>
      <c r="B223" t="s">
        <v>753</v>
      </c>
    </row>
    <row r="224" spans="1:2" x14ac:dyDescent="0.25">
      <c r="A224" t="s">
        <v>2097</v>
      </c>
      <c r="B224" t="s">
        <v>754</v>
      </c>
    </row>
    <row r="225" spans="1:2" x14ac:dyDescent="0.25">
      <c r="A225" t="s">
        <v>2097</v>
      </c>
      <c r="B225" t="s">
        <v>755</v>
      </c>
    </row>
    <row r="226" spans="1:2" x14ac:dyDescent="0.25">
      <c r="A226" t="s">
        <v>2097</v>
      </c>
      <c r="B226" t="s">
        <v>756</v>
      </c>
    </row>
    <row r="227" spans="1:2" x14ac:dyDescent="0.25">
      <c r="A227" t="s">
        <v>2097</v>
      </c>
      <c r="B227" t="s">
        <v>757</v>
      </c>
    </row>
    <row r="228" spans="1:2" x14ac:dyDescent="0.25">
      <c r="A228" t="s">
        <v>2097</v>
      </c>
      <c r="B228" t="s">
        <v>758</v>
      </c>
    </row>
    <row r="229" spans="1:2" x14ac:dyDescent="0.25">
      <c r="A229" t="s">
        <v>2097</v>
      </c>
      <c r="B229" t="s">
        <v>759</v>
      </c>
    </row>
    <row r="230" spans="1:2" x14ac:dyDescent="0.25">
      <c r="A230" t="s">
        <v>2097</v>
      </c>
      <c r="B230" t="s">
        <v>760</v>
      </c>
    </row>
    <row r="231" spans="1:2" x14ac:dyDescent="0.25">
      <c r="A231" t="s">
        <v>2097</v>
      </c>
      <c r="B231" t="s">
        <v>707</v>
      </c>
    </row>
    <row r="232" spans="1:2" x14ac:dyDescent="0.25">
      <c r="A232" t="s">
        <v>2097</v>
      </c>
      <c r="B232" t="s">
        <v>708</v>
      </c>
    </row>
    <row r="233" spans="1:2" x14ac:dyDescent="0.25">
      <c r="A233" t="s">
        <v>2097</v>
      </c>
      <c r="B233" t="s">
        <v>709</v>
      </c>
    </row>
    <row r="234" spans="1:2" x14ac:dyDescent="0.25">
      <c r="A234" t="s">
        <v>2097</v>
      </c>
      <c r="B234" t="s">
        <v>710</v>
      </c>
    </row>
    <row r="235" spans="1:2" x14ac:dyDescent="0.25">
      <c r="A235" t="s">
        <v>2097</v>
      </c>
      <c r="B235" t="s">
        <v>711</v>
      </c>
    </row>
    <row r="236" spans="1:2" x14ac:dyDescent="0.25">
      <c r="A236" t="s">
        <v>2097</v>
      </c>
      <c r="B236" t="s">
        <v>712</v>
      </c>
    </row>
    <row r="237" spans="1:2" x14ac:dyDescent="0.25">
      <c r="A237" t="s">
        <v>2097</v>
      </c>
      <c r="B237" t="s">
        <v>713</v>
      </c>
    </row>
    <row r="238" spans="1:2" x14ac:dyDescent="0.25">
      <c r="A238" t="s">
        <v>2097</v>
      </c>
      <c r="B238" t="s">
        <v>714</v>
      </c>
    </row>
    <row r="239" spans="1:2" x14ac:dyDescent="0.25">
      <c r="A239" t="s">
        <v>2097</v>
      </c>
      <c r="B239" t="s">
        <v>715</v>
      </c>
    </row>
    <row r="240" spans="1:2" x14ac:dyDescent="0.25">
      <c r="A240" t="s">
        <v>2097</v>
      </c>
      <c r="B240" t="s">
        <v>716</v>
      </c>
    </row>
    <row r="241" spans="1:2" x14ac:dyDescent="0.25">
      <c r="A241" t="s">
        <v>2097</v>
      </c>
      <c r="B241" t="s">
        <v>717</v>
      </c>
    </row>
    <row r="242" spans="1:2" x14ac:dyDescent="0.25">
      <c r="A242" t="s">
        <v>2097</v>
      </c>
      <c r="B242" t="s">
        <v>718</v>
      </c>
    </row>
    <row r="243" spans="1:2" x14ac:dyDescent="0.25">
      <c r="A243" t="s">
        <v>2097</v>
      </c>
      <c r="B243" t="s">
        <v>719</v>
      </c>
    </row>
    <row r="244" spans="1:2" x14ac:dyDescent="0.25">
      <c r="A244" t="s">
        <v>2097</v>
      </c>
      <c r="B244" t="s">
        <v>720</v>
      </c>
    </row>
    <row r="245" spans="1:2" x14ac:dyDescent="0.25">
      <c r="A245" t="s">
        <v>2097</v>
      </c>
      <c r="B245" t="s">
        <v>721</v>
      </c>
    </row>
    <row r="246" spans="1:2" x14ac:dyDescent="0.25">
      <c r="A246" t="s">
        <v>2097</v>
      </c>
      <c r="B246" t="s">
        <v>349</v>
      </c>
    </row>
    <row r="247" spans="1:2" x14ac:dyDescent="0.25">
      <c r="A247" t="s">
        <v>2097</v>
      </c>
      <c r="B247" t="s">
        <v>353</v>
      </c>
    </row>
    <row r="248" spans="1:2" x14ac:dyDescent="0.25">
      <c r="A248" t="s">
        <v>2097</v>
      </c>
      <c r="B248" t="s">
        <v>357</v>
      </c>
    </row>
    <row r="249" spans="1:2" x14ac:dyDescent="0.25">
      <c r="A249" t="s">
        <v>2097</v>
      </c>
      <c r="B249" t="s">
        <v>361</v>
      </c>
    </row>
    <row r="250" spans="1:2" x14ac:dyDescent="0.25">
      <c r="A250" t="s">
        <v>2097</v>
      </c>
      <c r="B250" t="s">
        <v>365</v>
      </c>
    </row>
    <row r="251" spans="1:2" x14ac:dyDescent="0.25">
      <c r="A251" t="s">
        <v>2097</v>
      </c>
      <c r="B251" t="s">
        <v>369</v>
      </c>
    </row>
    <row r="252" spans="1:2" x14ac:dyDescent="0.25">
      <c r="A252" t="s">
        <v>2097</v>
      </c>
      <c r="B252" t="s">
        <v>373</v>
      </c>
    </row>
    <row r="253" spans="1:2" x14ac:dyDescent="0.25">
      <c r="A253" t="s">
        <v>2097</v>
      </c>
      <c r="B253" t="s">
        <v>377</v>
      </c>
    </row>
    <row r="254" spans="1:2" x14ac:dyDescent="0.25">
      <c r="A254" t="s">
        <v>2097</v>
      </c>
      <c r="B254" t="s">
        <v>381</v>
      </c>
    </row>
    <row r="255" spans="1:2" x14ac:dyDescent="0.25">
      <c r="A255" t="s">
        <v>2097</v>
      </c>
      <c r="B255" t="s">
        <v>385</v>
      </c>
    </row>
    <row r="256" spans="1:2" x14ac:dyDescent="0.25">
      <c r="A256" t="s">
        <v>2097</v>
      </c>
      <c r="B256" t="s">
        <v>389</v>
      </c>
    </row>
    <row r="257" spans="1:2" x14ac:dyDescent="0.25">
      <c r="A257" t="s">
        <v>2097</v>
      </c>
      <c r="B257" t="s">
        <v>393</v>
      </c>
    </row>
    <row r="258" spans="1:2" x14ac:dyDescent="0.25">
      <c r="A258" t="s">
        <v>2097</v>
      </c>
      <c r="B258" t="s">
        <v>397</v>
      </c>
    </row>
    <row r="259" spans="1:2" x14ac:dyDescent="0.25">
      <c r="A259" t="s">
        <v>2097</v>
      </c>
      <c r="B259" t="s">
        <v>401</v>
      </c>
    </row>
    <row r="260" spans="1:2" x14ac:dyDescent="0.25">
      <c r="A260" t="s">
        <v>2097</v>
      </c>
      <c r="B260" t="s">
        <v>405</v>
      </c>
    </row>
    <row r="261" spans="1:2" x14ac:dyDescent="0.25">
      <c r="A261" t="s">
        <v>2097</v>
      </c>
      <c r="B261" t="s">
        <v>409</v>
      </c>
    </row>
    <row r="262" spans="1:2" x14ac:dyDescent="0.25">
      <c r="A262" t="s">
        <v>2097</v>
      </c>
      <c r="B262" t="s">
        <v>413</v>
      </c>
    </row>
    <row r="263" spans="1:2" x14ac:dyDescent="0.25">
      <c r="A263" t="s">
        <v>2097</v>
      </c>
      <c r="B263" t="s">
        <v>417</v>
      </c>
    </row>
    <row r="264" spans="1:2" x14ac:dyDescent="0.25">
      <c r="A264" t="s">
        <v>2097</v>
      </c>
      <c r="B264" t="s">
        <v>421</v>
      </c>
    </row>
    <row r="265" spans="1:2" x14ac:dyDescent="0.25">
      <c r="A265" t="s">
        <v>2097</v>
      </c>
      <c r="B265" t="s">
        <v>425</v>
      </c>
    </row>
    <row r="266" spans="1:2" x14ac:dyDescent="0.25">
      <c r="A266" t="s">
        <v>2097</v>
      </c>
      <c r="B266" t="s">
        <v>426</v>
      </c>
    </row>
    <row r="267" spans="1:2" x14ac:dyDescent="0.25">
      <c r="A267" t="s">
        <v>2097</v>
      </c>
      <c r="B267" t="s">
        <v>427</v>
      </c>
    </row>
    <row r="268" spans="1:2" x14ac:dyDescent="0.25">
      <c r="A268" t="s">
        <v>2097</v>
      </c>
      <c r="B268" t="s">
        <v>428</v>
      </c>
    </row>
    <row r="269" spans="1:2" x14ac:dyDescent="0.25">
      <c r="A269" t="s">
        <v>2097</v>
      </c>
      <c r="B269" t="s">
        <v>430</v>
      </c>
    </row>
    <row r="270" spans="1:2" x14ac:dyDescent="0.25">
      <c r="A270" t="s">
        <v>2097</v>
      </c>
      <c r="B270" t="s">
        <v>431</v>
      </c>
    </row>
    <row r="271" spans="1:2" x14ac:dyDescent="0.25">
      <c r="A271" t="s">
        <v>2097</v>
      </c>
      <c r="B271" t="s">
        <v>432</v>
      </c>
    </row>
    <row r="272" spans="1:2" x14ac:dyDescent="0.25">
      <c r="A272" t="s">
        <v>2097</v>
      </c>
      <c r="B272" t="s">
        <v>438</v>
      </c>
    </row>
    <row r="273" spans="1:2" x14ac:dyDescent="0.25">
      <c r="A273" t="s">
        <v>2097</v>
      </c>
      <c r="B273" t="s">
        <v>439</v>
      </c>
    </row>
    <row r="274" spans="1:2" x14ac:dyDescent="0.25">
      <c r="A274" t="s">
        <v>2097</v>
      </c>
      <c r="B274" t="s">
        <v>440</v>
      </c>
    </row>
    <row r="275" spans="1:2" x14ac:dyDescent="0.25">
      <c r="A275" t="s">
        <v>2097</v>
      </c>
      <c r="B275" t="s">
        <v>442</v>
      </c>
    </row>
    <row r="276" spans="1:2" x14ac:dyDescent="0.25">
      <c r="A276" t="s">
        <v>2097</v>
      </c>
      <c r="B276" t="s">
        <v>443</v>
      </c>
    </row>
    <row r="277" spans="1:2" x14ac:dyDescent="0.25">
      <c r="A277" t="s">
        <v>2097</v>
      </c>
      <c r="B277" t="s">
        <v>444</v>
      </c>
    </row>
    <row r="278" spans="1:2" x14ac:dyDescent="0.25">
      <c r="A278" t="s">
        <v>2097</v>
      </c>
      <c r="B278" t="s">
        <v>574</v>
      </c>
    </row>
    <row r="279" spans="1:2" x14ac:dyDescent="0.25">
      <c r="A279" t="s">
        <v>2097</v>
      </c>
      <c r="B279" t="s">
        <v>575</v>
      </c>
    </row>
    <row r="280" spans="1:2" x14ac:dyDescent="0.25">
      <c r="A280" t="s">
        <v>2097</v>
      </c>
      <c r="B280" t="s">
        <v>576</v>
      </c>
    </row>
    <row r="281" spans="1:2" x14ac:dyDescent="0.25">
      <c r="A281" t="s">
        <v>2097</v>
      </c>
      <c r="B281" t="s">
        <v>577</v>
      </c>
    </row>
    <row r="282" spans="1:2" x14ac:dyDescent="0.25">
      <c r="A282" t="s">
        <v>2097</v>
      </c>
      <c r="B282" t="s">
        <v>578</v>
      </c>
    </row>
    <row r="283" spans="1:2" x14ac:dyDescent="0.25">
      <c r="A283" t="s">
        <v>2097</v>
      </c>
      <c r="B283" t="s">
        <v>579</v>
      </c>
    </row>
    <row r="284" spans="1:2" x14ac:dyDescent="0.25">
      <c r="A284" t="s">
        <v>2097</v>
      </c>
      <c r="B284" t="s">
        <v>580</v>
      </c>
    </row>
    <row r="285" spans="1:2" x14ac:dyDescent="0.25">
      <c r="A285" t="s">
        <v>2097</v>
      </c>
      <c r="B285" t="s">
        <v>581</v>
      </c>
    </row>
    <row r="286" spans="1:2" x14ac:dyDescent="0.25">
      <c r="A286" t="s">
        <v>2097</v>
      </c>
      <c r="B286" t="s">
        <v>582</v>
      </c>
    </row>
    <row r="287" spans="1:2" x14ac:dyDescent="0.25">
      <c r="A287" t="s">
        <v>2097</v>
      </c>
      <c r="B287" t="s">
        <v>583</v>
      </c>
    </row>
    <row r="288" spans="1:2" x14ac:dyDescent="0.25">
      <c r="A288" t="s">
        <v>2097</v>
      </c>
      <c r="B288" t="s">
        <v>584</v>
      </c>
    </row>
    <row r="289" spans="1:2" x14ac:dyDescent="0.25">
      <c r="A289" t="s">
        <v>2097</v>
      </c>
      <c r="B289" t="s">
        <v>585</v>
      </c>
    </row>
    <row r="290" spans="1:2" x14ac:dyDescent="0.25">
      <c r="A290" t="s">
        <v>2097</v>
      </c>
      <c r="B290" t="s">
        <v>586</v>
      </c>
    </row>
    <row r="291" spans="1:2" x14ac:dyDescent="0.25">
      <c r="A291" t="s">
        <v>2097</v>
      </c>
      <c r="B291" t="s">
        <v>587</v>
      </c>
    </row>
    <row r="292" spans="1:2" x14ac:dyDescent="0.25">
      <c r="A292" t="s">
        <v>2097</v>
      </c>
      <c r="B292" t="s">
        <v>588</v>
      </c>
    </row>
    <row r="293" spans="1:2" x14ac:dyDescent="0.25">
      <c r="A293" t="s">
        <v>2097</v>
      </c>
      <c r="B293" t="s">
        <v>589</v>
      </c>
    </row>
    <row r="294" spans="1:2" x14ac:dyDescent="0.25">
      <c r="A294" t="s">
        <v>2097</v>
      </c>
      <c r="B294" t="s">
        <v>590</v>
      </c>
    </row>
    <row r="295" spans="1:2" x14ac:dyDescent="0.25">
      <c r="A295" t="s">
        <v>2097</v>
      </c>
      <c r="B295" t="s">
        <v>591</v>
      </c>
    </row>
    <row r="296" spans="1:2" x14ac:dyDescent="0.25">
      <c r="A296" t="s">
        <v>2097</v>
      </c>
      <c r="B296" t="s">
        <v>592</v>
      </c>
    </row>
    <row r="297" spans="1:2" x14ac:dyDescent="0.25">
      <c r="A297" t="s">
        <v>2097</v>
      </c>
      <c r="B297" t="s">
        <v>593</v>
      </c>
    </row>
    <row r="298" spans="1:2" x14ac:dyDescent="0.25">
      <c r="A298" t="s">
        <v>2097</v>
      </c>
      <c r="B298" t="s">
        <v>594</v>
      </c>
    </row>
    <row r="299" spans="1:2" x14ac:dyDescent="0.25">
      <c r="A299" t="s">
        <v>2097</v>
      </c>
      <c r="B299" t="s">
        <v>595</v>
      </c>
    </row>
    <row r="300" spans="1:2" x14ac:dyDescent="0.25">
      <c r="A300" t="s">
        <v>2097</v>
      </c>
      <c r="B300" t="s">
        <v>596</v>
      </c>
    </row>
    <row r="301" spans="1:2" x14ac:dyDescent="0.25">
      <c r="A301" t="s">
        <v>2097</v>
      </c>
      <c r="B301" t="s">
        <v>597</v>
      </c>
    </row>
    <row r="302" spans="1:2" x14ac:dyDescent="0.25">
      <c r="A302" t="s">
        <v>2097</v>
      </c>
      <c r="B302" t="s">
        <v>598</v>
      </c>
    </row>
    <row r="303" spans="1:2" x14ac:dyDescent="0.25">
      <c r="A303" t="s">
        <v>2097</v>
      </c>
      <c r="B303" t="s">
        <v>599</v>
      </c>
    </row>
    <row r="304" spans="1:2" x14ac:dyDescent="0.25">
      <c r="A304" t="s">
        <v>2097</v>
      </c>
      <c r="B304" t="s">
        <v>600</v>
      </c>
    </row>
    <row r="305" spans="1:2" x14ac:dyDescent="0.25">
      <c r="A305" t="s">
        <v>2097</v>
      </c>
      <c r="B305" t="s">
        <v>601</v>
      </c>
    </row>
    <row r="306" spans="1:2" x14ac:dyDescent="0.25">
      <c r="A306" t="s">
        <v>2097</v>
      </c>
      <c r="B306" t="s">
        <v>602</v>
      </c>
    </row>
    <row r="307" spans="1:2" x14ac:dyDescent="0.25">
      <c r="A307" t="s">
        <v>2097</v>
      </c>
      <c r="B307" t="s">
        <v>603</v>
      </c>
    </row>
    <row r="308" spans="1:2" x14ac:dyDescent="0.25">
      <c r="A308" t="s">
        <v>2097</v>
      </c>
      <c r="B308" t="s">
        <v>604</v>
      </c>
    </row>
    <row r="309" spans="1:2" x14ac:dyDescent="0.25">
      <c r="A309" t="s">
        <v>2097</v>
      </c>
      <c r="B309" t="s">
        <v>605</v>
      </c>
    </row>
    <row r="310" spans="1:2" x14ac:dyDescent="0.25">
      <c r="A310" t="s">
        <v>2097</v>
      </c>
      <c r="B310" t="s">
        <v>606</v>
      </c>
    </row>
    <row r="311" spans="1:2" x14ac:dyDescent="0.25">
      <c r="A311" t="s">
        <v>2097</v>
      </c>
      <c r="B311" t="s">
        <v>607</v>
      </c>
    </row>
    <row r="312" spans="1:2" x14ac:dyDescent="0.25">
      <c r="A312" t="s">
        <v>2097</v>
      </c>
      <c r="B312" t="s">
        <v>608</v>
      </c>
    </row>
    <row r="313" spans="1:2" x14ac:dyDescent="0.25">
      <c r="A313" t="s">
        <v>2097</v>
      </c>
      <c r="B313" t="s">
        <v>609</v>
      </c>
    </row>
    <row r="314" spans="1:2" x14ac:dyDescent="0.25">
      <c r="A314" t="s">
        <v>2097</v>
      </c>
      <c r="B314" t="s">
        <v>610</v>
      </c>
    </row>
    <row r="315" spans="1:2" x14ac:dyDescent="0.25">
      <c r="A315" t="s">
        <v>2097</v>
      </c>
      <c r="B315" t="s">
        <v>611</v>
      </c>
    </row>
    <row r="316" spans="1:2" x14ac:dyDescent="0.25">
      <c r="A316" t="s">
        <v>2097</v>
      </c>
      <c r="B316" t="s">
        <v>612</v>
      </c>
    </row>
    <row r="317" spans="1:2" x14ac:dyDescent="0.25">
      <c r="A317" t="s">
        <v>2097</v>
      </c>
      <c r="B317" t="s">
        <v>613</v>
      </c>
    </row>
    <row r="318" spans="1:2" x14ac:dyDescent="0.25">
      <c r="A318" t="s">
        <v>2097</v>
      </c>
      <c r="B318" t="s">
        <v>614</v>
      </c>
    </row>
    <row r="319" spans="1:2" x14ac:dyDescent="0.25">
      <c r="A319" t="s">
        <v>2097</v>
      </c>
      <c r="B319" t="s">
        <v>615</v>
      </c>
    </row>
    <row r="320" spans="1:2" x14ac:dyDescent="0.25">
      <c r="A320" t="s">
        <v>2097</v>
      </c>
      <c r="B320" t="s">
        <v>616</v>
      </c>
    </row>
    <row r="321" spans="1:2" x14ac:dyDescent="0.25">
      <c r="A321" t="s">
        <v>2097</v>
      </c>
      <c r="B321" t="s">
        <v>617</v>
      </c>
    </row>
    <row r="322" spans="1:2" x14ac:dyDescent="0.25">
      <c r="A322" t="s">
        <v>2097</v>
      </c>
      <c r="B322" t="s">
        <v>618</v>
      </c>
    </row>
    <row r="323" spans="1:2" x14ac:dyDescent="0.25">
      <c r="A323" t="s">
        <v>2097</v>
      </c>
      <c r="B323" t="s">
        <v>619</v>
      </c>
    </row>
    <row r="324" spans="1:2" x14ac:dyDescent="0.25">
      <c r="A324" t="s">
        <v>2097</v>
      </c>
      <c r="B324" t="s">
        <v>620</v>
      </c>
    </row>
    <row r="325" spans="1:2" x14ac:dyDescent="0.25">
      <c r="A325" t="s">
        <v>2097</v>
      </c>
      <c r="B325" t="s">
        <v>621</v>
      </c>
    </row>
    <row r="326" spans="1:2" x14ac:dyDescent="0.25">
      <c r="A326" t="s">
        <v>2097</v>
      </c>
      <c r="B326" t="s">
        <v>622</v>
      </c>
    </row>
    <row r="327" spans="1:2" x14ac:dyDescent="0.25">
      <c r="A327" t="s">
        <v>2097</v>
      </c>
      <c r="B327" t="s">
        <v>623</v>
      </c>
    </row>
    <row r="328" spans="1:2" x14ac:dyDescent="0.25">
      <c r="A328" t="s">
        <v>2097</v>
      </c>
      <c r="B328" t="s">
        <v>624</v>
      </c>
    </row>
    <row r="329" spans="1:2" x14ac:dyDescent="0.25">
      <c r="A329" t="s">
        <v>2097</v>
      </c>
      <c r="B329" t="s">
        <v>625</v>
      </c>
    </row>
    <row r="330" spans="1:2" x14ac:dyDescent="0.25">
      <c r="A330" t="s">
        <v>2097</v>
      </c>
      <c r="B330" t="s">
        <v>626</v>
      </c>
    </row>
    <row r="331" spans="1:2" x14ac:dyDescent="0.25">
      <c r="A331" t="s">
        <v>2097</v>
      </c>
      <c r="B331" t="s">
        <v>627</v>
      </c>
    </row>
    <row r="332" spans="1:2" x14ac:dyDescent="0.25">
      <c r="A332" t="s">
        <v>2097</v>
      </c>
      <c r="B332" t="s">
        <v>628</v>
      </c>
    </row>
    <row r="333" spans="1:2" x14ac:dyDescent="0.25">
      <c r="A333" t="s">
        <v>2097</v>
      </c>
      <c r="B333" t="s">
        <v>629</v>
      </c>
    </row>
    <row r="334" spans="1:2" x14ac:dyDescent="0.25">
      <c r="A334" t="s">
        <v>2097</v>
      </c>
      <c r="B334" t="s">
        <v>651</v>
      </c>
    </row>
    <row r="335" spans="1:2" x14ac:dyDescent="0.25">
      <c r="A335" t="s">
        <v>2097</v>
      </c>
      <c r="B335" t="s">
        <v>652</v>
      </c>
    </row>
    <row r="336" spans="1:2" x14ac:dyDescent="0.25">
      <c r="A336" t="s">
        <v>2097</v>
      </c>
      <c r="B336" t="s">
        <v>653</v>
      </c>
    </row>
    <row r="337" spans="1:2" x14ac:dyDescent="0.25">
      <c r="A337" t="s">
        <v>2097</v>
      </c>
      <c r="B337" t="s">
        <v>654</v>
      </c>
    </row>
    <row r="338" spans="1:2" x14ac:dyDescent="0.25">
      <c r="A338" t="s">
        <v>2097</v>
      </c>
      <c r="B338" t="s">
        <v>655</v>
      </c>
    </row>
    <row r="339" spans="1:2" x14ac:dyDescent="0.25">
      <c r="A339" t="s">
        <v>2097</v>
      </c>
      <c r="B339" t="s">
        <v>656</v>
      </c>
    </row>
    <row r="340" spans="1:2" x14ac:dyDescent="0.25">
      <c r="A340" t="s">
        <v>2097</v>
      </c>
      <c r="B340" t="s">
        <v>657</v>
      </c>
    </row>
    <row r="341" spans="1:2" x14ac:dyDescent="0.25">
      <c r="A341" t="s">
        <v>2097</v>
      </c>
      <c r="B341" t="s">
        <v>658</v>
      </c>
    </row>
    <row r="342" spans="1:2" x14ac:dyDescent="0.25">
      <c r="A342" t="s">
        <v>2097</v>
      </c>
      <c r="B342" t="s">
        <v>659</v>
      </c>
    </row>
    <row r="343" spans="1:2" x14ac:dyDescent="0.25">
      <c r="A343" t="s">
        <v>2097</v>
      </c>
      <c r="B343" t="s">
        <v>660</v>
      </c>
    </row>
    <row r="344" spans="1:2" x14ac:dyDescent="0.25">
      <c r="A344" t="s">
        <v>2097</v>
      </c>
      <c r="B344" t="s">
        <v>661</v>
      </c>
    </row>
    <row r="345" spans="1:2" x14ac:dyDescent="0.25">
      <c r="A345" t="s">
        <v>2097</v>
      </c>
      <c r="B345" t="s">
        <v>662</v>
      </c>
    </row>
    <row r="346" spans="1:2" x14ac:dyDescent="0.25">
      <c r="A346" t="s">
        <v>2097</v>
      </c>
      <c r="B346" t="s">
        <v>663</v>
      </c>
    </row>
    <row r="347" spans="1:2" x14ac:dyDescent="0.25">
      <c r="A347" t="s">
        <v>2097</v>
      </c>
      <c r="B347" t="s">
        <v>664</v>
      </c>
    </row>
    <row r="348" spans="1:2" x14ac:dyDescent="0.25">
      <c r="A348" t="s">
        <v>2097</v>
      </c>
      <c r="B348" t="s">
        <v>665</v>
      </c>
    </row>
    <row r="349" spans="1:2" x14ac:dyDescent="0.25">
      <c r="A349" t="s">
        <v>2097</v>
      </c>
      <c r="B349" t="s">
        <v>666</v>
      </c>
    </row>
    <row r="350" spans="1:2" x14ac:dyDescent="0.25">
      <c r="A350" t="s">
        <v>2097</v>
      </c>
      <c r="B350" t="s">
        <v>667</v>
      </c>
    </row>
    <row r="351" spans="1:2" x14ac:dyDescent="0.25">
      <c r="A351" t="s">
        <v>2097</v>
      </c>
      <c r="B351" t="s">
        <v>668</v>
      </c>
    </row>
    <row r="352" spans="1:2" x14ac:dyDescent="0.25">
      <c r="A352" t="s">
        <v>2097</v>
      </c>
      <c r="B352" t="s">
        <v>669</v>
      </c>
    </row>
    <row r="353" spans="1:2" x14ac:dyDescent="0.25">
      <c r="A353" t="s">
        <v>2097</v>
      </c>
      <c r="B353" t="s">
        <v>670</v>
      </c>
    </row>
    <row r="354" spans="1:2" x14ac:dyDescent="0.25">
      <c r="A354" t="s">
        <v>2097</v>
      </c>
      <c r="B354" t="s">
        <v>671</v>
      </c>
    </row>
    <row r="355" spans="1:2" x14ac:dyDescent="0.25">
      <c r="A355" t="s">
        <v>2097</v>
      </c>
      <c r="B355" t="s">
        <v>672</v>
      </c>
    </row>
    <row r="356" spans="1:2" x14ac:dyDescent="0.25">
      <c r="A356" t="s">
        <v>2097</v>
      </c>
      <c r="B356" t="s">
        <v>673</v>
      </c>
    </row>
    <row r="357" spans="1:2" x14ac:dyDescent="0.25">
      <c r="A357" t="s">
        <v>2097</v>
      </c>
      <c r="B357" t="s">
        <v>674</v>
      </c>
    </row>
    <row r="358" spans="1:2" x14ac:dyDescent="0.25">
      <c r="A358" t="s">
        <v>2097</v>
      </c>
      <c r="B358" t="s">
        <v>675</v>
      </c>
    </row>
    <row r="359" spans="1:2" x14ac:dyDescent="0.25">
      <c r="A359" t="s">
        <v>2097</v>
      </c>
      <c r="B359" t="s">
        <v>676</v>
      </c>
    </row>
    <row r="360" spans="1:2" x14ac:dyDescent="0.25">
      <c r="A360" t="s">
        <v>2097</v>
      </c>
      <c r="B360" t="s">
        <v>677</v>
      </c>
    </row>
    <row r="361" spans="1:2" x14ac:dyDescent="0.25">
      <c r="A361" t="s">
        <v>2097</v>
      </c>
      <c r="B361" t="s">
        <v>678</v>
      </c>
    </row>
    <row r="362" spans="1:2" x14ac:dyDescent="0.25">
      <c r="A362" t="s">
        <v>2097</v>
      </c>
      <c r="B362" t="s">
        <v>679</v>
      </c>
    </row>
    <row r="363" spans="1:2" x14ac:dyDescent="0.25">
      <c r="A363" t="s">
        <v>2097</v>
      </c>
      <c r="B363" t="s">
        <v>680</v>
      </c>
    </row>
    <row r="364" spans="1:2" x14ac:dyDescent="0.25">
      <c r="A364" t="s">
        <v>2097</v>
      </c>
      <c r="B364" t="s">
        <v>681</v>
      </c>
    </row>
    <row r="365" spans="1:2" x14ac:dyDescent="0.25">
      <c r="A365" t="s">
        <v>2097</v>
      </c>
      <c r="B365" t="s">
        <v>682</v>
      </c>
    </row>
    <row r="366" spans="1:2" x14ac:dyDescent="0.25">
      <c r="A366" t="s">
        <v>2097</v>
      </c>
      <c r="B366" t="s">
        <v>683</v>
      </c>
    </row>
    <row r="367" spans="1:2" x14ac:dyDescent="0.25">
      <c r="A367" t="s">
        <v>2097</v>
      </c>
      <c r="B367" t="s">
        <v>684</v>
      </c>
    </row>
    <row r="368" spans="1:2" x14ac:dyDescent="0.25">
      <c r="A368" t="s">
        <v>2097</v>
      </c>
      <c r="B368" t="s">
        <v>685</v>
      </c>
    </row>
    <row r="369" spans="1:2" x14ac:dyDescent="0.25">
      <c r="A369" t="s">
        <v>2097</v>
      </c>
      <c r="B369" t="s">
        <v>686</v>
      </c>
    </row>
    <row r="370" spans="1:2" x14ac:dyDescent="0.25">
      <c r="A370" t="s">
        <v>2097</v>
      </c>
      <c r="B370" t="s">
        <v>687</v>
      </c>
    </row>
    <row r="371" spans="1:2" x14ac:dyDescent="0.25">
      <c r="A371" t="s">
        <v>2097</v>
      </c>
      <c r="B371" t="s">
        <v>688</v>
      </c>
    </row>
    <row r="372" spans="1:2" x14ac:dyDescent="0.25">
      <c r="A372" t="s">
        <v>2097</v>
      </c>
      <c r="B372" t="s">
        <v>689</v>
      </c>
    </row>
    <row r="373" spans="1:2" x14ac:dyDescent="0.25">
      <c r="A373" t="s">
        <v>2097</v>
      </c>
      <c r="B373" t="s">
        <v>690</v>
      </c>
    </row>
    <row r="374" spans="1:2" x14ac:dyDescent="0.25">
      <c r="A374" t="s">
        <v>2097</v>
      </c>
      <c r="B374" t="s">
        <v>691</v>
      </c>
    </row>
    <row r="375" spans="1:2" x14ac:dyDescent="0.25">
      <c r="A375" t="s">
        <v>2097</v>
      </c>
      <c r="B375" t="s">
        <v>692</v>
      </c>
    </row>
    <row r="376" spans="1:2" x14ac:dyDescent="0.25">
      <c r="A376" t="s">
        <v>2097</v>
      </c>
      <c r="B376" t="s">
        <v>693</v>
      </c>
    </row>
    <row r="377" spans="1:2" x14ac:dyDescent="0.25">
      <c r="A377" t="s">
        <v>2097</v>
      </c>
      <c r="B377" t="s">
        <v>694</v>
      </c>
    </row>
    <row r="378" spans="1:2" x14ac:dyDescent="0.25">
      <c r="A378" t="s">
        <v>2097</v>
      </c>
      <c r="B378" t="s">
        <v>695</v>
      </c>
    </row>
    <row r="379" spans="1:2" x14ac:dyDescent="0.25">
      <c r="A379" t="s">
        <v>2097</v>
      </c>
      <c r="B379" t="s">
        <v>696</v>
      </c>
    </row>
    <row r="380" spans="1:2" x14ac:dyDescent="0.25">
      <c r="A380" t="s">
        <v>2097</v>
      </c>
      <c r="B380" t="s">
        <v>697</v>
      </c>
    </row>
    <row r="381" spans="1:2" x14ac:dyDescent="0.25">
      <c r="A381" t="s">
        <v>2097</v>
      </c>
      <c r="B381" t="s">
        <v>698</v>
      </c>
    </row>
    <row r="382" spans="1:2" x14ac:dyDescent="0.25">
      <c r="A382" t="s">
        <v>2097</v>
      </c>
      <c r="B382" t="s">
        <v>699</v>
      </c>
    </row>
    <row r="383" spans="1:2" x14ac:dyDescent="0.25">
      <c r="A383" t="s">
        <v>2097</v>
      </c>
      <c r="B383" t="s">
        <v>700</v>
      </c>
    </row>
    <row r="384" spans="1:2" x14ac:dyDescent="0.25">
      <c r="A384" t="s">
        <v>2097</v>
      </c>
      <c r="B384" t="s">
        <v>701</v>
      </c>
    </row>
    <row r="385" spans="1:7" x14ac:dyDescent="0.25">
      <c r="A385" t="s">
        <v>2097</v>
      </c>
      <c r="B385" t="s">
        <v>702</v>
      </c>
    </row>
    <row r="386" spans="1:7" x14ac:dyDescent="0.25">
      <c r="A386" t="s">
        <v>2097</v>
      </c>
      <c r="B386" t="s">
        <v>703</v>
      </c>
      <c r="F386" t="s">
        <v>351</v>
      </c>
      <c r="G386" t="e">
        <f>MATCH(F386,B:B,0)</f>
        <v>#N/A</v>
      </c>
    </row>
    <row r="387" spans="1:7" x14ac:dyDescent="0.25">
      <c r="A387" t="s">
        <v>2097</v>
      </c>
      <c r="B387" t="s">
        <v>704</v>
      </c>
      <c r="F387" t="s">
        <v>355</v>
      </c>
      <c r="G387" t="e">
        <f t="shared" ref="G387:G404" si="0">MATCH(F387,B:B,0)</f>
        <v>#N/A</v>
      </c>
    </row>
    <row r="388" spans="1:7" x14ac:dyDescent="0.25">
      <c r="A388" t="s">
        <v>2097</v>
      </c>
      <c r="B388" t="s">
        <v>705</v>
      </c>
      <c r="F388" t="s">
        <v>359</v>
      </c>
      <c r="G388" t="e">
        <f t="shared" si="0"/>
        <v>#N/A</v>
      </c>
    </row>
    <row r="389" spans="1:7" x14ac:dyDescent="0.25">
      <c r="A389" t="s">
        <v>2097</v>
      </c>
      <c r="B389" t="s">
        <v>706</v>
      </c>
      <c r="F389" t="s">
        <v>363</v>
      </c>
      <c r="G389" t="e">
        <f t="shared" si="0"/>
        <v>#N/A</v>
      </c>
    </row>
    <row r="390" spans="1:7" x14ac:dyDescent="0.25">
      <c r="A390" t="s">
        <v>2097</v>
      </c>
      <c r="B390" t="s">
        <v>2797</v>
      </c>
      <c r="F390" t="s">
        <v>367</v>
      </c>
      <c r="G390" t="e">
        <f t="shared" si="0"/>
        <v>#N/A</v>
      </c>
    </row>
    <row r="391" spans="1:7" x14ac:dyDescent="0.25">
      <c r="A391" t="s">
        <v>2097</v>
      </c>
      <c r="B391" t="s">
        <v>2798</v>
      </c>
      <c r="F391" t="s">
        <v>371</v>
      </c>
      <c r="G391" t="e">
        <f t="shared" si="0"/>
        <v>#N/A</v>
      </c>
    </row>
    <row r="392" spans="1:7" x14ac:dyDescent="0.25">
      <c r="A392" t="s">
        <v>2097</v>
      </c>
      <c r="B392" t="s">
        <v>2799</v>
      </c>
      <c r="F392" t="s">
        <v>375</v>
      </c>
      <c r="G392" t="e">
        <f t="shared" si="0"/>
        <v>#N/A</v>
      </c>
    </row>
    <row r="393" spans="1:7" x14ac:dyDescent="0.25">
      <c r="A393" t="s">
        <v>2097</v>
      </c>
      <c r="B393" t="s">
        <v>2800</v>
      </c>
      <c r="F393" t="s">
        <v>379</v>
      </c>
      <c r="G393" t="e">
        <f t="shared" si="0"/>
        <v>#N/A</v>
      </c>
    </row>
    <row r="394" spans="1:7" x14ac:dyDescent="0.25">
      <c r="F394" t="s">
        <v>383</v>
      </c>
      <c r="G394" t="e">
        <f t="shared" si="0"/>
        <v>#N/A</v>
      </c>
    </row>
    <row r="395" spans="1:7" x14ac:dyDescent="0.25">
      <c r="F395" t="s">
        <v>387</v>
      </c>
      <c r="G395" t="e">
        <f t="shared" si="0"/>
        <v>#N/A</v>
      </c>
    </row>
    <row r="396" spans="1:7" x14ac:dyDescent="0.25">
      <c r="F396" t="s">
        <v>391</v>
      </c>
      <c r="G396" t="e">
        <f t="shared" si="0"/>
        <v>#N/A</v>
      </c>
    </row>
    <row r="397" spans="1:7" x14ac:dyDescent="0.25">
      <c r="F397" t="s">
        <v>395</v>
      </c>
      <c r="G397" t="e">
        <f t="shared" si="0"/>
        <v>#N/A</v>
      </c>
    </row>
    <row r="398" spans="1:7" x14ac:dyDescent="0.25">
      <c r="F398" t="s">
        <v>399</v>
      </c>
      <c r="G398" t="e">
        <f t="shared" si="0"/>
        <v>#N/A</v>
      </c>
    </row>
    <row r="399" spans="1:7" x14ac:dyDescent="0.25">
      <c r="F399" t="s">
        <v>403</v>
      </c>
      <c r="G399" t="e">
        <f t="shared" si="0"/>
        <v>#N/A</v>
      </c>
    </row>
    <row r="400" spans="1:7" x14ac:dyDescent="0.25">
      <c r="F400" t="s">
        <v>407</v>
      </c>
      <c r="G400" t="e">
        <f t="shared" si="0"/>
        <v>#N/A</v>
      </c>
    </row>
    <row r="401" spans="6:7" x14ac:dyDescent="0.25">
      <c r="F401" t="s">
        <v>411</v>
      </c>
      <c r="G401" t="e">
        <f t="shared" si="0"/>
        <v>#N/A</v>
      </c>
    </row>
    <row r="402" spans="6:7" x14ac:dyDescent="0.25">
      <c r="F402" t="s">
        <v>415</v>
      </c>
      <c r="G402" t="e">
        <f t="shared" si="0"/>
        <v>#N/A</v>
      </c>
    </row>
    <row r="403" spans="6:7" x14ac:dyDescent="0.25">
      <c r="F403" t="s">
        <v>419</v>
      </c>
      <c r="G403" t="e">
        <f t="shared" si="0"/>
        <v>#N/A</v>
      </c>
    </row>
    <row r="404" spans="6:7" x14ac:dyDescent="0.25">
      <c r="F404" t="s">
        <v>423</v>
      </c>
      <c r="G404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Base</vt:lpstr>
      <vt:lpstr>Base 2</vt:lpstr>
      <vt:lpstr>Upper</vt:lpstr>
      <vt:lpstr>Upper 2</vt:lpstr>
      <vt:lpstr>Sheet4</vt:lpstr>
      <vt:lpstr>Base Calculated</vt:lpstr>
      <vt:lpstr>Sheet2</vt:lpstr>
      <vt:lpstr>Upper Calculated</vt:lpstr>
      <vt:lpstr>Sheet1</vt:lpstr>
      <vt:lpstr>Sheet8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Miller, Ian</dc:creator>
  <cp:lastModifiedBy>Miller, Ian</cp:lastModifiedBy>
  <dcterms:created xsi:type="dcterms:W3CDTF">2023-09-21T11:49:26Z</dcterms:created>
  <dcterms:modified xsi:type="dcterms:W3CDTF">2023-10-02T17:11:48Z</dcterms:modified>
</cp:coreProperties>
</file>
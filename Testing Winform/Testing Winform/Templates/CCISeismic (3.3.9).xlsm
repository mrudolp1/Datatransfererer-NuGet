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Users\Imiller\source\repos\Datatransferer NuGet\Testing Winform\Testing Winform\Templates\"/>
    </mc:Choice>
  </mc:AlternateContent>
  <xr:revisionPtr revIDLastSave="0" documentId="13_ncr:1_{4B2AD308-A7E9-410F-9027-A7195126BAA8}" xr6:coauthVersionLast="47" xr6:coauthVersionMax="47" xr10:uidLastSave="{00000000-0000-0000-0000-000000000000}"/>
  <bookViews>
    <workbookView xWindow="-120" yWindow="-120" windowWidth="29040" windowHeight="15990" tabRatio="602" firstSheet="1" activeTab="1" xr2:uid="{00000000-000D-0000-FFFF-FFFF00000000}"/>
  </bookViews>
  <sheets>
    <sheet name="Controls" sheetId="35" state="veryHidden" r:id="rId1"/>
    <sheet name="Site SDC Data" sheetId="2" r:id="rId2"/>
    <sheet name="Tower Data" sheetId="7" r:id="rId3"/>
    <sheet name="ASCE 7-10 Loads" sheetId="34" state="hidden" r:id="rId4"/>
    <sheet name="TIA-222-G Loads" sheetId="16" state="hidden" r:id="rId5"/>
    <sheet name="TIA-222-H Loads" sheetId="27" state="hidden" r:id="rId6"/>
    <sheet name="Reference" sheetId="3" r:id="rId7"/>
    <sheet name="TNX Import" sheetId="4" state="hidden" r:id="rId8"/>
    <sheet name="TNX Export" sheetId="22" state="hidden" r:id="rId9"/>
    <sheet name="Linear Sorting" sheetId="9" state="hidden" r:id="rId10"/>
    <sheet name="Discrete Sorting" sheetId="8" state="hidden" r:id="rId11"/>
    <sheet name="Dish Sorting" sheetId="14" state="hidden" r:id="rId12"/>
    <sheet name="Section Database" sheetId="23" state="hidden" r:id="rId13"/>
    <sheet name="Monopole Sections" sheetId="10" state="hidden" r:id="rId14"/>
    <sheet name="Lattice Sections" sheetId="18" state="hidden" r:id="rId15"/>
    <sheet name="Guys" sheetId="11" state="hidden" r:id="rId16"/>
    <sheet name="UserForce Sorting" sheetId="36" state="hidden" r:id="rId17"/>
    <sheet name="Revision History" sheetId="24" r:id="rId18"/>
    <sheet name="Import Ranges" sheetId="37" state="hidden" r:id="rId19"/>
    <sheet name="Notes" sheetId="31" r:id="rId20"/>
    <sheet name="Error Log" sheetId="28" state="hidden" r:id="rId21"/>
  </sheets>
  <functionGroups builtInGroupCount="19"/>
  <externalReferences>
    <externalReference r:id="rId22"/>
    <externalReference r:id="rId23"/>
  </externalReferences>
  <definedNames>
    <definedName name="app">'Site SDC Data'!$H$4</definedName>
    <definedName name="As">'Tower Data'!$G$11</definedName>
    <definedName name="asce_7_10_warning">'Site SDC Data'!$B$40</definedName>
    <definedName name="ASCEDiscreteWx">'ASCE 7-10 Loads'!$BD$5</definedName>
    <definedName name="ASCEDiscreteWxHxk">'ASCE 7-10 Loads'!$BE$5</definedName>
    <definedName name="ASCEGuyKg">'ASCE 7-10 Loads'!$AM$5</definedName>
    <definedName name="ASCEGuyWx">'ASCE 7-10 Loads'!$AC$5</definedName>
    <definedName name="ASCEGuyWxHxk">'ASCE 7-10 Loads'!$AE$5</definedName>
    <definedName name="ASCEHalfGuyWx">'ASCE 7-10 Loads'!$AD$5</definedName>
    <definedName name="ASCELinearWx">'ASCE 7-10 Loads'!$CF$5</definedName>
    <definedName name="ASCELinearWxHxk">'ASCE 7-10 Loads'!$CG$5</definedName>
    <definedName name="ASCESectionWx">'ASCE 7-10 Loads'!$F$5</definedName>
    <definedName name="ASCESectionWxHxk">'ASCE 7-10 Loads'!$G$5</definedName>
    <definedName name="base_shear">'Tower Data'!$G$57:$G$58</definedName>
    <definedName name="bu">'Site SDC Data'!$H$2</definedName>
    <definedName name="CCI_URL">Reference!$P$1</definedName>
    <definedName name="Cg">'Tower Data'!$G$36</definedName>
    <definedName name="codes">Reference!$J$3:$J$5</definedName>
    <definedName name="CoorX">Reference!$O$6</definedName>
    <definedName name="cs">'Tower Data'!$G$48</definedName>
    <definedName name="cs_all">'Tower Data'!$G$48:$G$56</definedName>
    <definedName name="csc">'Tower Data'!$G$55</definedName>
    <definedName name="csmax">'Tower Data'!$G$51</definedName>
    <definedName name="csmax1">'Tower Data'!$G$49</definedName>
    <definedName name="csmax2">'Tower Data'!$G$50</definedName>
    <definedName name="csmin">'Tower Data'!$G$54</definedName>
    <definedName name="csmin1">'Tower Data'!$G$52</definedName>
    <definedName name="csmin2">'Tower Data'!$G$53</definedName>
    <definedName name="D_mp">'Tower Data'!$G$19</definedName>
    <definedName name="dcode">'Site SDC Data'!$H$13</definedName>
    <definedName name="dcode_input">'Site SDC Data'!$H$13</definedName>
    <definedName name="dcodes">Reference!$M$2:$M$5</definedName>
    <definedName name="Design06">Reference!$K$1</definedName>
    <definedName name="Design09">Reference!$K$2:$L$2</definedName>
    <definedName name="Design12">Reference!$K$3</definedName>
    <definedName name="Design15">Reference!$K$4</definedName>
    <definedName name="Design18">Reference!$L$5</definedName>
    <definedName name="E">'Tower Data'!$G$22</definedName>
    <definedName name="EndRow">Reference!$Q$6</definedName>
    <definedName name="eq_lat_disc_rng">'TIA-222-G Loads'!$EA$1:$EG$1</definedName>
    <definedName name="eq_lat_lin_rng">'TIA-222-G Loads'!$FA$1:$FI$1</definedName>
    <definedName name="eq_lat_rng">'TIA-222-G Loads'!$CA$1:$FZ$1</definedName>
    <definedName name="eq_lat_twr_rng">'TIA-222-G Loads'!$CA$1:$CI$1</definedName>
    <definedName name="eq_mod">'Tower Data'!$G$41:$G$47</definedName>
    <definedName name="eq_mod_disc_rng" localSheetId="4">'TIA-222-G Loads'!$AA$1:$AI$1</definedName>
    <definedName name="eq_mod_lin_rng" localSheetId="4">'TIA-222-G Loads'!$BA$1:$BK$1</definedName>
    <definedName name="eq_mod_rng">'TIA-222-G Loads'!$A$1:$BZ$1</definedName>
    <definedName name="eq_mod_SA">'Tower Data'!$G$41:$G$42</definedName>
    <definedName name="eq_mod_twr_rng" localSheetId="4">'TIA-222-G Loads'!$A$1:$K$1</definedName>
    <definedName name="ErrHnd">Controls!$C$2</definedName>
    <definedName name="Existing_UF">Reference!$T$12</definedName>
    <definedName name="Existing_UF_Apps">Reference!$T$13</definedName>
    <definedName name="fa">'Site SDC Data'!$H$25</definedName>
    <definedName name="fa_12">Reference!$J$26</definedName>
    <definedName name="fa_18">Reference!$V$26</definedName>
    <definedName name="Fa_GT">'Tower Data'!$G$38</definedName>
    <definedName name="Fa_mp">'Tower Data'!$G$25</definedName>
    <definedName name="Fa_SS">'Tower Data'!$G$33</definedName>
    <definedName name="filename_search_keyword">'Import Ranges'!$R$1</definedName>
    <definedName name="ForceX">Reference!$O$5</definedName>
    <definedName name="fv">'Site SDC Data'!$H$26</definedName>
    <definedName name="fv_12">Reference!$J$37</definedName>
    <definedName name="fv_18">Reference!$V$37</definedName>
    <definedName name="g">'Tower Data'!$G$23</definedName>
    <definedName name="Guy_Rng" localSheetId="3">'ASCE 7-10 Loads'!$AA$1:$AH$1</definedName>
    <definedName name="Guy_Rng" localSheetId="4">'TIA-222-G Loads'!$DA$1:$DG$1</definedName>
    <definedName name="Guy_Rng" localSheetId="5">'TIA-222-H Loads'!$AA$1:$AH$1</definedName>
    <definedName name="Guy_T_Rng" localSheetId="3">'ASCE 7-10 Loads'!$AI$1:$AM$1</definedName>
    <definedName name="Guy_T_Rng" localSheetId="4">'TIA-222-G Loads'!$DH$1:$DL$1</definedName>
    <definedName name="Guy_T_Rng" localSheetId="5">'TIA-222-H Loads'!$AI$1:$AM$1</definedName>
    <definedName name="Guys_ASCE">'ASCE 7-10 Loads'!$AA$1:$AH$1</definedName>
    <definedName name="Guys_TIAG">'TIA-222-G Loads'!$DA$1:$DG$1</definedName>
    <definedName name="Guys_TIAH">'TIA-222-H Loads'!$AA$1:$AH$1</definedName>
    <definedName name="h">'Tower Data'!$G$9</definedName>
    <definedName name="Ht" localSheetId="13">[1]Monopole!$N$23</definedName>
    <definedName name="Iavg">'Tower Data'!$G$24</definedName>
    <definedName name="ie">'Site SDC Data'!$H$23</definedName>
    <definedName name="ie_auto">'Site SDC Data'!$H$23</definedName>
    <definedName name="ie_override">Reference!$S$6</definedName>
    <definedName name="ie_user">'Site SDC Data'!$H$24</definedName>
    <definedName name="imported">'Tower Data'!$G$11</definedName>
    <definedName name="k">'Tower Data'!$G$61</definedName>
    <definedName name="Kf">'Tower Data'!$G$32</definedName>
    <definedName name="Kg">'Tower Data'!$G$37</definedName>
    <definedName name="last_blank_col_tia_g">'TIA-222-G Loads'!$GA$1</definedName>
    <definedName name="lat">'Site SDC Data'!$E$8</definedName>
    <definedName name="latdeg">'Site SDC Data'!$H$8</definedName>
    <definedName name="Latitude">[2]Sheet1!$B$1</definedName>
    <definedName name="latlong">'Site SDC Data'!$H$8:$J$9</definedName>
    <definedName name="latlong_complete">'Site SDC Data'!$A$9</definedName>
    <definedName name="latlong_import">'Site SDC Data'!$A$8</definedName>
    <definedName name="latlongsign">'Site SDC Data'!$G$8:$J$9</definedName>
    <definedName name="latmin">'Site SDC Data'!$I$8</definedName>
    <definedName name="latsec">'Site SDC Data'!$J$8</definedName>
    <definedName name="latsign">'Site SDC Data'!$G$8</definedName>
    <definedName name="launchTNX">Reference!$T$10</definedName>
    <definedName name="LoadingBar">Reference!$T$14</definedName>
    <definedName name="long">'Site SDC Data'!$E$9</definedName>
    <definedName name="longdeg">'Site SDC Data'!$H$9</definedName>
    <definedName name="Longitude">[2]Sheet1!$B$2</definedName>
    <definedName name="longmin">'Site SDC Data'!$I$9</definedName>
    <definedName name="longsec">'Site SDC Data'!$J$9</definedName>
    <definedName name="longsign">'Site SDC Data'!$G$9</definedName>
    <definedName name="mp_d_override">'Tower Data'!$A$15</definedName>
    <definedName name="mp_inc">'Monopole Sections'!$D$2</definedName>
    <definedName name="MP_SumIavgL">'Monopole Sections'!$AG$5</definedName>
    <definedName name="MP_sumL">'Monopole Sections'!$D$5</definedName>
    <definedName name="MRI">[2]Sheet1!$B$3</definedName>
    <definedName name="Note_2">'Tower Data'!$A$64</definedName>
    <definedName name="NoteRow">Reference!$Q$5</definedName>
    <definedName name="ORIGINAL_TNX_DATA" localSheetId="7">'TNX Import'!$A$1:$B$6741</definedName>
    <definedName name="ORIGINAL_TNX_DATA_1" localSheetId="7">'TNX Import'!$A$1:$B$2237</definedName>
    <definedName name="ORIGINAL_TNX_DATA_10" localSheetId="7">'TNX Import'!$A$1:$B$2404</definedName>
    <definedName name="ORIGINAL_TNX_DATA_100" localSheetId="7">'TNX Import'!$A$1:$F$2237</definedName>
    <definedName name="ORIGINAL_TNX_DATA_101" localSheetId="7">'TNX Import'!$A$1:$F$2237</definedName>
    <definedName name="ORIGINAL_TNX_DATA_102" localSheetId="7">'TNX Import'!$A$1:$F$2237</definedName>
    <definedName name="ORIGINAL_TNX_DATA_103" localSheetId="7">'TNX Import'!$A$1:$F$2237</definedName>
    <definedName name="ORIGINAL_TNX_DATA_104" localSheetId="7">'TNX Import'!$A$1:$F$2237</definedName>
    <definedName name="ORIGINAL_TNX_DATA_105" localSheetId="7">'TNX Import'!$A$1:$F$2237</definedName>
    <definedName name="ORIGINAL_TNX_DATA_106" localSheetId="7">'TNX Import'!$A$1:$F$2237</definedName>
    <definedName name="ORIGINAL_TNX_DATA_107" localSheetId="7">'TNX Import'!$A$1:$F$2237</definedName>
    <definedName name="ORIGINAL_TNX_DATA_108" localSheetId="7">'TNX Import'!$A$1:$F$2237</definedName>
    <definedName name="ORIGINAL_TNX_DATA_109" localSheetId="7">'TNX Import'!$A$1:$B$2237</definedName>
    <definedName name="ORIGINAL_TNX_DATA_11" localSheetId="7">'TNX Import'!$A$1:$B$2315</definedName>
    <definedName name="ORIGINAL_TNX_DATA_110" localSheetId="7">'TNX Import'!$A$1:$F$2237</definedName>
    <definedName name="ORIGINAL_TNX_DATA_111" localSheetId="7">'TNX Import'!$A$1:$F$2237</definedName>
    <definedName name="ORIGINAL_TNX_DATA_112" localSheetId="7">'TNX Import'!$A$1:$B$2237</definedName>
    <definedName name="ORIGINAL_TNX_DATA_113" localSheetId="7">'TNX Import'!$A$1:$B$2237</definedName>
    <definedName name="ORIGINAL_TNX_DATA_114" localSheetId="7">'TNX Import'!$A$1:$B$2237</definedName>
    <definedName name="ORIGINAL_TNX_DATA_115" localSheetId="7">'TNX Import'!$A$1:$B$2237</definedName>
    <definedName name="ORIGINAL_TNX_DATA_116" localSheetId="7">'TNX Import'!$A$1:$B$2315</definedName>
    <definedName name="ORIGINAL_TNX_DATA_117" localSheetId="7">'TNX Import'!$A$1:$B$2237</definedName>
    <definedName name="ORIGINAL_TNX_DATA_118" localSheetId="7">'TNX Import'!$A$1:$B$2237</definedName>
    <definedName name="ORIGINAL_TNX_DATA_119" localSheetId="7">'TNX Import'!$A$1:$B$2237</definedName>
    <definedName name="ORIGINAL_TNX_DATA_12" localSheetId="7">'TNX Import'!$A$1:$B$2237</definedName>
    <definedName name="ORIGINAL_TNX_DATA_120" localSheetId="7">'TNX Import'!$A$1:$B$2237</definedName>
    <definedName name="ORIGINAL_TNX_DATA_121" localSheetId="7">'TNX Import'!$A$1:$B$2237</definedName>
    <definedName name="ORIGINAL_TNX_DATA_122" localSheetId="7">'TNX Import'!$A$1:$B$2237</definedName>
    <definedName name="ORIGINAL_TNX_DATA_123" localSheetId="7">'TNX Import'!$A$1:$B$2237</definedName>
    <definedName name="ORIGINAL_TNX_DATA_124" localSheetId="7">'TNX Import'!$A$1:$B$2237</definedName>
    <definedName name="ORIGINAL_TNX_DATA_125" localSheetId="7">'TNX Import'!$A$1:$B$2237</definedName>
    <definedName name="ORIGINAL_TNX_DATA_126" localSheetId="7">'TNX Import'!$A$1:$B$2237</definedName>
    <definedName name="ORIGINAL_TNX_DATA_127" localSheetId="7">'TNX Import'!$A$1:$B$2808</definedName>
    <definedName name="ORIGINAL_TNX_DATA_128" localSheetId="7">'TNX Import'!$A$1:$B$2237</definedName>
    <definedName name="ORIGINAL_TNX_DATA_129" localSheetId="7">'TNX Import'!$A$1:$B$2404</definedName>
    <definedName name="ORIGINAL_TNX_DATA_13" localSheetId="7">'TNX Import'!$A$1:$B$2237</definedName>
    <definedName name="ORIGINAL_TNX_DATA_130" localSheetId="7">'TNX Import'!$A$1:$B$2404</definedName>
    <definedName name="ORIGINAL_TNX_DATA_131" localSheetId="7">'TNX Import'!$A$1:$B$2404</definedName>
    <definedName name="ORIGINAL_TNX_DATA_132" localSheetId="7">'TNX Import'!$A$1:$B$2404</definedName>
    <definedName name="ORIGINAL_TNX_DATA_133" localSheetId="7">'TNX Import'!$A$1:$B$2404</definedName>
    <definedName name="ORIGINAL_TNX_DATA_134" localSheetId="7">'TNX Import'!$A$1:$B$2404</definedName>
    <definedName name="ORIGINAL_TNX_DATA_135" localSheetId="7">'TNX Import'!$A$1:$B$2404</definedName>
    <definedName name="ORIGINAL_TNX_DATA_136" localSheetId="7">'TNX Import'!$A$1:$B$2404</definedName>
    <definedName name="ORIGINAL_TNX_DATA_137" localSheetId="7">'TNX Import'!$A$1:$B$2404</definedName>
    <definedName name="ORIGINAL_TNX_DATA_138" localSheetId="7">'TNX Import'!$A$1:$B$2404</definedName>
    <definedName name="ORIGINAL_TNX_DATA_139" localSheetId="7">'TNX Import'!$A$1:$B$2404</definedName>
    <definedName name="ORIGINAL_TNX_DATA_14" localSheetId="7">'TNX Import'!$A$1:$B$2237</definedName>
    <definedName name="ORIGINAL_TNX_DATA_140" localSheetId="7">'TNX Import'!$A$1:$B$2404</definedName>
    <definedName name="ORIGINAL_TNX_DATA_141" localSheetId="7">'TNX Import'!$A$1:$B$2404</definedName>
    <definedName name="ORIGINAL_TNX_DATA_142" localSheetId="7">'TNX Import'!$A$1:$B$2404</definedName>
    <definedName name="ORIGINAL_TNX_DATA_143" localSheetId="7">'TNX Import'!$A$1:$B$2404</definedName>
    <definedName name="ORIGINAL_TNX_DATA_144" localSheetId="7">'TNX Import'!$A$1:$B$2404</definedName>
    <definedName name="ORIGINAL_TNX_DATA_145" localSheetId="7">'TNX Import'!$A$1:$B$2404</definedName>
    <definedName name="ORIGINAL_TNX_DATA_146" localSheetId="7">'TNX Import'!$A$1:$B$2404</definedName>
    <definedName name="ORIGINAL_TNX_DATA_147" localSheetId="7">'TNX Import'!$A$1:$B$2404</definedName>
    <definedName name="ORIGINAL_TNX_DATA_148" localSheetId="7">'TNX Import'!$A$1:$B$2404</definedName>
    <definedName name="ORIGINAL_TNX_DATA_149" localSheetId="7">'TNX Import'!$A$1:$B$2404</definedName>
    <definedName name="ORIGINAL_TNX_DATA_15" localSheetId="7">'TNX Import'!$A$1:$B$2237</definedName>
    <definedName name="ORIGINAL_TNX_DATA_150" localSheetId="7">'TNX Import'!$A$1:$B$2404</definedName>
    <definedName name="ORIGINAL_TNX_DATA_151" localSheetId="7">'TNX Import'!$A$1:$B$2404</definedName>
    <definedName name="ORIGINAL_TNX_DATA_152" localSheetId="7">'TNX Import'!$A$1:$B$2404</definedName>
    <definedName name="ORIGINAL_TNX_DATA_153" localSheetId="7">'TNX Import'!$A$1:$B$2404</definedName>
    <definedName name="ORIGINAL_TNX_DATA_154" localSheetId="7">'TNX Import'!$A$1:$F$2237</definedName>
    <definedName name="ORIGINAL_TNX_DATA_155" localSheetId="7">'TNX Import'!$A$1:$F$2237</definedName>
    <definedName name="ORIGINAL_TNX_DATA_156" localSheetId="7">'TNX Import'!$A$1:$F$2237</definedName>
    <definedName name="ORIGINAL_TNX_DATA_157" localSheetId="7">'TNX Import'!$A$1:$F$2237</definedName>
    <definedName name="ORIGINAL_TNX_DATA_158" localSheetId="7">'TNX Import'!$A$1:$F$2237</definedName>
    <definedName name="ORIGINAL_TNX_DATA_159" localSheetId="7">'TNX Import'!$A$1:$B$2237</definedName>
    <definedName name="ORIGINAL_TNX_DATA_16" localSheetId="7">'TNX Import'!$A$1:$B$2237</definedName>
    <definedName name="ORIGINAL_TNX_DATA_160" localSheetId="7">'TNX Import'!$A$1:$B$2237</definedName>
    <definedName name="ORIGINAL_TNX_DATA_161" localSheetId="7">'TNX Import'!$A$1:$B$2237</definedName>
    <definedName name="ORIGINAL_TNX_DATA_162" localSheetId="7">'TNX Import'!$A$1:$B$2237</definedName>
    <definedName name="ORIGINAL_TNX_DATA_163" localSheetId="7">'TNX Import'!$A$1:$B$2237</definedName>
    <definedName name="ORIGINAL_TNX_DATA_164" localSheetId="7">'TNX Import'!$A$1:$B$2237</definedName>
    <definedName name="ORIGINAL_TNX_DATA_165" localSheetId="7">'TNX Import'!$A$1:$B$2237</definedName>
    <definedName name="ORIGINAL_TNX_DATA_166" localSheetId="7">'TNX Import'!$A$1:$B$2237</definedName>
    <definedName name="ORIGINAL_TNX_DATA_167" localSheetId="7">'TNX Import'!$A$1:$B$2237</definedName>
    <definedName name="ORIGINAL_TNX_DATA_168" localSheetId="7">'TNX Import'!$A$1:$B$2237</definedName>
    <definedName name="ORIGINAL_TNX_DATA_169" localSheetId="7">'TNX Import'!$A$1:$F$2237</definedName>
    <definedName name="ORIGINAL_TNX_DATA_17" localSheetId="7">'TNX Import'!$A$1:$B$2237</definedName>
    <definedName name="ORIGINAL_TNX_DATA_170" localSheetId="7">'TNX Import'!$A$1:$F$2237</definedName>
    <definedName name="ORIGINAL_TNX_DATA_171" localSheetId="7">'TNX Import'!$A$1:$F$2237</definedName>
    <definedName name="ORIGINAL_TNX_DATA_172" localSheetId="7">'TNX Import'!$A$1:$B$2315</definedName>
    <definedName name="ORIGINAL_TNX_DATA_173" localSheetId="7">'TNX Import'!$A$1:$B$2315</definedName>
    <definedName name="ORIGINAL_TNX_DATA_174" localSheetId="7">'TNX Import'!$A$1:$B$2315</definedName>
    <definedName name="ORIGINAL_TNX_DATA_175" localSheetId="7">'TNX Import'!$A$1:$B$2315</definedName>
    <definedName name="ORIGINAL_TNX_DATA_176" localSheetId="7">'TNX Import'!$A$1:$B$2315</definedName>
    <definedName name="ORIGINAL_TNX_DATA_177" localSheetId="7">'TNX Import'!$A$1:$B$2315</definedName>
    <definedName name="ORIGINAL_TNX_DATA_178" localSheetId="7">'TNX Import'!$A$1:$B$2315</definedName>
    <definedName name="ORIGINAL_TNX_DATA_179" localSheetId="7">'TNX Import'!$A$1:$B$2315</definedName>
    <definedName name="ORIGINAL_TNX_DATA_18" localSheetId="7">'TNX Import'!$A$1:$B$2237</definedName>
    <definedName name="ORIGINAL_TNX_DATA_180" localSheetId="7">'TNX Import'!$A$1:$B$2315</definedName>
    <definedName name="ORIGINAL_TNX_DATA_181" localSheetId="7">'TNX Import'!$A$1:$B$2315</definedName>
    <definedName name="ORIGINAL_TNX_DATA_182" localSheetId="7">'TNX Import'!$A$1:$B$2315</definedName>
    <definedName name="ORIGINAL_TNX_DATA_183" localSheetId="7">'TNX Import'!$A$1:$B$2315</definedName>
    <definedName name="ORIGINAL_TNX_DATA_184" localSheetId="7">'TNX Import'!$A$1:$B$2315</definedName>
    <definedName name="ORIGINAL_TNX_DATA_185" localSheetId="7">'TNX Import'!$A$1:$B$2315</definedName>
    <definedName name="ORIGINAL_TNX_DATA_186" localSheetId="7">'TNX Import'!$A$1:$B$2315</definedName>
    <definedName name="ORIGINAL_TNX_DATA_187" localSheetId="7">'TNX Import'!$A$1:$B$2315</definedName>
    <definedName name="ORIGINAL_TNX_DATA_188" localSheetId="7">'TNX Import'!$A$1:$B$2315</definedName>
    <definedName name="ORIGINAL_TNX_DATA_189" localSheetId="7">'TNX Import'!$A$1:$B$2315</definedName>
    <definedName name="ORIGINAL_TNX_DATA_19" localSheetId="7">'TNX Import'!$A$1:$B$2237</definedName>
    <definedName name="ORIGINAL_TNX_DATA_190" localSheetId="7">'TNX Import'!$A$1:$B$2315</definedName>
    <definedName name="ORIGINAL_TNX_DATA_191" localSheetId="7">'TNX Import'!$A$1:$B$2315</definedName>
    <definedName name="ORIGINAL_TNX_DATA_192" localSheetId="7">'TNX Import'!$A$1:$B$2315</definedName>
    <definedName name="ORIGINAL_TNX_DATA_193" localSheetId="7">'TNX Import'!$A$1:$B$2315</definedName>
    <definedName name="ORIGINAL_TNX_DATA_194" localSheetId="7">'TNX Import'!$A$1:$B$2315</definedName>
    <definedName name="ORIGINAL_TNX_DATA_195" localSheetId="7">'TNX Import'!$A$1:$B$932</definedName>
    <definedName name="ORIGINAL_TNX_DATA_196" localSheetId="7">'TNX Import'!$A$1:$B$2237</definedName>
    <definedName name="ORIGINAL_TNX_DATA_197" localSheetId="7">'TNX Import'!$A$1:$B$6741</definedName>
    <definedName name="ORIGINAL_TNX_DATA_198" localSheetId="7">'TNX Import'!$A$1:$B$6741</definedName>
    <definedName name="ORIGINAL_TNX_DATA_199" localSheetId="7">'TNX Import'!$A$1:$B$6741</definedName>
    <definedName name="ORIGINAL_TNX_DATA_2" localSheetId="7">'TNX Import'!$A$1:$B$2237</definedName>
    <definedName name="ORIGINAL_TNX_DATA_20" localSheetId="7">'TNX Import'!$A$1:$B$2237</definedName>
    <definedName name="ORIGINAL_TNX_DATA_200" localSheetId="7">'TNX Import'!$A$1:$B$6741</definedName>
    <definedName name="ORIGINAL_TNX_DATA_201" localSheetId="7">'TNX Import'!$A$1:$B$6741</definedName>
    <definedName name="ORIGINAL_TNX_DATA_202" localSheetId="7">'TNX Import'!$A$1:$B$6741</definedName>
    <definedName name="ORIGINAL_TNX_DATA_203" localSheetId="7">'TNX Import'!$A$1:$B$6741</definedName>
    <definedName name="ORIGINAL_TNX_DATA_204" localSheetId="7">'TNX Import'!$A$1:$B$6741</definedName>
    <definedName name="ORIGINAL_TNX_DATA_205" localSheetId="7">'TNX Import'!$A$1:$B$4487</definedName>
    <definedName name="ORIGINAL_TNX_DATA_206" localSheetId="7">'TNX Import'!$A$1:$B$4487</definedName>
    <definedName name="ORIGINAL_TNX_DATA_207" localSheetId="7">'TNX Import'!$A$1:$F$2237</definedName>
    <definedName name="ORIGINAL_TNX_DATA_208" localSheetId="7">'TNX Import'!$A$1:$F$2237</definedName>
    <definedName name="ORIGINAL_TNX_DATA_209" localSheetId="7">'TNX Import'!$A$1:$F$2237</definedName>
    <definedName name="ORIGINAL_TNX_DATA_21" localSheetId="7">'TNX Import'!$A$1:$B$2237</definedName>
    <definedName name="ORIGINAL_TNX_DATA_210" localSheetId="7">'TNX Import'!$A$1:$F$2237</definedName>
    <definedName name="ORIGINAL_TNX_DATA_211" localSheetId="7">'TNX Import'!$A$1:$F$2237</definedName>
    <definedName name="ORIGINAL_TNX_DATA_212" localSheetId="7">'TNX Import'!$A$1:$F$2237</definedName>
    <definedName name="ORIGINAL_TNX_DATA_213" localSheetId="7">'TNX Import'!$A$1:$F$2237</definedName>
    <definedName name="ORIGINAL_TNX_DATA_214" localSheetId="7">'TNX Import'!$A$1:$F$2237</definedName>
    <definedName name="ORIGINAL_TNX_DATA_215" localSheetId="7">'TNX Import'!$A$1:$B$2237</definedName>
    <definedName name="ORIGINAL_TNX_DATA_216" localSheetId="7">'TNX Import'!$A$1:$B$2237</definedName>
    <definedName name="ORIGINAL_TNX_DATA_217" localSheetId="7">'TNX Import'!$A$1:$B$2237</definedName>
    <definedName name="ORIGINAL_TNX_DATA_218" localSheetId="7">'TNX Import'!$A$1:$B$2237</definedName>
    <definedName name="ORIGINAL_TNX_DATA_219" localSheetId="7">'TNX Import'!$A$1:$B$2237</definedName>
    <definedName name="ORIGINAL_TNX_DATA_22" localSheetId="7">'TNX Import'!$A$1:$B$2237</definedName>
    <definedName name="ORIGINAL_TNX_DATA_220" localSheetId="7">'TNX Import'!$A$1:$B$2237</definedName>
    <definedName name="ORIGINAL_TNX_DATA_221" localSheetId="7">'TNX Import'!$A$1:$B$2237</definedName>
    <definedName name="ORIGINAL_TNX_DATA_222" localSheetId="7">'TNX Import'!$A$1:$B$2237</definedName>
    <definedName name="ORIGINAL_TNX_DATA_223" localSheetId="7">'TNX Import'!$A$1:$B$2237</definedName>
    <definedName name="ORIGINAL_TNX_DATA_224" localSheetId="7">'TNX Import'!$A$1:$B$2237</definedName>
    <definedName name="ORIGINAL_TNX_DATA_225" localSheetId="7">'TNX Import'!$A$1:$B$2237</definedName>
    <definedName name="ORIGINAL_TNX_DATA_226" localSheetId="7">'TNX Import'!$A$1:$B$6791</definedName>
    <definedName name="ORIGINAL_TNX_DATA_227" localSheetId="7">'TNX Import'!$A$1:$B$6791</definedName>
    <definedName name="ORIGINAL_TNX_DATA_228" localSheetId="7">'TNX Import'!$A$1:$B$2237</definedName>
    <definedName name="ORIGINAL_TNX_DATA_229" localSheetId="7">'TNX Import'!$A$1:$B$2237</definedName>
    <definedName name="ORIGINAL_TNX_DATA_23" localSheetId="7">'TNX Import'!$A$1:$B$2237</definedName>
    <definedName name="ORIGINAL_TNX_DATA_230" localSheetId="7">'TNX Import'!$A$1:$B$2237</definedName>
    <definedName name="ORIGINAL_TNX_DATA_231" localSheetId="7">'TNX Import'!$A$1:$B$2237</definedName>
    <definedName name="ORIGINAL_TNX_DATA_232" localSheetId="7">'TNX Import'!$A$1:$B$2237</definedName>
    <definedName name="ORIGINAL_TNX_DATA_233" localSheetId="7">'TNX Import'!$A$1:$B$2237</definedName>
    <definedName name="ORIGINAL_TNX_DATA_234" localSheetId="7">'TNX Import'!$A$1:$B$2237</definedName>
    <definedName name="ORIGINAL_TNX_DATA_235" localSheetId="7">'TNX Import'!$A$1:$B$2287</definedName>
    <definedName name="ORIGINAL_TNX_DATA_236" localSheetId="7">'TNX Import'!$A$1:$B$2288</definedName>
    <definedName name="ORIGINAL_TNX_DATA_237" localSheetId="7">'TNX Import'!$A$1:$B$2288</definedName>
    <definedName name="ORIGINAL_TNX_DATA_238" localSheetId="7">'TNX Import'!$A$1:$B$2289</definedName>
    <definedName name="ORIGINAL_TNX_DATA_239" localSheetId="7">'TNX Import'!$A$1:$B$2314</definedName>
    <definedName name="ORIGINAL_TNX_DATA_24" localSheetId="7">'TNX Import'!$A$1:$B$2237</definedName>
    <definedName name="ORIGINAL_TNX_DATA_240" localSheetId="7">'TNX Import'!$A$1:$B$2315</definedName>
    <definedName name="ORIGINAL_TNX_DATA_241" localSheetId="7">'TNX Import'!$A$1:$B$2404</definedName>
    <definedName name="ORIGINAL_TNX_DATA_242" localSheetId="7">'TNX Import'!$A$1:$B$7083</definedName>
    <definedName name="ORIGINAL_TNX_DATA_243" localSheetId="7">'TNX Import'!$A$1:$B$2406</definedName>
    <definedName name="ORIGINAL_TNX_DATA_244" localSheetId="7">'TNX Import'!$A$1:$B$2404</definedName>
    <definedName name="ORIGINAL_TNX_DATA_245" localSheetId="7">'TNX Import'!$A$1:$B$7083</definedName>
    <definedName name="ORIGINAL_TNX_DATA_246" localSheetId="7">'TNX Import'!$A$1:$B$7085</definedName>
    <definedName name="ORIGINAL_TNX_DATA_247" localSheetId="7">'TNX Import'!$A$1:$B$7083</definedName>
    <definedName name="ORIGINAL_TNX_DATA_248" localSheetId="7">'TNX Import'!$A$1:$B$7083</definedName>
    <definedName name="ORIGINAL_TNX_DATA_249" localSheetId="7">'TNX Import'!$A$1:$B$7083</definedName>
    <definedName name="ORIGINAL_TNX_DATA_25" localSheetId="7">'TNX Import'!$A$1:$B$2237</definedName>
    <definedName name="ORIGINAL_TNX_DATA_250" localSheetId="7">'TNX Import'!$A$1:$B$7083</definedName>
    <definedName name="ORIGINAL_TNX_DATA_251" localSheetId="7">'TNX Import'!$A$1:$B$7083</definedName>
    <definedName name="ORIGINAL_TNX_DATA_252" localSheetId="7">'TNX Import'!$A$1:$B$7083</definedName>
    <definedName name="ORIGINAL_TNX_DATA_253" localSheetId="7">'TNX Import'!$A$1:$B$7083</definedName>
    <definedName name="ORIGINAL_TNX_DATA_254" localSheetId="7">'TNX Import'!$A$1:$B$7083</definedName>
    <definedName name="ORIGINAL_TNX_DATA_255" localSheetId="7">'TNX Import'!$A$1:$B$7083</definedName>
    <definedName name="ORIGINAL_TNX_DATA_256" localSheetId="7">'TNX Import'!$A$1:$B$7083</definedName>
    <definedName name="ORIGINAL_TNX_DATA_257" localSheetId="7">'TNX Import'!$A$1:$B$7083</definedName>
    <definedName name="ORIGINAL_TNX_DATA_258" localSheetId="7">'TNX Import'!$A$1:$B$7083</definedName>
    <definedName name="ORIGINAL_TNX_DATA_259" localSheetId="7">'TNX Import'!$A$1:$B$2404</definedName>
    <definedName name="ORIGINAL_TNX_DATA_26" localSheetId="7">'TNX Import'!$A$1:$B$2237</definedName>
    <definedName name="ORIGINAL_TNX_DATA_260" localSheetId="7">'TNX Import'!$A$1:$B$7083</definedName>
    <definedName name="ORIGINAL_TNX_DATA_261" localSheetId="7">'TNX Import'!$A$1:$B$2404</definedName>
    <definedName name="ORIGINAL_TNX_DATA_262" localSheetId="7">'TNX Import'!$A$1:$B$7083</definedName>
    <definedName name="ORIGINAL_TNX_DATA_263" localSheetId="7">'TNX Import'!$A$1:$B$2404</definedName>
    <definedName name="ORIGINAL_TNX_DATA_264" localSheetId="7">'TNX Import'!$A$1:$B$7083</definedName>
    <definedName name="ORIGINAL_TNX_DATA_265" localSheetId="7">'TNX Import'!$A$1:$B$7083</definedName>
    <definedName name="ORIGINAL_TNX_DATA_266" localSheetId="7">'TNX Import'!$A$1:$B$7083</definedName>
    <definedName name="ORIGINAL_TNX_DATA_267" localSheetId="7">'TNX Import'!$A$1:$B$2404</definedName>
    <definedName name="ORIGINAL_TNX_DATA_268" localSheetId="7">'TNX Import'!$A$1:$F$2404</definedName>
    <definedName name="ORIGINAL_TNX_DATA_269" localSheetId="7">'TNX Import'!$A$1:$F$2404</definedName>
    <definedName name="ORIGINAL_TNX_DATA_27" localSheetId="7">'TNX Import'!$A$1:$B$2237</definedName>
    <definedName name="ORIGINAL_TNX_DATA_270" localSheetId="7">'TNX Import'!$A$1:$B$7083</definedName>
    <definedName name="ORIGINAL_TNX_DATA_271" localSheetId="7">'TNX Import'!$A$1:$B$7083</definedName>
    <definedName name="ORIGINAL_TNX_DATA_272" localSheetId="7">'TNX Import'!$A$1:$B$7083</definedName>
    <definedName name="ORIGINAL_TNX_DATA_273" localSheetId="7">'TNX Import'!$A$1:$B$7083</definedName>
    <definedName name="ORIGINAL_TNX_DATA_274" localSheetId="7">'TNX Import'!$A$1:$B$7083</definedName>
    <definedName name="ORIGINAL_TNX_DATA_275" localSheetId="7">'TNX Import'!$A$1:$B$7083</definedName>
    <definedName name="ORIGINAL_TNX_DATA_276" localSheetId="7">'TNX Import'!$A$1:$B$7083</definedName>
    <definedName name="ORIGINAL_TNX_DATA_277" localSheetId="7">'TNX Import'!$A$1:$B$2406</definedName>
    <definedName name="ORIGINAL_TNX_DATA_278" localSheetId="7">'TNX Import'!$A$1:$B$2406</definedName>
    <definedName name="ORIGINAL_TNX_DATA_279" localSheetId="7">'TNX Import'!$A$1:$B$7083</definedName>
    <definedName name="ORIGINAL_TNX_DATA_28" localSheetId="7">'TNX Import'!$A$1:$B$2237</definedName>
    <definedName name="ORIGINAL_TNX_DATA_280" localSheetId="7">'TNX Import'!$A$1:$B$7083</definedName>
    <definedName name="ORIGINAL_TNX_DATA_281" localSheetId="7">'TNX Import'!$A$1:$B$7083</definedName>
    <definedName name="ORIGINAL_TNX_DATA_282" localSheetId="7">'TNX Import'!$A$1:$B$2406</definedName>
    <definedName name="ORIGINAL_TNX_DATA_283" localSheetId="7">'TNX Import'!$A$1:$B$7083</definedName>
    <definedName name="ORIGINAL_TNX_DATA_284" localSheetId="7">'TNX Import'!$A$1:$B$7083</definedName>
    <definedName name="ORIGINAL_TNX_DATA_285" localSheetId="7">'TNX Import'!$A$1:$B$7083</definedName>
    <definedName name="ORIGINAL_TNX_DATA_286" localSheetId="7">'TNX Import'!$A$1:$B$7083</definedName>
    <definedName name="ORIGINAL_TNX_DATA_287" localSheetId="7">'TNX Import'!$A$1:$B$2404</definedName>
    <definedName name="ORIGINAL_TNX_DATA_288" localSheetId="7">'TNX Import'!$A$1:$B$2404</definedName>
    <definedName name="ORIGINAL_TNX_DATA_289" localSheetId="7">'TNX Import'!$A$1:$B$2404</definedName>
    <definedName name="ORIGINAL_TNX_DATA_29" localSheetId="7">'TNX Import'!$A$1:$B$2237</definedName>
    <definedName name="ORIGINAL_TNX_DATA_290" localSheetId="7">'TNX Import'!$A$1:$B$7085</definedName>
    <definedName name="ORIGINAL_TNX_DATA_291" localSheetId="7">'TNX Import'!$A$1:$B$2406</definedName>
    <definedName name="ORIGINAL_TNX_DATA_292" localSheetId="7">'TNX Import'!$A$1:$B$2406</definedName>
    <definedName name="ORIGINAL_TNX_DATA_293" localSheetId="7">'TNX Import'!$A$1:$B$2406</definedName>
    <definedName name="ORIGINAL_TNX_DATA_294" localSheetId="7">'TNX Import'!$A$1:$B$2406</definedName>
    <definedName name="ORIGINAL_TNX_DATA_295" localSheetId="7">'TNX Import'!$A$1:$B$4213</definedName>
    <definedName name="ORIGINAL_TNX_DATA_296" localSheetId="7">'TNX Import'!$A$1:$B$4213</definedName>
    <definedName name="ORIGINAL_TNX_DATA_297" localSheetId="7">'TNX Import'!$A$1:$B$4213</definedName>
    <definedName name="ORIGINAL_TNX_DATA_298" localSheetId="7">'TNX Import'!$A$1:$B$3148</definedName>
    <definedName name="ORIGINAL_TNX_DATA_299" localSheetId="7">'TNX Import'!$A$1:$B$3148</definedName>
    <definedName name="ORIGINAL_TNX_DATA_3" localSheetId="7">'TNX Import'!$A$1:$B$2315</definedName>
    <definedName name="ORIGINAL_TNX_DATA_30" localSheetId="7">'TNX Import'!$A$1:$B$2237</definedName>
    <definedName name="ORIGINAL_TNX_DATA_300" localSheetId="7">'TNX Import'!$A$1:$B$3148</definedName>
    <definedName name="ORIGINAL_TNX_DATA_301" localSheetId="7">'TNX Import'!$A$1:$B$3148</definedName>
    <definedName name="ORIGINAL_TNX_DATA_302" localSheetId="7">'TNX Import'!$A$1:$B$3148</definedName>
    <definedName name="ORIGINAL_TNX_DATA_303" localSheetId="7">'TNX Import'!$A$1:$B$3148</definedName>
    <definedName name="ORIGINAL_TNX_DATA_304" localSheetId="7">'TNX Import'!$A$1:$B$3148</definedName>
    <definedName name="ORIGINAL_TNX_DATA_305" localSheetId="7">'TNX Import'!$A$1:$B$3148</definedName>
    <definedName name="ORIGINAL_TNX_DATA_306" localSheetId="7">'TNX Import'!$A$1:$B$3148</definedName>
    <definedName name="ORIGINAL_TNX_DATA_307" localSheetId="7">'TNX Import'!$A$1:$B$3148</definedName>
    <definedName name="ORIGINAL_TNX_DATA_308" localSheetId="7">'TNX Import'!$A$1:$B$3148</definedName>
    <definedName name="ORIGINAL_TNX_DATA_309" localSheetId="7">'TNX Import'!$A$1:$B$7085</definedName>
    <definedName name="ORIGINAL_TNX_DATA_31" localSheetId="7">'TNX Import'!$A$1:$B$2237</definedName>
    <definedName name="ORIGINAL_TNX_DATA_310" localSheetId="7">'TNX Import'!$A$1:$B$7085</definedName>
    <definedName name="ORIGINAL_TNX_DATA_311" localSheetId="7">'TNX Import'!$A$1:$B$7085</definedName>
    <definedName name="ORIGINAL_TNX_DATA_312" localSheetId="7">'TNX Import'!$A$1:$B$7093</definedName>
    <definedName name="ORIGINAL_TNX_DATA_313" localSheetId="7">'TNX Import'!$A$1:$B$7093</definedName>
    <definedName name="ORIGINAL_TNX_DATA_314" localSheetId="7">'TNX Import'!$A$1:$B$7093</definedName>
    <definedName name="ORIGINAL_TNX_DATA_315" localSheetId="7">'TNX Import'!$A$1:$B$7103</definedName>
    <definedName name="ORIGINAL_TNX_DATA_316" localSheetId="7">'TNX Import'!$A$1:$B$7103</definedName>
    <definedName name="ORIGINAL_TNX_DATA_317" localSheetId="7">'TNX Import'!$A$1:$B$7103</definedName>
    <definedName name="ORIGINAL_TNX_DATA_318" localSheetId="7">'TNX Import'!$A$1:$B$7103</definedName>
    <definedName name="ORIGINAL_TNX_DATA_319" localSheetId="7">'TNX Import'!$A$1:$B$7103</definedName>
    <definedName name="ORIGINAL_TNX_DATA_32" localSheetId="7">'TNX Import'!$A$1:$B$2237</definedName>
    <definedName name="ORIGINAL_TNX_DATA_320" localSheetId="7">'TNX Import'!$A$1:$B$7103</definedName>
    <definedName name="ORIGINAL_TNX_DATA_321" localSheetId="7">'TNX Import'!$A$1:$B$12531</definedName>
    <definedName name="ORIGINAL_TNX_DATA_322" localSheetId="7">'TNX Import'!$A$1:$B$4806</definedName>
    <definedName name="ORIGINAL_TNX_DATA_323" localSheetId="7">'TNX Import'!$A$1:$B$6258</definedName>
    <definedName name="ORIGINAL_TNX_DATA_324" localSheetId="7">'TNX Import'!$A$1:$B$1553</definedName>
    <definedName name="ORIGINAL_TNX_DATA_325" localSheetId="7">'TNX Import'!$A$1:$B$1805</definedName>
    <definedName name="ORIGINAL_TNX_DATA_326" localSheetId="7">'TNX Import'!$A$1:$B$15214</definedName>
    <definedName name="ORIGINAL_TNX_DATA_327" localSheetId="7">'TNX Import'!$A$1:$B$15214</definedName>
    <definedName name="ORIGINAL_TNX_DATA_328" localSheetId="7">'TNX Import'!$A$1:$B$15214</definedName>
    <definedName name="ORIGINAL_TNX_DATA_329" localSheetId="7">'TNX Import'!$A$1:$B$15214</definedName>
    <definedName name="ORIGINAL_TNX_DATA_33" localSheetId="7">'TNX Import'!$A$1:$B$2237</definedName>
    <definedName name="ORIGINAL_TNX_DATA_330" localSheetId="7">'TNX Import'!$A$1:$B$15214</definedName>
    <definedName name="ORIGINAL_TNX_DATA_331" localSheetId="7">'TNX Import'!$A$1:$B$15214</definedName>
    <definedName name="ORIGINAL_TNX_DATA_332" localSheetId="7">'TNX Import'!$A$1:$B$21778</definedName>
    <definedName name="ORIGINAL_TNX_DATA_333" localSheetId="7">'TNX Import'!$A$1:$B$7404</definedName>
    <definedName name="ORIGINAL_TNX_DATA_334" localSheetId="7">'TNX Import'!$A$1:$B$41807</definedName>
    <definedName name="ORIGINAL_TNX_DATA_335" localSheetId="7">'TNX Import'!$A$1:$B$19801</definedName>
    <definedName name="ORIGINAL_TNX_DATA_336" localSheetId="7">'TNX Import'!$A$1:$B$19801</definedName>
    <definedName name="ORIGINAL_TNX_DATA_337" localSheetId="7">'TNX Import'!$A$1:$B$19801</definedName>
    <definedName name="ORIGINAL_TNX_DATA_338" localSheetId="7">'TNX Import'!$A$1:$B$19801</definedName>
    <definedName name="ORIGINAL_TNX_DATA_339" localSheetId="7">'TNX Import'!$A$1:$B$6428</definedName>
    <definedName name="ORIGINAL_TNX_DATA_34" localSheetId="7">'TNX Import'!$A$1:$B$2237</definedName>
    <definedName name="ORIGINAL_TNX_DATA_340" localSheetId="7">'TNX Import'!$A$1:$B$6428</definedName>
    <definedName name="ORIGINAL_TNX_DATA_341" localSheetId="7">'TNX Import'!$A$1:$B$6428</definedName>
    <definedName name="ORIGINAL_TNX_DATA_342" localSheetId="7">'TNX Import'!$A$1:$B$6428</definedName>
    <definedName name="ORIGINAL_TNX_DATA_343" localSheetId="7">'TNX Import'!$A$1:$B$19801</definedName>
    <definedName name="ORIGINAL_TNX_DATA_344" localSheetId="7">'TNX Import'!$A$1:$B$19801</definedName>
    <definedName name="ORIGINAL_TNX_DATA_345" localSheetId="7">'TNX Import'!$A$1:$B$19801</definedName>
    <definedName name="ORIGINAL_TNX_DATA_346" localSheetId="7">'TNX Import'!$A$1:$B$6428</definedName>
    <definedName name="ORIGINAL_TNX_DATA_347" localSheetId="7">'TNX Import'!$A$1:$B$6428</definedName>
    <definedName name="ORIGINAL_TNX_DATA_348" localSheetId="7">'TNX Import'!$A$1:$B$19801</definedName>
    <definedName name="ORIGINAL_TNX_DATA_349" localSheetId="7">'TNX Import'!$A$1:$B$34200</definedName>
    <definedName name="ORIGINAL_TNX_DATA_35" localSheetId="7">'TNX Import'!$A$1:$B$2237</definedName>
    <definedName name="ORIGINAL_TNX_DATA_350" localSheetId="7">'TNX Import'!$A$1:$B$4828</definedName>
    <definedName name="ORIGINAL_TNX_DATA_351" localSheetId="7">'TNX Import'!$A$1:$B$4828</definedName>
    <definedName name="ORIGINAL_TNX_DATA_352" localSheetId="7">'TNX Import'!$A$1:$B$14646</definedName>
    <definedName name="ORIGINAL_TNX_DATA_353" localSheetId="7">'TNX Import'!$A$1:$B$14646</definedName>
    <definedName name="ORIGINAL_TNX_DATA_36" localSheetId="7">'TNX Import'!$A$1:$B$2237</definedName>
    <definedName name="ORIGINAL_TNX_DATA_37" localSheetId="7">'TNX Import'!$A$1:$B$2237</definedName>
    <definedName name="ORIGINAL_TNX_DATA_38" localSheetId="7">'TNX Import'!$A$1:$B$2237</definedName>
    <definedName name="ORIGINAL_TNX_DATA_39" localSheetId="7">'TNX Import'!$A$1:$B$2237</definedName>
    <definedName name="ORIGINAL_TNX_DATA_4" localSheetId="7">'TNX Import'!$A$1:$B$2315</definedName>
    <definedName name="ORIGINAL_TNX_DATA_40" localSheetId="7">'TNX Import'!$A$1:$B$2237</definedName>
    <definedName name="ORIGINAL_TNX_DATA_41" localSheetId="7">'TNX Import'!$A$1:$B$2237</definedName>
    <definedName name="ORIGINAL_TNX_DATA_42" localSheetId="7">'TNX Import'!$A$1:$B$2404</definedName>
    <definedName name="ORIGINAL_TNX_DATA_43" localSheetId="7">'TNX Import'!$A$1:$B$2404</definedName>
    <definedName name="ORIGINAL_TNX_DATA_44" localSheetId="7">'TNX Import'!$A$1:$B$2404</definedName>
    <definedName name="ORIGINAL_TNX_DATA_45" localSheetId="7">'TNX Import'!$A$1:$B$2404</definedName>
    <definedName name="ORIGINAL_TNX_DATA_46" localSheetId="7">'TNX Import'!$A$1:$B$2404</definedName>
    <definedName name="ORIGINAL_TNX_DATA_47" localSheetId="7">'TNX Import'!$A$1:$A$2288</definedName>
    <definedName name="ORIGINAL_TNX_DATA_48" localSheetId="7">'TNX Import'!$A$1:$A$2288</definedName>
    <definedName name="ORIGINAL_TNX_DATA_49" localSheetId="7">'TNX Import'!$A$1:$B$2404</definedName>
    <definedName name="ORIGINAL_TNX_DATA_5" localSheetId="7">'TNX Import'!$A$1:$B$2315</definedName>
    <definedName name="ORIGINAL_TNX_DATA_50" localSheetId="7">'TNX Import'!$A$1:$B$2404</definedName>
    <definedName name="ORIGINAL_TNX_DATA_51" localSheetId="7">'TNX Import'!$A$1:$B$2237</definedName>
    <definedName name="ORIGINAL_TNX_DATA_52" localSheetId="7">'TNX Import'!$A$1:$B$2237</definedName>
    <definedName name="ORIGINAL_TNX_DATA_53" localSheetId="7">'TNX Import'!$A$1:$B$2237</definedName>
    <definedName name="ORIGINAL_TNX_DATA_54" localSheetId="7">'TNX Import'!$A$1:$B$2237</definedName>
    <definedName name="ORIGINAL_TNX_DATA_55" localSheetId="7">'TNX Import'!$A$1:$B$2237</definedName>
    <definedName name="ORIGINAL_TNX_DATA_56" localSheetId="7">'TNX Import'!$A$1:$B$2237</definedName>
    <definedName name="ORIGINAL_TNX_DATA_57" localSheetId="7">'TNX Import'!$A$1:$B$945</definedName>
    <definedName name="ORIGINAL_TNX_DATA_58" localSheetId="7">'TNX Import'!$A$1:$B$945</definedName>
    <definedName name="ORIGINAL_TNX_DATA_59" localSheetId="7">'TNX Import'!$A$1:$B$956</definedName>
    <definedName name="ORIGINAL_TNX_DATA_6" localSheetId="7">'TNX Import'!$A$1:$B$2315</definedName>
    <definedName name="ORIGINAL_TNX_DATA_60" localSheetId="7">'TNX Import'!$A$1:$F$2237</definedName>
    <definedName name="ORIGINAL_TNX_DATA_61" localSheetId="7">'TNX Import'!$A$1:$F$2237</definedName>
    <definedName name="ORIGINAL_TNX_DATA_62" localSheetId="7">'TNX Import'!$A$1:$F$2237</definedName>
    <definedName name="ORIGINAL_TNX_DATA_63" localSheetId="7">'TNX Import'!$A$1:$F$2237</definedName>
    <definedName name="ORIGINAL_TNX_DATA_64" localSheetId="7">'TNX Import'!$A$1:$B$2237</definedName>
    <definedName name="ORIGINAL_TNX_DATA_65" localSheetId="7">'TNX Import'!$A$1:$B$2237</definedName>
    <definedName name="ORIGINAL_TNX_DATA_66" localSheetId="7">'TNX Import'!$A$1:$B$2237</definedName>
    <definedName name="ORIGINAL_TNX_DATA_67" localSheetId="7">'TNX Import'!$A$1:$B$2237</definedName>
    <definedName name="ORIGINAL_TNX_DATA_68" localSheetId="7">'TNX Import'!$A$1:$B$2237</definedName>
    <definedName name="ORIGINAL_TNX_DATA_69" localSheetId="7">'TNX Import'!$A$1:$B$2237</definedName>
    <definedName name="ORIGINAL_TNX_DATA_7" localSheetId="7">'TNX Import'!$A$1:$B$2404</definedName>
    <definedName name="ORIGINAL_TNX_DATA_70" localSheetId="7">'TNX Import'!$A$1:$B$2237</definedName>
    <definedName name="ORIGINAL_TNX_DATA_71" localSheetId="7">'TNX Import'!$A$1:$B$2237</definedName>
    <definedName name="ORIGINAL_TNX_DATA_72" localSheetId="7">'TNX Import'!$A$1:$B$2237</definedName>
    <definedName name="ORIGINAL_TNX_DATA_73" localSheetId="7">'TNX Import'!$A$1:$B$2237</definedName>
    <definedName name="ORIGINAL_TNX_DATA_74" localSheetId="7">'TNX Import'!$A$1:$B$2237</definedName>
    <definedName name="ORIGINAL_TNX_DATA_75" localSheetId="7">'TNX Import'!$A$1:$B$2237</definedName>
    <definedName name="ORIGINAL_TNX_DATA_76" localSheetId="7">'TNX Import'!$A$1:$F$2237</definedName>
    <definedName name="ORIGINAL_TNX_DATA_77" localSheetId="7">'TNX Import'!$A$1:$B$2237</definedName>
    <definedName name="ORIGINAL_TNX_DATA_78" localSheetId="7">'TNX Import'!$A$1:$B$2404</definedName>
    <definedName name="ORIGINAL_TNX_DATA_79" localSheetId="7">'TNX Import'!$A$1:$B$2404</definedName>
    <definedName name="ORIGINAL_TNX_DATA_8" localSheetId="7">'TNX Import'!$A$1:$B$2404</definedName>
    <definedName name="ORIGINAL_TNX_DATA_80" localSheetId="7">'TNX Import'!$A$1:$F$2237</definedName>
    <definedName name="ORIGINAL_TNX_DATA_81" localSheetId="7">'TNX Import'!$A$1:$B$2237</definedName>
    <definedName name="ORIGINAL_TNX_DATA_82" localSheetId="7">'TNX Import'!$A$1:$F$2237</definedName>
    <definedName name="ORIGINAL_TNX_DATA_83" localSheetId="7">'TNX Import'!$A$1:$B$2237</definedName>
    <definedName name="ORIGINAL_TNX_DATA_84" localSheetId="7">'TNX Import'!$A$1:$F$2237</definedName>
    <definedName name="ORIGINAL_TNX_DATA_85" localSheetId="7">'TNX Import'!$A$1:$F$2237</definedName>
    <definedName name="ORIGINAL_TNX_DATA_86" localSheetId="7">'TNX Import'!$A$1:$F$2237</definedName>
    <definedName name="ORIGINAL_TNX_DATA_87" localSheetId="7">'TNX Import'!$A$1:$F$2237</definedName>
    <definedName name="ORIGINAL_TNX_DATA_88" localSheetId="7">'TNX Import'!$A$1:$F$2237</definedName>
    <definedName name="ORIGINAL_TNX_DATA_89" localSheetId="7">'TNX Import'!$A$1:$F$2237</definedName>
    <definedName name="ORIGINAL_TNX_DATA_9" localSheetId="7">'TNX Import'!$A$1:$B$2404</definedName>
    <definedName name="ORIGINAL_TNX_DATA_90" localSheetId="7">'TNX Import'!$A$1:$F$2237</definedName>
    <definedName name="ORIGINAL_TNX_DATA_91" localSheetId="7">'TNX Import'!$A$1:$F$2237</definedName>
    <definedName name="ORIGINAL_TNX_DATA_92" localSheetId="7">'TNX Import'!$A$1:$F$2237</definedName>
    <definedName name="ORIGINAL_TNX_DATA_93" localSheetId="7">'TNX Import'!$A$1:$F$2237</definedName>
    <definedName name="ORIGINAL_TNX_DATA_94" localSheetId="7">'TNX Import'!$A$1:$F$2237</definedName>
    <definedName name="ORIGINAL_TNX_DATA_95" localSheetId="7">'TNX Import'!$A$1:$F$2237</definedName>
    <definedName name="ORIGINAL_TNX_DATA_96" localSheetId="7">'TNX Import'!$A$1:$F$2237</definedName>
    <definedName name="ORIGINAL_TNX_DATA_97" localSheetId="7">'TNX Import'!$A$1:$F$2237</definedName>
    <definedName name="ORIGINAL_TNX_DATA_98" localSheetId="7">'TNX Import'!$A$1:$F$2237</definedName>
    <definedName name="ORIGINAL_TNX_DATA_99" localSheetId="7">'TNX Import'!$A$1:$F$2237</definedName>
    <definedName name="Period">Reference!$T$5</definedName>
    <definedName name="posneg">Reference!$G$1:$G$2</definedName>
    <definedName name="_xlnm.Print_Area" localSheetId="1">'Site SDC Data'!$A:$K</definedName>
    <definedName name="_xlnm.Print_Area" localSheetId="5">'TIA-222-H Loads'!$B$2:$J$5,'TIA-222-H Loads'!$BB$2:$BH$5,'TIA-222-H Loads'!$CB$2:$CJ$5</definedName>
    <definedName name="_xlnm.Print_Area" localSheetId="2">'Tower Data'!$A$1:$J$65</definedName>
    <definedName name="re">'Tower Data'!$G$15</definedName>
    <definedName name="rev">'Site SDC Data'!$J$4</definedName>
    <definedName name="Revision">'Revision History'!$E$1</definedName>
    <definedName name="risk">'Site SDC Data'!$H$15</definedName>
    <definedName name="risks">Reference!$B$12:$B$15</definedName>
    <definedName name="risktiaG">Reference!$B$13:$B$14</definedName>
    <definedName name="risktiaH">Reference!$B$13:$B$15</definedName>
    <definedName name="Sa" localSheetId="13">[1]Monopole!$N$41</definedName>
    <definedName name="sa">'Tower Data'!$G$41</definedName>
    <definedName name="sd_inputs">'Site SDC Data'!$H$29:$H$31</definedName>
    <definedName name="sd_override">Reference!$S$7</definedName>
    <definedName name="SDC">'Site SDC Data'!$H$38</definedName>
    <definedName name="sdc_s1">'Site SDC Data'!$H$36</definedName>
    <definedName name="sdc_sds">Reference!$H$43</definedName>
    <definedName name="sdc_sduno">Reference!$H$50</definedName>
    <definedName name="sds">'Site SDC Data'!$H$28</definedName>
    <definedName name="sds_user">'Site SDC Data'!$H$29</definedName>
    <definedName name="sduno">'Site SDC Data'!$H$30</definedName>
    <definedName name="sduno_user">'Site SDC Data'!$H$31</definedName>
    <definedName name="siteinputs">'Site SDC Data'!$H$2:$H$4,'Site SDC Data'!$J$2,'Site SDC Data'!$J$4</definedName>
    <definedName name="siteparameterinputs">'Site SDC Data'!$H$13:$H$15</definedName>
    <definedName name="siteparameterinputs_complete">'Site SDC Data'!$A$14</definedName>
    <definedName name="soil">'Site SDC Data'!$H$14</definedName>
    <definedName name="soils">Reference!$C$1:$C$6</definedName>
    <definedName name="soils2018">Reference!$E$1:$E$7</definedName>
    <definedName name="source_rev_rng">'Import Ranges'!$A$1</definedName>
    <definedName name="ss">'Site SDC Data'!$H$17</definedName>
    <definedName name="SS_w0">'Tower Data'!$G$29</definedName>
    <definedName name="SS_W1">'Tower Data'!$G$30</definedName>
    <definedName name="SS_W2">'Tower Data'!$G$31</definedName>
    <definedName name="SS_wa">'Tower Data'!$G$28</definedName>
    <definedName name="strc">'Site SDC Data'!$J$2</definedName>
    <definedName name="sumwxhxk">'Tower Data'!$G$62</definedName>
    <definedName name="suno">'Site SDC Data'!$H$18</definedName>
    <definedName name="T">'Tower Data'!$G$16</definedName>
    <definedName name="T_divider">'Tower Data'!$G$40</definedName>
    <definedName name="T_gt">'Tower Data'!$G$36:$G$39</definedName>
    <definedName name="T_Guy_ASCE">'ASCE 7-10 Loads'!$AI$1:$AM$1</definedName>
    <definedName name="T_Guy_TIAG">'TIA-222-G Loads'!$DH$1:$DL$1</definedName>
    <definedName name="T_Guy_TIAH">'TIA-222-H Loads'!$AI$1:$AM$1</definedName>
    <definedName name="T_mp">'Tower Data'!$G$20:$G$26</definedName>
    <definedName name="T_space_1">'Tower Data'!$G$18</definedName>
    <definedName name="T_space_2">'Tower Data'!$G$27</definedName>
    <definedName name="T_space_3">'Tower Data'!$G$35</definedName>
    <definedName name="T_ss">'Tower Data'!$G$28:$G$34</definedName>
    <definedName name="t_user">'Tower Data'!$G$17</definedName>
    <definedName name="Ta_GT">'Tower Data'!$G$39</definedName>
    <definedName name="Ta_mp">'Tower Data'!$G$26</definedName>
    <definedName name="Ta_SS">'Tower Data'!$G$34</definedName>
    <definedName name="TIAGDiscreteWx">'TIA-222-G Loads'!$AD$5</definedName>
    <definedName name="TIAGGTDiscreteWx">'TIA-222-G Loads'!$ED$5</definedName>
    <definedName name="TIAGGTDiscreteWxHXk">'TIA-222-G Loads'!$EE$5</definedName>
    <definedName name="TIAGGTGuyKg">'TIA-222-G Loads'!$DL$5</definedName>
    <definedName name="TIAGGTGuyWx">'TIA-222-G Loads'!$DC$5</definedName>
    <definedName name="TIAGGTGuyWxHxk">'TIA-222-G Loads'!$DE$5</definedName>
    <definedName name="TIAGGTHalfGuyWx">'TIA-222-G Loads'!$DD$5</definedName>
    <definedName name="TIAGGTLinearWx">'TIA-222-G Loads'!$FF$5</definedName>
    <definedName name="TIAGGTLinearWxHxk">'TIA-222-G Loads'!$FG$5</definedName>
    <definedName name="TIAGGTSectionWx">'TIA-222-G Loads'!$CF$5</definedName>
    <definedName name="TIAGGTSectionWxHxk">'TIA-222-G Loads'!$CG$5</definedName>
    <definedName name="TIAGLinearWx">'TIA-222-G Loads'!$BF$5</definedName>
    <definedName name="TIAGSectionWx">'TIA-222-G Loads'!$F$5</definedName>
    <definedName name="TIAHDiscreteWx">'TIA-222-H Loads'!$BD$5</definedName>
    <definedName name="TIAHDiscreteWxHxk">'TIA-222-H Loads'!$BE$5</definedName>
    <definedName name="TIAHGuyKg">'TIA-222-H Loads'!$AM$5</definedName>
    <definedName name="TIAHGuyWx">'TIA-222-H Loads'!$AC$5</definedName>
    <definedName name="TIAHGuyWxHxk">'TIA-222-H Loads'!$AE$5</definedName>
    <definedName name="TIAHHalfGuyWx">'TIA-222-H Loads'!$AD$5</definedName>
    <definedName name="TIAHLinearWx">'TIA-222-H Loads'!$CF$5</definedName>
    <definedName name="TIAHLinearWxHxk">'TIA-222-H Loads'!$CG$5</definedName>
    <definedName name="TIAHSectionWx">'TIA-222-H Loads'!$F$5</definedName>
    <definedName name="TIAHSectionWxHxk">'TIA-222-H Loads'!$G$5</definedName>
    <definedName name="tl">'Site SDC Data'!$H$19</definedName>
    <definedName name="tnx_import">'Tower Data'!$A$10</definedName>
    <definedName name="tnxfile">Reference!$P$3</definedName>
    <definedName name="troubleshoot">Reference!$T$11</definedName>
    <definedName name="ts">'Site SDC Data'!$H$32</definedName>
    <definedName name="type">'Tower Data'!$G$8</definedName>
    <definedName name="UFQty">Reference!$P$5</definedName>
    <definedName name="UFRow">Reference!$P$6</definedName>
    <definedName name="UFRows">Reference!$P$7</definedName>
    <definedName name="URL">Reference!$P$2</definedName>
    <definedName name="Use_ASCE">Reference!$S$5</definedName>
    <definedName name="usgs_complete">'Site SDC Data'!$A$18</definedName>
    <definedName name="USGS_import">'Site SDC Data'!$A$17</definedName>
    <definedName name="usgsvalues">'Site SDC Data'!$H$17:$H$19</definedName>
    <definedName name="usgsvaluesG">'Site SDC Data'!$H$17:$H$18</definedName>
    <definedName name="V">'Tower Data'!$G$57</definedName>
    <definedName name="vert_dist">'Tower Data'!$B$59:$I$63</definedName>
    <definedName name="Vs">'Tower Data'!$G$43</definedName>
    <definedName name="vs_all">'Tower Data'!$G$43:$G$47</definedName>
    <definedName name="Vsa">'Tower Data'!$G$44</definedName>
    <definedName name="Vsamin1">'Tower Data'!$G$45</definedName>
    <definedName name="Vsamin2">'Tower Data'!$G$46</definedName>
    <definedName name="w">'Tower Data'!$G$10</definedName>
    <definedName name="WL">'Tower Data'!$G$21</definedName>
    <definedName name="wo">'Site SDC Data'!$H$3</definedName>
    <definedName name="WrkShtChng">Controls!$C$3</definedName>
    <definedName name="WU">'Tower Data'!$G$20</definedName>
  </definedNames>
  <calcPr calcId="191029" iterateDelta="0.0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 i="31" l="1"/>
  <c r="A2" i="31"/>
  <c r="E1" i="24"/>
  <c r="D5" i="10"/>
  <c r="AD4" i="10"/>
  <c r="F4" i="16" s="1"/>
  <c r="F5" i="16" s="1"/>
  <c r="Z4" i="10"/>
  <c r="AB4" i="10" s="1"/>
  <c r="W4" i="10"/>
  <c r="Y4" i="10" s="1"/>
  <c r="S4" i="10"/>
  <c r="T4" i="10" s="1"/>
  <c r="P4" i="10"/>
  <c r="R4" i="10" s="1"/>
  <c r="M4" i="10"/>
  <c r="L4" i="10"/>
  <c r="K4" i="10"/>
  <c r="J4" i="10"/>
  <c r="H49" i="3"/>
  <c r="H42" i="3"/>
  <c r="S38" i="3"/>
  <c r="R38" i="3"/>
  <c r="Q38" i="3"/>
  <c r="P38" i="3"/>
  <c r="O38" i="3"/>
  <c r="N38" i="3"/>
  <c r="G38" i="3"/>
  <c r="F38" i="3"/>
  <c r="E38" i="3"/>
  <c r="D38" i="3"/>
  <c r="C38" i="3"/>
  <c r="V34" i="3"/>
  <c r="J34" i="3"/>
  <c r="V33" i="3"/>
  <c r="J33" i="3"/>
  <c r="V32" i="3"/>
  <c r="V36" i="3" s="1"/>
  <c r="J32" i="3"/>
  <c r="V31" i="3"/>
  <c r="J31" i="3"/>
  <c r="S28" i="3"/>
  <c r="R28" i="3"/>
  <c r="Q28" i="3"/>
  <c r="P28" i="3"/>
  <c r="O28" i="3"/>
  <c r="N28" i="3"/>
  <c r="S27" i="3"/>
  <c r="R27" i="3"/>
  <c r="Q27" i="3"/>
  <c r="G27" i="3"/>
  <c r="F27" i="3"/>
  <c r="E27" i="3"/>
  <c r="D27" i="3"/>
  <c r="C27" i="3"/>
  <c r="V23" i="3"/>
  <c r="V25" i="3" s="1"/>
  <c r="J23" i="3"/>
  <c r="V22" i="3"/>
  <c r="V24" i="3" s="1"/>
  <c r="J22" i="3"/>
  <c r="V21" i="3"/>
  <c r="J21" i="3"/>
  <c r="V20" i="3"/>
  <c r="J20" i="3"/>
  <c r="CF5" i="27"/>
  <c r="BD5" i="27"/>
  <c r="AC5" i="27"/>
  <c r="AM4" i="27"/>
  <c r="AM5" i="27" s="1"/>
  <c r="G37" i="7" s="1"/>
  <c r="AD4" i="27"/>
  <c r="AE4" i="27" s="1"/>
  <c r="AE5" i="27" s="1"/>
  <c r="FF5" i="16"/>
  <c r="ED5" i="16"/>
  <c r="DD5" i="16"/>
  <c r="DC5" i="16"/>
  <c r="CF5" i="16"/>
  <c r="BF5" i="16"/>
  <c r="AD5" i="16"/>
  <c r="FG4" i="16"/>
  <c r="FG5" i="16" s="1"/>
  <c r="EE4" i="16"/>
  <c r="EE5" i="16" s="1"/>
  <c r="DL4" i="16"/>
  <c r="DL5" i="16" s="1"/>
  <c r="DE4" i="16"/>
  <c r="DE5" i="16" s="1"/>
  <c r="DD4" i="16"/>
  <c r="CG4" i="16"/>
  <c r="CG5" i="16" s="1"/>
  <c r="BI4" i="16"/>
  <c r="BH4" i="16"/>
  <c r="BG4" i="16"/>
  <c r="AG4" i="16"/>
  <c r="AF4" i="16"/>
  <c r="AE4" i="16"/>
  <c r="I4" i="16"/>
  <c r="H4" i="16"/>
  <c r="G4" i="16"/>
  <c r="CF5" i="34"/>
  <c r="BD5" i="34"/>
  <c r="AD5" i="34"/>
  <c r="AC5" i="34"/>
  <c r="F5" i="34"/>
  <c r="CG4" i="34"/>
  <c r="CG5" i="34" s="1"/>
  <c r="BE4" i="34"/>
  <c r="BE5" i="34" s="1"/>
  <c r="AM4" i="34"/>
  <c r="AM5" i="34" s="1"/>
  <c r="AE4" i="34"/>
  <c r="AE5" i="34" s="1"/>
  <c r="AD4" i="34"/>
  <c r="J4" i="34"/>
  <c r="G4" i="34"/>
  <c r="G5" i="34" s="1"/>
  <c r="I62" i="7"/>
  <c r="I61" i="7"/>
  <c r="I57" i="7"/>
  <c r="I53" i="7"/>
  <c r="I52" i="7"/>
  <c r="I50" i="7"/>
  <c r="I49" i="7"/>
  <c r="I48" i="7"/>
  <c r="I39" i="7"/>
  <c r="I38" i="7"/>
  <c r="I34" i="7"/>
  <c r="I33" i="7"/>
  <c r="I26" i="7"/>
  <c r="I25" i="7"/>
  <c r="I11" i="7"/>
  <c r="I4" i="7"/>
  <c r="G4" i="7"/>
  <c r="G3" i="7"/>
  <c r="I2" i="7"/>
  <c r="G2" i="7"/>
  <c r="A18" i="2"/>
  <c r="I14" i="2"/>
  <c r="A14" i="2"/>
  <c r="H36" i="2" s="1"/>
  <c r="I13" i="2"/>
  <c r="E9" i="2"/>
  <c r="A9" i="2"/>
  <c r="E8" i="2"/>
  <c r="AD5" i="27" l="1"/>
  <c r="X4" i="10"/>
  <c r="U4" i="10"/>
  <c r="V4" i="10" s="1"/>
  <c r="AC4" i="10"/>
  <c r="AA4" i="10"/>
  <c r="N4" i="10"/>
  <c r="O4" i="10"/>
  <c r="Q4" i="10"/>
  <c r="AE4" i="10"/>
  <c r="J24" i="3"/>
  <c r="H23" i="2"/>
  <c r="H22" i="2" s="1"/>
  <c r="J36" i="3"/>
  <c r="V26" i="3"/>
  <c r="J25" i="3"/>
  <c r="J35" i="3"/>
  <c r="G15" i="7"/>
  <c r="V35" i="3"/>
  <c r="V37" i="3" s="1"/>
  <c r="G53" i="7" l="1"/>
  <c r="AF4" i="10"/>
  <c r="AG4" i="10" s="1"/>
  <c r="F5" i="27"/>
  <c r="J26" i="3"/>
  <c r="H25" i="2" s="1"/>
  <c r="J37" i="3"/>
  <c r="H26" i="2" s="1"/>
  <c r="H30" i="2" s="1"/>
  <c r="H48" i="3" s="1"/>
  <c r="G10" i="7" l="1"/>
  <c r="G38" i="7"/>
  <c r="G39" i="7" s="1"/>
  <c r="H28" i="2"/>
  <c r="H50" i="3"/>
  <c r="H35" i="2" s="1"/>
  <c r="H41" i="3" l="1"/>
  <c r="CJ4" i="27"/>
  <c r="H43" i="3"/>
  <c r="H34" i="2" s="1"/>
  <c r="AH4" i="34"/>
  <c r="H32" i="2"/>
  <c r="CJ4" i="34"/>
  <c r="G52" i="7"/>
  <c r="G54" i="7" s="1"/>
  <c r="J4" i="27"/>
  <c r="G30" i="7"/>
  <c r="G33" i="7" s="1"/>
  <c r="G34" i="7" s="1"/>
  <c r="G21" i="7"/>
  <c r="G43" i="7"/>
  <c r="AG5" i="10"/>
  <c r="AG7" i="10" s="1"/>
  <c r="AH4" i="27"/>
  <c r="BH4" i="34"/>
  <c r="BH4" i="27"/>
  <c r="H38" i="2" l="1"/>
  <c r="G24" i="7"/>
  <c r="G25" i="7" s="1"/>
  <c r="G26" i="7" s="1"/>
  <c r="G16" i="7" s="1"/>
  <c r="G49" i="7" s="1"/>
  <c r="G48" i="7" l="1"/>
  <c r="G45" i="7"/>
  <c r="G41" i="7"/>
  <c r="BJ4" i="16" s="1"/>
  <c r="BK4" i="16" s="1"/>
  <c r="G44" i="7"/>
  <c r="A64" i="7"/>
  <c r="H57" i="7" s="1"/>
  <c r="G46" i="7"/>
  <c r="G61" i="7"/>
  <c r="G50" i="7"/>
  <c r="G51" i="7" s="1"/>
  <c r="G55" i="7" l="1"/>
  <c r="G57" i="7" s="1"/>
  <c r="J4" i="16"/>
  <c r="K4" i="16" s="1"/>
  <c r="CG4" i="27"/>
  <c r="AH4" i="16"/>
  <c r="AI4" i="16" s="1"/>
  <c r="BE4" i="27"/>
  <c r="G4" i="27"/>
  <c r="CG5" i="27" l="1"/>
  <c r="G5" i="27"/>
  <c r="BE5" i="27"/>
  <c r="G62" i="7"/>
  <c r="CH4" i="34" l="1"/>
  <c r="CI4" i="34" s="1"/>
  <c r="BF4" i="34"/>
  <c r="BG4" i="34" s="1"/>
  <c r="DF4" i="16"/>
  <c r="DG4" i="16" s="1"/>
  <c r="AF4" i="34"/>
  <c r="AG4" i="34" s="1"/>
  <c r="FH4" i="16"/>
  <c r="FI4" i="16" s="1"/>
  <c r="EF4" i="16"/>
  <c r="EG4" i="16" s="1"/>
  <c r="H4" i="27"/>
  <c r="I4" i="27" s="1"/>
  <c r="H4" i="34"/>
  <c r="I4" i="34" s="1"/>
  <c r="CH4" i="27"/>
  <c r="CI4" i="27" s="1"/>
  <c r="BF4" i="27"/>
  <c r="BG4" i="27" s="1"/>
  <c r="AF4" i="27"/>
  <c r="AG4" i="27" s="1"/>
  <c r="CH4" i="16"/>
  <c r="CI4"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Smilowitz, Daniel (Contractor)</author>
  </authors>
  <commentList>
    <comment ref="G11" authorId="0" shapeId="0" xr:uid="{00000000-0006-0000-0100-000001000000}">
      <text>
        <r>
          <rPr>
            <sz val="9"/>
            <color indexed="81"/>
            <rFont val="Tahoma"/>
            <family val="2"/>
          </rPr>
          <t>Only applies to towers supported on building or other structures. As =1.0 should be used for all typical towers.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usgs seismic example" type="4" refreshedVersion="0" background="1">
    <webPr xml="1" sourceData="1" url="C:\Users\dsmilowitz\Desktop\Seismic\Seismic 2.0\usgs seismic example.xml" htmlTables="1" htmlFormat="all"/>
  </connection>
  <connection id="2" xr16:uid="{00000000-0015-0000-FFFF-FFFF01000000}" name="usgs seismic example formatted" type="4" refreshedVersion="0" background="1">
    <webPr xml="1" sourceData="1" url="C:\Users\dsmilowitz\Desktop\Seismic\Seismic 2.0\usgs seismic example formatted.xml" htmlTables="1" htmlFormat="all"/>
  </connection>
  <connection id="3" xr16:uid="{00000000-0015-0000-FFFF-FFFF02000000}" name="usgs seismic example1" type="4" refreshedVersion="0" background="1">
    <webPr xml="1" sourceData="1" url="C:\Users\dsmilowitz\Desktop\Seismic\Seismic 2.0\usgs seismic example.xml" htmlTables="1" htmlFormat="all"/>
  </connection>
</connections>
</file>

<file path=xl/sharedStrings.xml><?xml version="1.0" encoding="utf-8"?>
<sst xmlns="http://schemas.openxmlformats.org/spreadsheetml/2006/main" count="1138" uniqueCount="378">
  <si>
    <t>Discrete Loads</t>
  </si>
  <si>
    <t>Name</t>
  </si>
  <si>
    <t>BU:</t>
  </si>
  <si>
    <t>WO:</t>
  </si>
  <si>
    <t>Rev:</t>
  </si>
  <si>
    <t>Tower Type:</t>
  </si>
  <si>
    <t>Lat:</t>
  </si>
  <si>
    <t>Long:</t>
  </si>
  <si>
    <t>B</t>
  </si>
  <si>
    <t>Risk Category:</t>
  </si>
  <si>
    <t>Site Soil:</t>
  </si>
  <si>
    <t>III</t>
  </si>
  <si>
    <t>I</t>
  </si>
  <si>
    <t>II</t>
  </si>
  <si>
    <t>IV</t>
  </si>
  <si>
    <t>A</t>
  </si>
  <si>
    <t>C</t>
  </si>
  <si>
    <t>D</t>
  </si>
  <si>
    <t>E</t>
  </si>
  <si>
    <t>F</t>
  </si>
  <si>
    <t>Hard Rock</t>
  </si>
  <si>
    <t>Rock</t>
  </si>
  <si>
    <t>Dense Soil/Soft Rock</t>
  </si>
  <si>
    <t>Stiff Soil (Default)</t>
  </si>
  <si>
    <t>Soft Clay Soil</t>
  </si>
  <si>
    <t>Soils Vulnerable to Failure</t>
  </si>
  <si>
    <t>Structure:</t>
  </si>
  <si>
    <t>Length</t>
  </si>
  <si>
    <t>ft</t>
  </si>
  <si>
    <t>TIA-222-G</t>
  </si>
  <si>
    <t>N/A</t>
  </si>
  <si>
    <t>Self-Support</t>
  </si>
  <si>
    <t>+</t>
  </si>
  <si>
    <t>-</t>
  </si>
  <si>
    <t>Decimal Degrees</t>
  </si>
  <si>
    <t>Importance Factor</t>
  </si>
  <si>
    <t>ASCE 7-10</t>
  </si>
  <si>
    <t>TIA-222-H</t>
  </si>
  <si>
    <t>ASCE 7-05</t>
  </si>
  <si>
    <t>ASCE 7-16</t>
  </si>
  <si>
    <t>Seismic Design Code:</t>
  </si>
  <si>
    <t>2006 IBC</t>
  </si>
  <si>
    <t>2009 IBC</t>
  </si>
  <si>
    <t>2012 IBC</t>
  </si>
  <si>
    <t>2015 IBC</t>
  </si>
  <si>
    <t>2018 IBC</t>
  </si>
  <si>
    <t>Site Class</t>
  </si>
  <si>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0.25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</si>
  <si>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0.5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</si>
  <si>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0.75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</si>
  <si>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1.0</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</si>
  <si>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1.25</t>
    </r>
  </si>
  <si>
    <r>
      <t>S</t>
    </r>
    <r>
      <rPr>
        <b/>
        <vertAlign val="subscript"/>
        <sz val="11"/>
        <color theme="1"/>
        <rFont val="Calibri"/>
        <family val="2"/>
        <scheme val="minor"/>
      </rPr>
      <t xml:space="preserve">s </t>
    </r>
    <r>
      <rPr>
        <b/>
        <sz val="11"/>
        <color theme="1"/>
        <rFont val="Calibri"/>
        <family val="2"/>
        <scheme val="minor"/>
      </rPr>
      <t xml:space="preserve">= </t>
    </r>
  </si>
  <si>
    <r>
      <t>S</t>
    </r>
    <r>
      <rPr>
        <b/>
        <vertAlign val="subscript"/>
        <sz val="11"/>
        <color theme="1"/>
        <rFont val="Calibri"/>
        <family val="2"/>
        <scheme val="minor"/>
      </rPr>
      <t>1</t>
    </r>
    <r>
      <rPr>
        <sz val="11"/>
        <color theme="1"/>
        <rFont val="Calibri"/>
        <family val="2"/>
        <scheme val="minor"/>
      </rPr>
      <t xml:space="preserve"> </t>
    </r>
    <r>
      <rPr>
        <sz val="11"/>
        <color theme="1"/>
        <rFont val="Calibri"/>
        <family val="2"/>
      </rPr>
      <t>≤ 0.1</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</si>
  <si>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0.2</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</si>
  <si>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0.3</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</si>
  <si>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0.4</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</si>
  <si>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0.5</t>
    </r>
  </si>
  <si>
    <r>
      <t>S</t>
    </r>
    <r>
      <rPr>
        <b/>
        <vertAlign val="subscript"/>
        <sz val="11"/>
        <color theme="1"/>
        <rFont val="Calibri"/>
        <family val="2"/>
        <scheme val="minor"/>
      </rPr>
      <t xml:space="preserve">1 </t>
    </r>
    <r>
      <rPr>
        <b/>
        <sz val="11"/>
        <color theme="1"/>
        <rFont val="Calibri"/>
        <family val="2"/>
        <scheme val="minor"/>
      </rPr>
      <t xml:space="preserve">= </t>
    </r>
  </si>
  <si>
    <t>Ss</t>
  </si>
  <si>
    <t>Soil</t>
  </si>
  <si>
    <t xml:space="preserve"> Interpolated Fa:</t>
  </si>
  <si>
    <t>S1</t>
  </si>
  <si>
    <t xml:space="preserve"> Interpolated Fv:</t>
  </si>
  <si>
    <t>I, II, or III</t>
  </si>
  <si>
    <r>
      <t>S</t>
    </r>
    <r>
      <rPr>
        <vertAlign val="subscript"/>
        <sz val="11"/>
        <color theme="1"/>
        <rFont val="Calibri"/>
        <family val="2"/>
        <scheme val="minor"/>
      </rPr>
      <t>DS</t>
    </r>
    <r>
      <rPr>
        <sz val="11"/>
        <color theme="1"/>
        <rFont val="Calibri"/>
        <family val="2"/>
        <scheme val="minor"/>
      </rPr>
      <t xml:space="preserve"> &lt; 0.167</t>
    </r>
  </si>
  <si>
    <r>
      <t>S</t>
    </r>
    <r>
      <rPr>
        <vertAlign val="subscript"/>
        <sz val="11"/>
        <color theme="1"/>
        <rFont val="Calibri"/>
        <family val="2"/>
        <scheme val="minor"/>
      </rPr>
      <t>D1</t>
    </r>
    <r>
      <rPr>
        <sz val="11"/>
        <color theme="1"/>
        <rFont val="Calibri"/>
        <family val="2"/>
        <scheme val="minor"/>
      </rPr>
      <t xml:space="preserve"> &lt; 0.067</t>
    </r>
  </si>
  <si>
    <r>
      <t xml:space="preserve">0.167 </t>
    </r>
    <r>
      <rPr>
        <sz val="11"/>
        <color theme="1"/>
        <rFont val="Calibri"/>
        <family val="2"/>
      </rPr>
      <t>≤ S</t>
    </r>
    <r>
      <rPr>
        <vertAlign val="subscript"/>
        <sz val="11"/>
        <color theme="1"/>
        <rFont val="Calibri"/>
        <family val="2"/>
      </rPr>
      <t>DS</t>
    </r>
    <r>
      <rPr>
        <sz val="11"/>
        <color theme="1"/>
        <rFont val="Calibri"/>
        <family val="2"/>
      </rPr>
      <t xml:space="preserve"> &lt; 0.33</t>
    </r>
  </si>
  <si>
    <r>
      <t xml:space="preserve">0.067 </t>
    </r>
    <r>
      <rPr>
        <sz val="11"/>
        <color theme="1"/>
        <rFont val="Calibri"/>
        <family val="2"/>
      </rPr>
      <t>≤ S</t>
    </r>
    <r>
      <rPr>
        <vertAlign val="subscript"/>
        <sz val="11"/>
        <color theme="1"/>
        <rFont val="Calibri"/>
        <family val="2"/>
      </rPr>
      <t>D1</t>
    </r>
    <r>
      <rPr>
        <sz val="11"/>
        <color theme="1"/>
        <rFont val="Calibri"/>
        <family val="2"/>
      </rPr>
      <t xml:space="preserve"> &lt; 0.133</t>
    </r>
  </si>
  <si>
    <r>
      <t xml:space="preserve">0.33 </t>
    </r>
    <r>
      <rPr>
        <sz val="11"/>
        <color theme="1"/>
        <rFont val="Calibri"/>
        <family val="2"/>
      </rPr>
      <t>≤ S</t>
    </r>
    <r>
      <rPr>
        <vertAlign val="subscript"/>
        <sz val="11"/>
        <color theme="1"/>
        <rFont val="Calibri"/>
        <family val="2"/>
      </rPr>
      <t>DS</t>
    </r>
    <r>
      <rPr>
        <sz val="11"/>
        <color theme="1"/>
        <rFont val="Calibri"/>
        <family val="2"/>
      </rPr>
      <t xml:space="preserve"> &lt; 0.50</t>
    </r>
  </si>
  <si>
    <r>
      <t xml:space="preserve">0.133 </t>
    </r>
    <r>
      <rPr>
        <sz val="11"/>
        <color theme="1"/>
        <rFont val="Calibri"/>
        <family val="2"/>
      </rPr>
      <t>≤ S</t>
    </r>
    <r>
      <rPr>
        <vertAlign val="subscript"/>
        <sz val="11"/>
        <color theme="1"/>
        <rFont val="Calibri"/>
        <family val="2"/>
      </rPr>
      <t>D1</t>
    </r>
    <r>
      <rPr>
        <sz val="11"/>
        <color theme="1"/>
        <rFont val="Calibri"/>
        <family val="2"/>
      </rPr>
      <t xml:space="preserve"> &lt; 0.20</t>
    </r>
  </si>
  <si>
    <r>
      <t xml:space="preserve">0.50 </t>
    </r>
    <r>
      <rPr>
        <sz val="11"/>
        <color theme="1"/>
        <rFont val="Calibri"/>
        <family val="2"/>
      </rPr>
      <t>≤ S</t>
    </r>
    <r>
      <rPr>
        <vertAlign val="subscript"/>
        <sz val="11"/>
        <color theme="1"/>
        <rFont val="Calibri"/>
        <family val="2"/>
      </rPr>
      <t>DS</t>
    </r>
  </si>
  <si>
    <r>
      <t xml:space="preserve">0.20 </t>
    </r>
    <r>
      <rPr>
        <sz val="11"/>
        <color theme="1"/>
        <rFont val="Calibri"/>
        <family val="2"/>
      </rPr>
      <t>≤ S</t>
    </r>
    <r>
      <rPr>
        <vertAlign val="subscript"/>
        <sz val="11"/>
        <color theme="1"/>
        <rFont val="Calibri"/>
        <family val="2"/>
      </rPr>
      <t>D1</t>
    </r>
  </si>
  <si>
    <t>SDC based on Sds</t>
  </si>
  <si>
    <t>SDC based on Sd1</t>
  </si>
  <si>
    <t>SDC1:</t>
  </si>
  <si>
    <t>SDC2:</t>
  </si>
  <si>
    <t>Risk:</t>
  </si>
  <si>
    <t>Sds:</t>
  </si>
  <si>
    <t>Sd1:</t>
  </si>
  <si>
    <r>
      <t>S</t>
    </r>
    <r>
      <rPr>
        <vertAlign val="subscript"/>
        <sz val="11"/>
        <color theme="1"/>
        <rFont val="Calibri"/>
        <family val="2"/>
        <scheme val="minor"/>
      </rPr>
      <t>S</t>
    </r>
    <r>
      <rPr>
        <sz val="11"/>
        <color theme="1"/>
        <rFont val="Calibri"/>
        <family val="2"/>
        <scheme val="minor"/>
      </rPr>
      <t>:</t>
    </r>
  </si>
  <si>
    <r>
      <t>S</t>
    </r>
    <r>
      <rPr>
        <vertAlign val="subscript"/>
        <sz val="11"/>
        <color theme="1"/>
        <rFont val="Calibri"/>
        <family val="2"/>
        <scheme val="minor"/>
      </rPr>
      <t>1</t>
    </r>
    <r>
      <rPr>
        <sz val="11"/>
        <color theme="1"/>
        <rFont val="Calibri"/>
        <family val="2"/>
        <scheme val="minor"/>
      </rPr>
      <t>:</t>
    </r>
  </si>
  <si>
    <r>
      <t>T</t>
    </r>
    <r>
      <rPr>
        <vertAlign val="subscript"/>
        <sz val="11"/>
        <color theme="1"/>
        <rFont val="Calibri"/>
        <family val="2"/>
        <scheme val="minor"/>
      </rPr>
      <t>L</t>
    </r>
    <r>
      <rPr>
        <sz val="11"/>
        <color theme="1"/>
        <rFont val="Calibri"/>
        <family val="2"/>
        <scheme val="minor"/>
      </rPr>
      <t>:</t>
    </r>
  </si>
  <si>
    <r>
      <t>Acceleration-based site coefficient, F</t>
    </r>
    <r>
      <rPr>
        <vertAlign val="subscript"/>
        <sz val="11"/>
        <color theme="1"/>
        <rFont val="Calibri"/>
        <family val="2"/>
        <scheme val="minor"/>
      </rPr>
      <t>a</t>
    </r>
    <r>
      <rPr>
        <sz val="11"/>
        <color theme="1"/>
        <rFont val="Calibri"/>
        <family val="2"/>
        <scheme val="minor"/>
      </rPr>
      <t>:</t>
    </r>
  </si>
  <si>
    <r>
      <t>Velocity-based site coefficient, F</t>
    </r>
    <r>
      <rPr>
        <vertAlign val="subscript"/>
        <sz val="11"/>
        <color theme="1"/>
        <rFont val="Calibri"/>
        <family val="2"/>
        <scheme val="minor"/>
      </rPr>
      <t>v</t>
    </r>
    <r>
      <rPr>
        <sz val="11"/>
        <color theme="1"/>
        <rFont val="Calibri"/>
        <family val="2"/>
        <scheme val="minor"/>
      </rPr>
      <t>:</t>
    </r>
  </si>
  <si>
    <r>
      <t>Design spectral response acceleration short period, S</t>
    </r>
    <r>
      <rPr>
        <vertAlign val="subscript"/>
        <sz val="11"/>
        <color theme="1"/>
        <rFont val="Calibri"/>
        <family val="2"/>
        <scheme val="minor"/>
      </rPr>
      <t>DS</t>
    </r>
    <r>
      <rPr>
        <sz val="11"/>
        <color theme="1"/>
        <rFont val="Calibri"/>
        <family val="2"/>
        <scheme val="minor"/>
      </rPr>
      <t>:</t>
    </r>
  </si>
  <si>
    <r>
      <t>Design spectral response acceleration 1 s period, S</t>
    </r>
    <r>
      <rPr>
        <vertAlign val="subscript"/>
        <sz val="11"/>
        <color theme="1"/>
        <rFont val="Calibri"/>
        <family val="2"/>
        <scheme val="minor"/>
      </rPr>
      <t>D1</t>
    </r>
    <r>
      <rPr>
        <sz val="11"/>
        <color theme="1"/>
        <rFont val="Calibri"/>
        <family val="2"/>
        <scheme val="minor"/>
      </rPr>
      <t>:</t>
    </r>
  </si>
  <si>
    <r>
      <t>Seismic Design Category Based on S</t>
    </r>
    <r>
      <rPr>
        <vertAlign val="subscript"/>
        <sz val="11"/>
        <color theme="1"/>
        <rFont val="Calibri"/>
        <family val="2"/>
        <scheme val="minor"/>
      </rPr>
      <t>1</t>
    </r>
    <r>
      <rPr>
        <sz val="11"/>
        <color theme="1"/>
        <rFont val="Calibri"/>
        <family val="2"/>
        <scheme val="minor"/>
      </rPr>
      <t>:</t>
    </r>
  </si>
  <si>
    <t>Controlling Seismic Design Category:</t>
  </si>
  <si>
    <t>Deg</t>
  </si>
  <si>
    <t>Min</t>
  </si>
  <si>
    <t>Sec</t>
  </si>
  <si>
    <t>USGS URL:</t>
  </si>
  <si>
    <r>
      <t>h</t>
    </r>
    <r>
      <rPr>
        <vertAlign val="subscript"/>
        <sz val="11"/>
        <color theme="1"/>
        <rFont val="Calibri"/>
        <family val="2"/>
        <scheme val="minor"/>
      </rPr>
      <t>x</t>
    </r>
  </si>
  <si>
    <r>
      <t>w</t>
    </r>
    <r>
      <rPr>
        <vertAlign val="subscript"/>
        <sz val="11"/>
        <color theme="1"/>
        <rFont val="Calibri"/>
        <family val="2"/>
        <scheme val="minor"/>
      </rPr>
      <t>x</t>
    </r>
  </si>
  <si>
    <r>
      <t>w</t>
    </r>
    <r>
      <rPr>
        <vertAlign val="subscript"/>
        <sz val="11"/>
        <color theme="1"/>
        <rFont val="Calibri"/>
        <family val="2"/>
        <scheme val="minor"/>
      </rPr>
      <t>x</t>
    </r>
    <r>
      <rPr>
        <sz val="11"/>
        <color theme="1"/>
        <rFont val="Calibri"/>
        <family val="2"/>
        <scheme val="minor"/>
      </rPr>
      <t>h</t>
    </r>
    <r>
      <rPr>
        <vertAlign val="subscript"/>
        <sz val="11"/>
        <color theme="1"/>
        <rFont val="Calibri"/>
        <family val="2"/>
        <scheme val="minor"/>
      </rPr>
      <t>x</t>
    </r>
    <r>
      <rPr>
        <vertAlign val="superscript"/>
        <sz val="11"/>
        <color theme="1"/>
        <rFont val="Calibri"/>
        <family val="2"/>
        <scheme val="minor"/>
      </rPr>
      <t>k</t>
    </r>
  </si>
  <si>
    <r>
      <t>C</t>
    </r>
    <r>
      <rPr>
        <vertAlign val="subscript"/>
        <sz val="11"/>
        <color theme="1"/>
        <rFont val="Calibri"/>
        <family val="2"/>
        <scheme val="minor"/>
      </rPr>
      <t>vx</t>
    </r>
  </si>
  <si>
    <t>Linear Loads</t>
  </si>
  <si>
    <t>Effective Seismic Weight, W:</t>
  </si>
  <si>
    <t>Height, h:</t>
  </si>
  <si>
    <t>kips</t>
  </si>
  <si>
    <t>Location</t>
  </si>
  <si>
    <t>Code and Site Parameters</t>
  </si>
  <si>
    <t>Seismic Design Category Determination</t>
  </si>
  <si>
    <t>Tower Details</t>
  </si>
  <si>
    <t>Seismic Base Shear</t>
  </si>
  <si>
    <t>Response Modification Factor, R:</t>
  </si>
  <si>
    <t>Response Modification Factor</t>
  </si>
  <si>
    <t>Monopole</t>
  </si>
  <si>
    <t>Guyed Tower</t>
  </si>
  <si>
    <r>
      <t>Seismic Design Category Based on S</t>
    </r>
    <r>
      <rPr>
        <vertAlign val="subscript"/>
        <sz val="11"/>
        <color theme="1"/>
        <rFont val="Calibri"/>
        <family val="2"/>
        <scheme val="minor"/>
      </rPr>
      <t>DS</t>
    </r>
    <r>
      <rPr>
        <sz val="11"/>
        <color theme="1"/>
        <rFont val="Calibri"/>
        <family val="2"/>
        <scheme val="minor"/>
      </rPr>
      <t>:</t>
    </r>
  </si>
  <si>
    <r>
      <t>Seismic Design Category Based on S</t>
    </r>
    <r>
      <rPr>
        <vertAlign val="subscript"/>
        <sz val="11"/>
        <color theme="1"/>
        <rFont val="Calibri"/>
        <family val="2"/>
        <scheme val="minor"/>
      </rPr>
      <t>D1</t>
    </r>
    <r>
      <rPr>
        <sz val="11"/>
        <color theme="1"/>
        <rFont val="Calibri"/>
        <family val="2"/>
        <scheme val="minor"/>
      </rPr>
      <t>:</t>
    </r>
  </si>
  <si>
    <t>Enabled</t>
  </si>
  <si>
    <t>Manufacturer</t>
  </si>
  <si>
    <t>Model</t>
  </si>
  <si>
    <t>Qty</t>
  </si>
  <si>
    <t>Start Ht</t>
  </si>
  <si>
    <t>End Ht</t>
  </si>
  <si>
    <t>Vert Offset</t>
  </si>
  <si>
    <t>Wt</t>
  </si>
  <si>
    <t>Sum</t>
  </si>
  <si>
    <r>
      <t>h</t>
    </r>
    <r>
      <rPr>
        <b/>
        <vertAlign val="subscript"/>
        <sz val="11"/>
        <color theme="0"/>
        <rFont val="Calibri"/>
        <family val="2"/>
        <scheme val="minor"/>
      </rPr>
      <t>x</t>
    </r>
  </si>
  <si>
    <r>
      <t>w</t>
    </r>
    <r>
      <rPr>
        <b/>
        <vertAlign val="subscript"/>
        <sz val="11"/>
        <color theme="0"/>
        <rFont val="Calibri"/>
        <family val="2"/>
        <scheme val="minor"/>
      </rPr>
      <t>x</t>
    </r>
  </si>
  <si>
    <r>
      <t>w</t>
    </r>
    <r>
      <rPr>
        <b/>
        <vertAlign val="subscript"/>
        <sz val="11"/>
        <color theme="0"/>
        <rFont val="Calibri"/>
        <family val="2"/>
        <scheme val="minor"/>
      </rPr>
      <t>x</t>
    </r>
    <r>
      <rPr>
        <b/>
        <sz val="11"/>
        <color theme="0"/>
        <rFont val="Calibri"/>
        <family val="2"/>
        <scheme val="minor"/>
      </rPr>
      <t>h</t>
    </r>
    <r>
      <rPr>
        <b/>
        <vertAlign val="subscript"/>
        <sz val="11"/>
        <color theme="0"/>
        <rFont val="Calibri"/>
        <family val="2"/>
        <scheme val="minor"/>
      </rPr>
      <t>x</t>
    </r>
    <r>
      <rPr>
        <b/>
        <vertAlign val="superscript"/>
        <sz val="11"/>
        <color theme="0"/>
        <rFont val="Calibri"/>
        <family val="2"/>
        <scheme val="minor"/>
      </rPr>
      <t>k</t>
    </r>
  </si>
  <si>
    <r>
      <t>C</t>
    </r>
    <r>
      <rPr>
        <b/>
        <vertAlign val="subscript"/>
        <sz val="11"/>
        <color theme="0"/>
        <rFont val="Calibri"/>
        <family val="2"/>
        <scheme val="minor"/>
      </rPr>
      <t>vx</t>
    </r>
  </si>
  <si>
    <t>Top Height</t>
  </si>
  <si>
    <r>
      <t>Mid Height, h</t>
    </r>
    <r>
      <rPr>
        <vertAlign val="subscript"/>
        <sz val="11"/>
        <color theme="1"/>
        <rFont val="Calibri"/>
        <family val="2"/>
        <scheme val="minor"/>
      </rPr>
      <t>x</t>
    </r>
  </si>
  <si>
    <r>
      <t>Section Weight, w</t>
    </r>
    <r>
      <rPr>
        <vertAlign val="subscript"/>
        <sz val="11"/>
        <color theme="1"/>
        <rFont val="Calibri"/>
        <family val="2"/>
        <scheme val="minor"/>
      </rPr>
      <t>x</t>
    </r>
  </si>
  <si>
    <t>Section Number</t>
  </si>
  <si>
    <t>Guy Attachment Elevation</t>
  </si>
  <si>
    <t>Total Guy Weight</t>
  </si>
  <si>
    <t>Section Length</t>
  </si>
  <si>
    <t>Section Weight</t>
  </si>
  <si>
    <t>Guy Loads</t>
  </si>
  <si>
    <t>Tower Section Loads</t>
  </si>
  <si>
    <r>
      <t>Guy Attachment Elevation, h</t>
    </r>
    <r>
      <rPr>
        <vertAlign val="subscript"/>
        <sz val="11"/>
        <color theme="1"/>
        <rFont val="Calibri"/>
        <family val="2"/>
        <scheme val="minor"/>
      </rPr>
      <t>x</t>
    </r>
  </si>
  <si>
    <t>Start Height</t>
  </si>
  <si>
    <t>End Height</t>
  </si>
  <si>
    <t>File</t>
  </si>
  <si>
    <t>USName</t>
  </si>
  <si>
    <t>s</t>
  </si>
  <si>
    <r>
      <t>Seismic Response Coefficient, C</t>
    </r>
    <r>
      <rPr>
        <vertAlign val="subscript"/>
        <sz val="11"/>
        <color theme="1"/>
        <rFont val="Calibri"/>
        <family val="2"/>
        <scheme val="minor"/>
      </rPr>
      <t>s</t>
    </r>
  </si>
  <si>
    <r>
      <t>Seismic Response Coefficient Min 1, C</t>
    </r>
    <r>
      <rPr>
        <vertAlign val="subscript"/>
        <sz val="11"/>
        <color theme="1"/>
        <rFont val="Calibri"/>
        <family val="2"/>
        <scheme val="minor"/>
      </rPr>
      <t>smin</t>
    </r>
  </si>
  <si>
    <r>
      <t>Seismic Response Coefficient Min 2, C</t>
    </r>
    <r>
      <rPr>
        <vertAlign val="subscript"/>
        <sz val="11"/>
        <color theme="1"/>
        <rFont val="Calibri"/>
        <family val="2"/>
        <scheme val="minor"/>
      </rPr>
      <t>smin</t>
    </r>
  </si>
  <si>
    <r>
      <t>Importance Factor, I</t>
    </r>
    <r>
      <rPr>
        <vertAlign val="subscript"/>
        <sz val="11"/>
        <color theme="1"/>
        <rFont val="Calibri"/>
        <family val="2"/>
        <scheme val="minor"/>
      </rPr>
      <t>e</t>
    </r>
    <r>
      <rPr>
        <sz val="11"/>
        <color theme="1"/>
        <rFont val="Calibri"/>
        <family val="2"/>
        <scheme val="minor"/>
      </rPr>
      <t>:</t>
    </r>
  </si>
  <si>
    <r>
      <t>Seismic Response Coefficient Max 1, C</t>
    </r>
    <r>
      <rPr>
        <vertAlign val="subscript"/>
        <sz val="11"/>
        <color theme="1"/>
        <rFont val="Calibri"/>
        <family val="2"/>
        <scheme val="minor"/>
      </rPr>
      <t>smax</t>
    </r>
  </si>
  <si>
    <r>
      <t>Seismic Response Coefficient Max 2, C</t>
    </r>
    <r>
      <rPr>
        <vertAlign val="subscript"/>
        <sz val="11"/>
        <color theme="1"/>
        <rFont val="Calibri"/>
        <family val="2"/>
        <scheme val="minor"/>
      </rPr>
      <t>smax</t>
    </r>
  </si>
  <si>
    <r>
      <t>Controlling Seismic Response Coefficient, C</t>
    </r>
    <r>
      <rPr>
        <vertAlign val="subscript"/>
        <sz val="11"/>
        <color theme="1"/>
        <rFont val="Calibri"/>
        <family val="2"/>
        <scheme val="minor"/>
      </rPr>
      <t>sc</t>
    </r>
  </si>
  <si>
    <t>Seismic Base Shear, V</t>
  </si>
  <si>
    <t>Vertical Distribution Factors</t>
  </si>
  <si>
    <r>
      <t>Sum of w</t>
    </r>
    <r>
      <rPr>
        <vertAlign val="subscript"/>
        <sz val="11"/>
        <color theme="1"/>
        <rFont val="Calibri"/>
        <family val="2"/>
        <scheme val="minor"/>
      </rPr>
      <t>i</t>
    </r>
    <r>
      <rPr>
        <sz val="11"/>
        <color theme="1"/>
        <rFont val="Calibri"/>
        <family val="2"/>
        <scheme val="minor"/>
      </rPr>
      <t>h</t>
    </r>
    <r>
      <rPr>
        <vertAlign val="subscript"/>
        <sz val="11"/>
        <color theme="1"/>
        <rFont val="Calibri"/>
        <family val="2"/>
        <scheme val="minor"/>
      </rPr>
      <t>i</t>
    </r>
    <r>
      <rPr>
        <vertAlign val="superscript"/>
        <sz val="11"/>
        <color theme="1"/>
        <rFont val="Calibri"/>
        <family val="2"/>
        <scheme val="minor"/>
      </rPr>
      <t>k</t>
    </r>
  </si>
  <si>
    <t>Period Related Exponent, k:</t>
  </si>
  <si>
    <t>Ht</t>
  </si>
  <si>
    <t>L</t>
  </si>
  <si>
    <t>n</t>
  </si>
  <si>
    <t>t</t>
  </si>
  <si>
    <t>V</t>
  </si>
  <si>
    <t>W</t>
  </si>
  <si>
    <r>
      <t>kip/ft</t>
    </r>
    <r>
      <rPr>
        <vertAlign val="superscript"/>
        <sz val="11"/>
        <color theme="1"/>
        <rFont val="Calibri"/>
        <family val="2"/>
        <scheme val="minor"/>
      </rPr>
      <t>3</t>
    </r>
  </si>
  <si>
    <t>Top</t>
  </si>
  <si>
    <t>Bottom</t>
  </si>
  <si>
    <t>Inner</t>
  </si>
  <si>
    <r>
      <t>r</t>
    </r>
    <r>
      <rPr>
        <vertAlign val="subscript"/>
        <sz val="10"/>
        <color theme="1"/>
        <rFont val="Calibri Light"/>
        <family val="1"/>
        <scheme val="major"/>
      </rPr>
      <t>ti</t>
    </r>
  </si>
  <si>
    <r>
      <t>Ht</t>
    </r>
    <r>
      <rPr>
        <vertAlign val="subscript"/>
        <sz val="10"/>
        <color theme="1"/>
        <rFont val="Calibri Light"/>
        <family val="1"/>
        <scheme val="major"/>
      </rPr>
      <t>m</t>
    </r>
  </si>
  <si>
    <r>
      <t>D</t>
    </r>
    <r>
      <rPr>
        <vertAlign val="subscript"/>
        <sz val="10"/>
        <color theme="1"/>
        <rFont val="Calibri Light"/>
        <family val="1"/>
        <scheme val="major"/>
      </rPr>
      <t>t</t>
    </r>
  </si>
  <si>
    <r>
      <t>D</t>
    </r>
    <r>
      <rPr>
        <vertAlign val="subscript"/>
        <sz val="10"/>
        <color theme="1"/>
        <rFont val="Calibri Light"/>
        <family val="1"/>
        <scheme val="major"/>
      </rPr>
      <t>b</t>
    </r>
  </si>
  <si>
    <r>
      <t>A</t>
    </r>
    <r>
      <rPr>
        <vertAlign val="subscript"/>
        <sz val="10"/>
        <color theme="1"/>
        <rFont val="Calibri Light"/>
        <family val="1"/>
        <scheme val="major"/>
      </rPr>
      <t>to</t>
    </r>
  </si>
  <si>
    <r>
      <t>A</t>
    </r>
    <r>
      <rPr>
        <vertAlign val="subscript"/>
        <sz val="10"/>
        <color theme="1"/>
        <rFont val="Calibri Light"/>
        <family val="1"/>
        <scheme val="major"/>
      </rPr>
      <t>ti</t>
    </r>
  </si>
  <si>
    <r>
      <t>A</t>
    </r>
    <r>
      <rPr>
        <vertAlign val="subscript"/>
        <sz val="10"/>
        <color theme="1"/>
        <rFont val="Calibri Light"/>
        <family val="1"/>
        <scheme val="major"/>
      </rPr>
      <t>bo</t>
    </r>
  </si>
  <si>
    <r>
      <t>A</t>
    </r>
    <r>
      <rPr>
        <vertAlign val="subscript"/>
        <sz val="10"/>
        <color theme="1"/>
        <rFont val="Calibri Light"/>
        <family val="1"/>
        <scheme val="major"/>
      </rPr>
      <t>bi</t>
    </r>
  </si>
  <si>
    <r>
      <t>V</t>
    </r>
    <r>
      <rPr>
        <vertAlign val="subscript"/>
        <sz val="10"/>
        <color theme="1"/>
        <rFont val="Calibri Light"/>
        <family val="1"/>
        <scheme val="major"/>
      </rPr>
      <t>o</t>
    </r>
  </si>
  <si>
    <r>
      <t>V</t>
    </r>
    <r>
      <rPr>
        <vertAlign val="subscript"/>
        <sz val="10"/>
        <color theme="1"/>
        <rFont val="Calibri Light"/>
        <family val="1"/>
        <scheme val="major"/>
      </rPr>
      <t>i</t>
    </r>
  </si>
  <si>
    <r>
      <t>r</t>
    </r>
    <r>
      <rPr>
        <vertAlign val="subscript"/>
        <sz val="10"/>
        <color theme="1"/>
        <rFont val="Calibri Light"/>
        <family val="1"/>
        <scheme val="major"/>
      </rPr>
      <t>to</t>
    </r>
  </si>
  <si>
    <r>
      <t>I</t>
    </r>
    <r>
      <rPr>
        <vertAlign val="subscript"/>
        <sz val="10"/>
        <color theme="1"/>
        <rFont val="Calibri Light"/>
        <family val="1"/>
        <scheme val="major"/>
      </rPr>
      <t>to</t>
    </r>
  </si>
  <si>
    <r>
      <t>I</t>
    </r>
    <r>
      <rPr>
        <vertAlign val="subscript"/>
        <sz val="10"/>
        <color theme="1"/>
        <rFont val="Calibri Light"/>
        <family val="1"/>
        <scheme val="major"/>
      </rPr>
      <t>ti</t>
    </r>
  </si>
  <si>
    <r>
      <t>I</t>
    </r>
    <r>
      <rPr>
        <vertAlign val="subscript"/>
        <sz val="10"/>
        <color theme="1"/>
        <rFont val="Calibri Light"/>
        <family val="1"/>
        <scheme val="major"/>
      </rPr>
      <t>t</t>
    </r>
  </si>
  <si>
    <t>Outer</t>
  </si>
  <si>
    <r>
      <t>r</t>
    </r>
    <r>
      <rPr>
        <vertAlign val="subscript"/>
        <sz val="10"/>
        <color theme="1"/>
        <rFont val="Calibri Light"/>
        <family val="1"/>
        <scheme val="major"/>
      </rPr>
      <t>bo</t>
    </r>
  </si>
  <si>
    <r>
      <t>I</t>
    </r>
    <r>
      <rPr>
        <vertAlign val="subscript"/>
        <sz val="10"/>
        <color theme="1"/>
        <rFont val="Calibri Light"/>
        <family val="1"/>
        <scheme val="major"/>
      </rPr>
      <t>bo</t>
    </r>
  </si>
  <si>
    <r>
      <t>r</t>
    </r>
    <r>
      <rPr>
        <vertAlign val="subscript"/>
        <sz val="10"/>
        <color theme="1"/>
        <rFont val="Calibri Light"/>
        <family val="1"/>
        <scheme val="major"/>
      </rPr>
      <t>bi</t>
    </r>
  </si>
  <si>
    <r>
      <t>I</t>
    </r>
    <r>
      <rPr>
        <vertAlign val="subscript"/>
        <sz val="10"/>
        <color theme="1"/>
        <rFont val="Calibri Light"/>
        <family val="1"/>
        <scheme val="major"/>
      </rPr>
      <t>bi</t>
    </r>
  </si>
  <si>
    <r>
      <t>I</t>
    </r>
    <r>
      <rPr>
        <vertAlign val="subscript"/>
        <sz val="10"/>
        <color theme="1"/>
        <rFont val="Calibri Light"/>
        <family val="1"/>
        <scheme val="major"/>
      </rPr>
      <t>b</t>
    </r>
  </si>
  <si>
    <r>
      <t>I</t>
    </r>
    <r>
      <rPr>
        <vertAlign val="subscript"/>
        <sz val="10"/>
        <color theme="1"/>
        <rFont val="Calibri Light"/>
        <family val="1"/>
        <scheme val="major"/>
      </rPr>
      <t>avg</t>
    </r>
  </si>
  <si>
    <r>
      <t>S</t>
    </r>
    <r>
      <rPr>
        <vertAlign val="subscript"/>
        <sz val="10"/>
        <color theme="1"/>
        <rFont val="Calibri Light"/>
        <family val="1"/>
        <scheme val="major"/>
      </rPr>
      <t>to</t>
    </r>
  </si>
  <si>
    <r>
      <t>S</t>
    </r>
    <r>
      <rPr>
        <vertAlign val="subscript"/>
        <sz val="10"/>
        <color theme="1"/>
        <rFont val="Calibri Light"/>
        <family val="1"/>
        <scheme val="major"/>
      </rPr>
      <t>ti</t>
    </r>
  </si>
  <si>
    <r>
      <t>S</t>
    </r>
    <r>
      <rPr>
        <vertAlign val="subscript"/>
        <sz val="10"/>
        <color theme="1"/>
        <rFont val="Calibri Light"/>
        <family val="1"/>
        <scheme val="major"/>
      </rPr>
      <t>bo</t>
    </r>
  </si>
  <si>
    <r>
      <t>S</t>
    </r>
    <r>
      <rPr>
        <vertAlign val="subscript"/>
        <sz val="10"/>
        <color theme="1"/>
        <rFont val="Calibri Light"/>
        <family val="1"/>
        <scheme val="major"/>
      </rPr>
      <t>bi</t>
    </r>
  </si>
  <si>
    <t>Max Section Length:</t>
  </si>
  <si>
    <r>
      <t>F</t>
    </r>
    <r>
      <rPr>
        <vertAlign val="subscript"/>
        <sz val="11"/>
        <color theme="1"/>
        <rFont val="Calibri"/>
        <family val="2"/>
        <scheme val="minor"/>
      </rPr>
      <t>xh</t>
    </r>
  </si>
  <si>
    <r>
      <t>F</t>
    </r>
    <r>
      <rPr>
        <vertAlign val="subscript"/>
        <sz val="11"/>
        <color theme="1"/>
        <rFont val="Calibri"/>
        <family val="2"/>
        <scheme val="minor"/>
      </rPr>
      <t>xv</t>
    </r>
  </si>
  <si>
    <r>
      <t>F</t>
    </r>
    <r>
      <rPr>
        <b/>
        <vertAlign val="subscript"/>
        <sz val="11"/>
        <color theme="0"/>
        <rFont val="Calibri"/>
        <family val="2"/>
        <scheme val="minor"/>
      </rPr>
      <t>xv</t>
    </r>
  </si>
  <si>
    <r>
      <t>F</t>
    </r>
    <r>
      <rPr>
        <b/>
        <vertAlign val="subscript"/>
        <sz val="11"/>
        <color theme="0"/>
        <rFont val="Calibri"/>
        <family val="2"/>
        <scheme val="minor"/>
      </rPr>
      <t>xh</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</si>
  <si>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1.25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</si>
  <si>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1.5</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</si>
  <si>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0.6</t>
    </r>
    <r>
      <rPr>
        <sz val="11"/>
        <color theme="1"/>
        <rFont val="Calibri"/>
        <family val="2"/>
        <scheme val="minor"/>
      </rPr>
      <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</si>
  <si>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0.5</t>
    </r>
  </si>
  <si>
    <r>
      <t>Amplification Factor, A</t>
    </r>
    <r>
      <rPr>
        <vertAlign val="subscript"/>
        <sz val="11"/>
        <color theme="1"/>
        <rFont val="Calibri"/>
        <family val="2"/>
        <scheme val="minor"/>
      </rPr>
      <t>s</t>
    </r>
    <r>
      <rPr>
        <sz val="11"/>
        <color theme="1"/>
        <rFont val="Calibri"/>
        <family val="2"/>
        <scheme val="minor"/>
      </rPr>
      <t>:</t>
    </r>
  </si>
  <si>
    <t>D (Default)</t>
  </si>
  <si>
    <t>D (Determined)</t>
  </si>
  <si>
    <r>
      <t>Discrete Appurtenance Weight in Top 1/3 of Structure, W</t>
    </r>
    <r>
      <rPr>
        <vertAlign val="subscript"/>
        <sz val="11"/>
        <color theme="1"/>
        <rFont val="Calibri"/>
        <family val="2"/>
        <scheme val="minor"/>
      </rPr>
      <t>u</t>
    </r>
    <r>
      <rPr>
        <sz val="11"/>
        <color theme="1"/>
        <rFont val="Calibri"/>
        <family val="2"/>
        <scheme val="minor"/>
      </rPr>
      <t>:</t>
    </r>
  </si>
  <si>
    <r>
      <t>W</t>
    </r>
    <r>
      <rPr>
        <vertAlign val="subscript"/>
        <sz val="11"/>
        <color theme="1"/>
        <rFont val="Calibri"/>
        <family val="2"/>
        <scheme val="minor"/>
      </rPr>
      <t>L</t>
    </r>
    <r>
      <rPr>
        <sz val="11"/>
        <color theme="1"/>
        <rFont val="Calibri"/>
        <family val="2"/>
        <scheme val="minor"/>
      </rPr>
      <t>:</t>
    </r>
  </si>
  <si>
    <r>
      <t>Average Moment of Inertia, I</t>
    </r>
    <r>
      <rPr>
        <vertAlign val="subscript"/>
        <sz val="11"/>
        <color theme="1"/>
        <rFont val="Calibri"/>
        <family val="2"/>
        <scheme val="minor"/>
      </rPr>
      <t>avg</t>
    </r>
    <r>
      <rPr>
        <sz val="11"/>
        <color theme="1"/>
        <rFont val="Calibri"/>
        <family val="2"/>
        <scheme val="minor"/>
      </rPr>
      <t>:</t>
    </r>
  </si>
  <si>
    <r>
      <t>K</t>
    </r>
    <r>
      <rPr>
        <vertAlign val="subscript"/>
        <sz val="11"/>
        <color theme="1"/>
        <rFont val="Calibri"/>
        <family val="2"/>
        <scheme val="minor"/>
      </rPr>
      <t>f</t>
    </r>
    <r>
      <rPr>
        <sz val="11"/>
        <color theme="1"/>
        <rFont val="Calibri"/>
        <family val="2"/>
        <scheme val="minor"/>
      </rPr>
      <t>:</t>
    </r>
  </si>
  <si>
    <r>
      <t>w</t>
    </r>
    <r>
      <rPr>
        <vertAlign val="subscript"/>
        <sz val="11"/>
        <color theme="1"/>
        <rFont val="Calibri"/>
        <family val="2"/>
        <scheme val="minor"/>
      </rPr>
      <t>a</t>
    </r>
    <r>
      <rPr>
        <sz val="11"/>
        <color theme="1"/>
        <rFont val="Calibri"/>
        <family val="2"/>
        <scheme val="minor"/>
      </rPr>
      <t>:</t>
    </r>
  </si>
  <si>
    <r>
      <t>w</t>
    </r>
    <r>
      <rPr>
        <vertAlign val="subscript"/>
        <sz val="11"/>
        <color theme="1"/>
        <rFont val="Calibri"/>
        <family val="2"/>
        <scheme val="minor"/>
      </rPr>
      <t>0</t>
    </r>
    <r>
      <rPr>
        <sz val="11"/>
        <color theme="1"/>
        <rFont val="Calibri"/>
        <family val="2"/>
        <scheme val="minor"/>
      </rPr>
      <t>:</t>
    </r>
  </si>
  <si>
    <r>
      <t>Weight of Structure and Appurtenances within top 5%, W</t>
    </r>
    <r>
      <rPr>
        <vertAlign val="subscript"/>
        <sz val="11"/>
        <color theme="1"/>
        <rFont val="Calibri"/>
        <family val="2"/>
        <scheme val="minor"/>
      </rPr>
      <t>2</t>
    </r>
    <r>
      <rPr>
        <sz val="11"/>
        <color theme="1"/>
        <rFont val="Calibri"/>
        <family val="2"/>
        <scheme val="minor"/>
      </rPr>
      <t>:</t>
    </r>
  </si>
  <si>
    <r>
      <t>F</t>
    </r>
    <r>
      <rPr>
        <vertAlign val="subscript"/>
        <sz val="11"/>
        <color theme="1"/>
        <rFont val="Calibri"/>
        <family val="2"/>
        <scheme val="minor"/>
      </rPr>
      <t>a</t>
    </r>
    <r>
      <rPr>
        <sz val="11"/>
        <color theme="1"/>
        <rFont val="Calibri"/>
        <family val="2"/>
        <scheme val="minor"/>
      </rPr>
      <t>:</t>
    </r>
  </si>
  <si>
    <r>
      <t>C</t>
    </r>
    <r>
      <rPr>
        <vertAlign val="subscript"/>
        <sz val="11"/>
        <color theme="1"/>
        <rFont val="Calibri"/>
        <family val="2"/>
        <scheme val="minor"/>
      </rPr>
      <t>g</t>
    </r>
    <r>
      <rPr>
        <sz val="11"/>
        <color theme="1"/>
        <rFont val="Calibri"/>
        <family val="2"/>
        <scheme val="minor"/>
      </rPr>
      <t>:</t>
    </r>
  </si>
  <si>
    <r>
      <t>K</t>
    </r>
    <r>
      <rPr>
        <vertAlign val="subscript"/>
        <sz val="11"/>
        <color theme="1"/>
        <rFont val="Calibri"/>
        <family val="2"/>
        <scheme val="minor"/>
      </rPr>
      <t>g</t>
    </r>
    <r>
      <rPr>
        <sz val="11"/>
        <color theme="1"/>
        <rFont val="Calibri"/>
        <family val="2"/>
        <scheme val="minor"/>
      </rPr>
      <t>:</t>
    </r>
  </si>
  <si>
    <r>
      <t>A</t>
    </r>
    <r>
      <rPr>
        <vertAlign val="subscript"/>
        <sz val="11"/>
        <color theme="1"/>
        <rFont val="Calibri"/>
        <family val="2"/>
        <scheme val="minor"/>
      </rPr>
      <t>gi</t>
    </r>
  </si>
  <si>
    <r>
      <t>N</t>
    </r>
    <r>
      <rPr>
        <vertAlign val="subscript"/>
        <sz val="11"/>
        <color theme="1"/>
        <rFont val="Calibri"/>
        <family val="2"/>
        <scheme val="minor"/>
      </rPr>
      <t>i</t>
    </r>
  </si>
  <si>
    <r>
      <t>G</t>
    </r>
    <r>
      <rPr>
        <vertAlign val="subscript"/>
        <sz val="11"/>
        <color theme="1"/>
        <rFont val="Calibri"/>
        <family val="2"/>
        <scheme val="minor"/>
      </rPr>
      <t>ri</t>
    </r>
  </si>
  <si>
    <r>
      <t>L</t>
    </r>
    <r>
      <rPr>
        <vertAlign val="subscript"/>
        <sz val="11"/>
        <color theme="1"/>
        <rFont val="Calibri"/>
        <family val="2"/>
        <scheme val="minor"/>
      </rPr>
      <t>gi</t>
    </r>
  </si>
  <si>
    <r>
      <t>K</t>
    </r>
    <r>
      <rPr>
        <vertAlign val="subscript"/>
        <sz val="11"/>
        <color theme="1"/>
        <rFont val="Calibri"/>
        <family val="2"/>
        <scheme val="minor"/>
      </rPr>
      <t>g</t>
    </r>
  </si>
  <si>
    <r>
      <t xml:space="preserve"> Approximate Fundamental Period Guyed Towers, T</t>
    </r>
    <r>
      <rPr>
        <vertAlign val="subscript"/>
        <sz val="11"/>
        <color theme="1"/>
        <rFont val="Calibri"/>
        <family val="2"/>
        <scheme val="minor"/>
      </rPr>
      <t>a</t>
    </r>
    <r>
      <rPr>
        <sz val="11"/>
        <color theme="1"/>
        <rFont val="Calibri"/>
        <family val="2"/>
        <scheme val="minor"/>
      </rPr>
      <t>:</t>
    </r>
  </si>
  <si>
    <t>Default</t>
  </si>
  <si>
    <t>Stiff Soil</t>
  </si>
  <si>
    <t>2.7.8.1</t>
  </si>
  <si>
    <t>Fundamental Period, T:</t>
  </si>
  <si>
    <r>
      <t xml:space="preserve"> Approximate Fundamental Period Monopole, T</t>
    </r>
    <r>
      <rPr>
        <vertAlign val="subscript"/>
        <sz val="11"/>
        <color theme="1"/>
        <rFont val="Calibri"/>
        <family val="2"/>
        <scheme val="minor"/>
      </rPr>
      <t>a</t>
    </r>
    <r>
      <rPr>
        <sz val="11"/>
        <color theme="1"/>
        <rFont val="Calibri"/>
        <family val="2"/>
        <scheme val="minor"/>
      </rPr>
      <t>:</t>
    </r>
  </si>
  <si>
    <r>
      <t xml:space="preserve"> Approximate Fundamental Period Self-Support, T</t>
    </r>
    <r>
      <rPr>
        <vertAlign val="subscript"/>
        <sz val="11"/>
        <color theme="1"/>
        <rFont val="Calibri"/>
        <family val="2"/>
        <scheme val="minor"/>
      </rPr>
      <t>a</t>
    </r>
    <r>
      <rPr>
        <sz val="11"/>
        <color theme="1"/>
        <rFont val="Calibri"/>
        <family val="2"/>
        <scheme val="minor"/>
      </rPr>
      <t>:</t>
    </r>
  </si>
  <si>
    <t>E:</t>
  </si>
  <si>
    <t>ksi</t>
  </si>
  <si>
    <r>
      <t>in</t>
    </r>
    <r>
      <rPr>
        <vertAlign val="superscript"/>
        <sz val="11"/>
        <color theme="1"/>
        <rFont val="Calibri"/>
        <family val="2"/>
        <scheme val="minor"/>
      </rPr>
      <t>4</t>
    </r>
  </si>
  <si>
    <t>g:</t>
  </si>
  <si>
    <r>
      <t>in/s</t>
    </r>
    <r>
      <rPr>
        <vertAlign val="superscript"/>
        <sz val="11"/>
        <color theme="1"/>
        <rFont val="Calibri"/>
        <family val="2"/>
        <scheme val="minor"/>
      </rPr>
      <t>2</t>
    </r>
  </si>
  <si>
    <r>
      <t>I</t>
    </r>
    <r>
      <rPr>
        <vertAlign val="subscript"/>
        <sz val="10"/>
        <color theme="1"/>
        <rFont val="Calibri Light"/>
        <family val="2"/>
        <scheme val="major"/>
      </rPr>
      <t>avg</t>
    </r>
    <r>
      <rPr>
        <sz val="10"/>
        <color theme="1"/>
        <rFont val="Calibri Light"/>
        <family val="2"/>
        <scheme val="major"/>
      </rPr>
      <t>L</t>
    </r>
  </si>
  <si>
    <r>
      <t>W</t>
    </r>
    <r>
      <rPr>
        <vertAlign val="subscript"/>
        <sz val="11"/>
        <color theme="1"/>
        <rFont val="Calibri"/>
        <family val="2"/>
        <scheme val="minor"/>
      </rPr>
      <t>1</t>
    </r>
    <r>
      <rPr>
        <sz val="11"/>
        <color theme="1"/>
        <rFont val="Calibri"/>
        <family val="2"/>
        <scheme val="minor"/>
      </rPr>
      <t>:</t>
    </r>
  </si>
  <si>
    <t>USGS Seismic Reference</t>
  </si>
  <si>
    <t>Revision</t>
  </si>
  <si>
    <t>Date</t>
  </si>
  <si>
    <t>Updates</t>
  </si>
  <si>
    <t>Current Revision:</t>
  </si>
  <si>
    <t>DHS</t>
  </si>
  <si>
    <t>Support:</t>
  </si>
  <si>
    <t>Engineering.Tools@crowncastle.com</t>
  </si>
  <si>
    <t>Launch TNX on Export:</t>
  </si>
  <si>
    <t>Error Number</t>
  </si>
  <si>
    <t>Descriptions</t>
  </si>
  <si>
    <t>Source</t>
  </si>
  <si>
    <t>TNX file:</t>
  </si>
  <si>
    <t>Updated By</t>
  </si>
  <si>
    <t>Troubleshoot Macros:</t>
  </si>
  <si>
    <t>Fundamental Period Factors</t>
  </si>
  <si>
    <t>3.0.0</t>
  </si>
  <si>
    <t>Order:</t>
  </si>
  <si>
    <t>Initial Release
  -SDC Determination based on ASCE 7
  -ASCE 7-10 seismic for 2012 IBC and 2015 IBC
  -TIA-222-H Seismic for 2018 IBC
  -Include Vertical Seismic Forces With 2 load cases (1.2D + Eh + Ev and 0.9D + Eh -Ev)
  -Import of USGS data from new API
  -Import lat/long (Crown intranet only)
  -Rewritten TNX import 
  -Automatically determines tower type
  -Simplified load naming
  -Add TNX notes
  -Launch TNX file after export (user can disable)
  -Fundamental Period equation for guy towers now uses guy areas from TNX database rather than pi*r^2.</t>
  </si>
  <si>
    <r>
      <t>Effective Guy Weight, w</t>
    </r>
    <r>
      <rPr>
        <vertAlign val="subscript"/>
        <sz val="11"/>
        <color theme="1"/>
        <rFont val="Calibri"/>
        <family val="2"/>
        <scheme val="minor"/>
      </rPr>
      <t>x</t>
    </r>
  </si>
  <si>
    <t>TNX Notes</t>
  </si>
  <si>
    <t>3.0.1</t>
  </si>
  <si>
    <t>Fixed bug with hiding fundemental period input after importing tower in ASCE 7-10.</t>
  </si>
  <si>
    <t>hz</t>
  </si>
  <si>
    <t>3.1.0</t>
  </si>
  <si>
    <t>CCISites URL:</t>
  </si>
  <si>
    <t>Error Handling:</t>
  </si>
  <si>
    <t>Worksheet Change:</t>
  </si>
  <si>
    <r>
      <t xml:space="preserve">Note: TNX does not output the weight of each monopole section and the average moment of inertia is required for TIA approximation of fundamental frequency. For these calcs, tapered monopole sections are broken into smaller sections to more evenly distribute the seismic loading. Each section is calculated as 4 polygons; top inner, top outer, bottom inner, and bottom outer. r = radius of </t>
    </r>
    <r>
      <rPr>
        <b/>
        <sz val="11"/>
        <color theme="1"/>
        <rFont val="Calibri"/>
        <family val="2"/>
        <scheme val="minor"/>
      </rPr>
      <t>inscribed</t>
    </r>
    <r>
      <rPr>
        <sz val="11"/>
        <color theme="1"/>
        <rFont val="Calibri"/>
        <family val="2"/>
        <scheme val="minor"/>
      </rPr>
      <t xml:space="preserve"> circle, S =  length of side
n=1 for round poles
Reference: http://mathworld.wolfram.com/RegularPolygon.html</t>
    </r>
  </si>
  <si>
    <t>3.1.1</t>
  </si>
  <si>
    <t>3.1.2</t>
  </si>
  <si>
    <t>Changes
 - Removed Arabic() function from Importance factor look up. Early versions of Excel were not compatible with this function.
Bug Fixes
- Fixed bug with calculating the section properties of round tapered monopoles.</t>
  </si>
  <si>
    <t>Bug Fixes
 - Previous bug fix for round tapered monopoles caused a bug for stepped monopoles. Both are now corrected.
Note
 - There was a change in the initial release which wasn't documented. In CCISeismic 2 the equation for appurtenance weight in the top third of the tower, used for the approximate fundamental frequency, included linear appurtenances. However, the TIA specifically says "weight of discrete appurtenances in the top third of structure" so the linear appurtenances were removed in all version of CCISeismic 3. This may have a small impact on the approximate fundemental frequency of monopoles.</t>
  </si>
  <si>
    <t>Changes
 - Exported models are only compatible with TNX 8.0.4 and later.
     - Use new seismic user forces with built-in seismic load combinations. 
     - Wind, ice, and area factors will be unchanged.
     - Appurtenance state (active/inactive) will be unchanged.
     - No longer need to export multiple seismic models. 
     - One model with wind and seismic can be used for the report.
     - Older TNX models can still be imported without being rerun in 8.0.4+
 - Removed "Code" input to select IBC. User only selects seismic design code now.
 - Disabled seismic parameter import.
 - Enabled TIA period approximation for ASCE 7-10 analysis.
 - Added “CCISeismic” prefix to loads created by the tool. All CCISeismic loads from previous analysis will be deleted on import.
 - Added “CCISeismic Note” prefix to all notes added by the tool. These will also be deleted on import and replaced by new notes.
 - Added compatibility with 64-bit version of excel.
Bug Fixes
 - Corrected factors when converting TNX model length units. Previously, some factors could have been incorrect affecting seismic load elevation and monopole section properties.</t>
  </si>
  <si>
    <t>3.1.3</t>
  </si>
  <si>
    <t>Weight Multiplier</t>
  </si>
  <si>
    <t>Net</t>
  </si>
  <si>
    <t>Bug Fixes
 - Corrected equation for base shear when T&lt;0.06.
 - Removed Arabic() function from sdc_s1 equation.
 - Now considers the weight multipliers from TNX when calculating MP section weights. This will have a small effect on the modified monopoles created in CCIPole.</t>
  </si>
  <si>
    <t>*Using ASCE 7-10 Seismic Parameters</t>
  </si>
  <si>
    <t xml:space="preserve">Warning: See Section 2.7.4.1 </t>
  </si>
  <si>
    <t>a</t>
  </si>
  <si>
    <t>b</t>
  </si>
  <si>
    <t>c</t>
  </si>
  <si>
    <r>
      <t>S</t>
    </r>
    <r>
      <rPr>
        <vertAlign val="subscript"/>
        <sz val="11"/>
        <color theme="1"/>
        <rFont val="Calibri"/>
        <family val="2"/>
        <scheme val="minor"/>
      </rPr>
      <t>az</t>
    </r>
  </si>
  <si>
    <r>
      <t>F</t>
    </r>
    <r>
      <rPr>
        <vertAlign val="subscript"/>
        <sz val="11"/>
        <color theme="1"/>
        <rFont val="Calibri"/>
        <family val="2"/>
        <scheme val="minor"/>
      </rPr>
      <t>sz</t>
    </r>
  </si>
  <si>
    <r>
      <t>Equivalent Modal Spectral Response Acceleration, S</t>
    </r>
    <r>
      <rPr>
        <vertAlign val="subscript"/>
        <sz val="11"/>
        <color theme="1"/>
        <rFont val="Calibri"/>
        <family val="2"/>
        <scheme val="minor"/>
      </rPr>
      <t>A</t>
    </r>
    <r>
      <rPr>
        <sz val="11"/>
        <color theme="1"/>
        <rFont val="Calibri"/>
        <family val="2"/>
        <scheme val="minor"/>
      </rPr>
      <t>:</t>
    </r>
  </si>
  <si>
    <t>Fv Reference (ASCE 7-05, ASCE 7-10, and TIA-222-G)</t>
  </si>
  <si>
    <t>Fa Reference (ASCE 7-05, ASCE 7-10, and TIA-222-G)</t>
  </si>
  <si>
    <t>Fa Reference (ASCE 7-16 and TIA-222-H)</t>
  </si>
  <si>
    <t>Fv Reference  (ASCE 7-16 and TIA-222-H)</t>
  </si>
  <si>
    <t>g</t>
  </si>
  <si>
    <r>
      <t xml:space="preserve">  Primary Seismic Base Shear, V</t>
    </r>
    <r>
      <rPr>
        <vertAlign val="subscript"/>
        <sz val="11"/>
        <color theme="1"/>
        <rFont val="Calibri"/>
        <family val="2"/>
        <scheme val="minor"/>
      </rPr>
      <t>s</t>
    </r>
  </si>
  <si>
    <r>
      <t>Alternative Seismic Base Shear, V</t>
    </r>
    <r>
      <rPr>
        <vertAlign val="subscript"/>
        <sz val="11"/>
        <color theme="1"/>
        <rFont val="Calibri"/>
        <family val="2"/>
        <scheme val="minor"/>
      </rPr>
      <t>sa</t>
    </r>
  </si>
  <si>
    <r>
      <t>Alternative Seismic Base Shear Min 1, V</t>
    </r>
    <r>
      <rPr>
        <vertAlign val="subscript"/>
        <sz val="11"/>
        <color theme="1"/>
        <rFont val="Calibri"/>
        <family val="2"/>
        <scheme val="minor"/>
      </rPr>
      <t>samin1</t>
    </r>
  </si>
  <si>
    <r>
      <t>Alternative Seismic Base Shear Min 2, V</t>
    </r>
    <r>
      <rPr>
        <vertAlign val="subscript"/>
        <sz val="11"/>
        <color theme="1"/>
        <rFont val="Calibri"/>
        <family val="2"/>
        <scheme val="minor"/>
      </rPr>
      <t>samin2</t>
    </r>
  </si>
  <si>
    <t>2.7.7.1</t>
  </si>
  <si>
    <t>3.2.0</t>
  </si>
  <si>
    <t>Changes
 - Added TIA-222-G support
 - Added TIA-222-H* option which will use ASCE 7-10 seismic parameters
 - Reenabled the USGS import feature. Confirmed to be using same data as ASCE Hazard Tool.
 - Added Importance Factor Override option.
Bug Fixes
 - Correctly hides old approximate period equations when importing a different tower type.</t>
  </si>
  <si>
    <t>Bug Fixes
 - Fixed SDC equations when using TIA-222-H* design code.
 - Adjusted equations for calculating weight of round taper pole. TNX sometimes considers round poles 0 sided and other times 1 sided.
 - Increased precision of decimal degrees (now shows 6 decimals) to match location and seismic parameters more closely with ASCE Hazard Tool.</t>
  </si>
  <si>
    <t>Review By</t>
  </si>
  <si>
    <t>3.2.1</t>
  </si>
  <si>
    <t>3.2.2</t>
  </si>
  <si>
    <r>
      <t>Corrected Equation for S</t>
    </r>
    <r>
      <rPr>
        <vertAlign val="subscript"/>
        <sz val="11"/>
        <color theme="1"/>
        <rFont val="Calibri"/>
        <family val="2"/>
        <scheme val="minor"/>
      </rPr>
      <t>az</t>
    </r>
    <r>
      <rPr>
        <sz val="11"/>
        <color theme="1"/>
        <rFont val="Calibri"/>
        <family val="2"/>
        <scheme val="minor"/>
      </rPr>
      <t xml:space="preserve">  in Equivalent Modal tables on TIA-222-G Loads sheet. Had a typo with b–SDS</t>
    </r>
    <r>
      <rPr>
        <vertAlign val="superscript"/>
        <sz val="11"/>
        <color theme="1"/>
        <rFont val="Calibri"/>
        <family val="2"/>
        <scheme val="minor"/>
      </rPr>
      <t>2</t>
    </r>
    <r>
      <rPr>
        <sz val="11"/>
        <color theme="1"/>
        <rFont val="Calibri"/>
        <family val="2"/>
        <scheme val="minor"/>
      </rPr>
      <t xml:space="preserve"> instead of b*SDS</t>
    </r>
    <r>
      <rPr>
        <vertAlign val="superscript"/>
        <sz val="11"/>
        <color theme="1"/>
        <rFont val="Calibri"/>
        <family val="2"/>
        <scheme val="minor"/>
      </rPr>
      <t>2.</t>
    </r>
  </si>
  <si>
    <t>3.2.3</t>
  </si>
  <si>
    <t>Removed Arabic() function from the equations for SDC based on Sds and Sd1 on the reference sheet.</t>
  </si>
  <si>
    <t>ANJ</t>
  </si>
  <si>
    <t>3.2.4</t>
  </si>
  <si>
    <t>Updated data type of some VBA variables to accommodate larger TNX files.</t>
  </si>
  <si>
    <t>TIA-222-H-1</t>
  </si>
  <si>
    <t>Density of Tower Material:</t>
  </si>
  <si>
    <t>3.3.0</t>
  </si>
  <si>
    <t>Description</t>
  </si>
  <si>
    <t>Ehx</t>
  </si>
  <si>
    <t>Ehz</t>
  </si>
  <si>
    <t>Ev</t>
  </si>
  <si>
    <t>Eh</t>
  </si>
  <si>
    <t>Create Seismic Loads for Existing User Forces:</t>
  </si>
  <si>
    <t>Consider Existing User Forces as Appurtenances :</t>
  </si>
  <si>
    <t>This will affect Wu factor for approximate fundemental frequency of monopoles</t>
  </si>
  <si>
    <t>Show Loading Bar:</t>
  </si>
  <si>
    <r>
      <t>T</t>
    </r>
    <r>
      <rPr>
        <vertAlign val="subscript"/>
        <sz val="11"/>
        <color theme="1"/>
        <rFont val="Calibri"/>
        <family val="2"/>
        <scheme val="minor"/>
      </rPr>
      <t>s</t>
    </r>
    <r>
      <rPr>
        <sz val="11"/>
        <color theme="1"/>
        <rFont val="Calibri"/>
        <family val="2"/>
        <scheme val="minor"/>
      </rPr>
      <t>:</t>
    </r>
  </si>
  <si>
    <t>Ss Lower Bound</t>
  </si>
  <si>
    <t>Fa Lower Bound</t>
  </si>
  <si>
    <t>SS Upper Bound</t>
  </si>
  <si>
    <t>Fa Upper Bound</t>
  </si>
  <si>
    <t>Fv Lower Bound</t>
  </si>
  <si>
    <t>Fv Upper Bound</t>
  </si>
  <si>
    <r>
      <t>-Added TIA-222-H-1
  - Added Ts parameter on Site SDC Data sheet
  - Added warning for Table 2-12 Note 2 at the bottom of the Tower Data sheet.
  - Updated Cs calcs for Table 2-12 Note 3 when Site Class = D and S</t>
    </r>
    <r>
      <rPr>
        <vertAlign val="subscript"/>
        <sz val="11"/>
        <color theme="1"/>
        <rFont val="Calibri"/>
        <family val="2"/>
        <scheme val="minor"/>
      </rPr>
      <t>1</t>
    </r>
    <r>
      <rPr>
        <sz val="11"/>
        <color theme="1"/>
        <rFont val="Calibri"/>
        <family val="2"/>
        <scheme val="minor"/>
      </rPr>
      <t>&gt;=0.2
-Added "Use ASCE 7-10 Seismic Parameters" check box and removed TIA-222-H* from design code options. The new check box can be applied to both TIA-222-H and TIA-222-H-1.
-Added option to override monopole density for common work around with wood poles. Density can be changed before or after TNX import.
- Added ability to import existing user forces and create seismic loads for them.
  - User forces with the CCISeismic prefix or which already have seismic forces will be ignored.
  - Seismic loads will be listed at the end of the discrete load list.
  - This feature can be disabled on the references sheet by changing  "Create Seismic Loads for Existing User Forces" to FALSE.
  - The weight of these user forces could affect the approximate period calculations of monopoles. The weight must be considered either appurtenance or structural. By default it will be considered as appurtenance, but this can be changed on the references sheet by changing "Consider Existing User Forces as Appurtenances" to FALSE.
- Added loading bars for import and export. Can be disabled on the references sheet by changing "Show Loading Bars" to FALSE.
- Changed Fa values in the ASCE 7-16 and TIA-222-H table on the Reference sheet for site class E with an Ss &gt;= 1. Previously, this referred the user to the section on site-specific procedure but based on ASCE 7-16 Section 11.4.8 Exception 1, site-specific prodecure is not necessary as long as Fa values from site class C are used.
- Added logic to direct user to site-specific procedure if site class is F.</t>
    </r>
  </si>
  <si>
    <t>3.3.1</t>
  </si>
  <si>
    <t>- Fixed error in Cs calculation affecting sites in TIA-222-H-1 where Ts&lt;T&lt;1.5Ts.
- Fixed error importing files previously run in CCISeismic. Some seismic loads were getting imported when they should not have been.
- Changed the "Create Seismic Loads for Exisinting User Forces" to False by default. This feature should be opt-in because if you import a TNX file that was created in a version of CCISeismic prior to 3.1.0, it will create new seismic loads for all the existing seismic loads.</t>
  </si>
  <si>
    <t>3.3.2</t>
  </si>
  <si>
    <t>- Fixed linear appurtenance import. There was an issue stepping through the linear appurtenance data caused by the inconsistent naming of the new fields (Flat Attachment Effective Width Ratio and Autocalc Flat Attachment Effective Width) in the eri file. This may have caused some feed line loads to be skipped and some loads be assigned the wrong name.
- FIxed issue when importing multiple dishes on the same line. Previously it only accounted for the weight of one dish.</t>
  </si>
  <si>
    <t>3.3.3</t>
  </si>
  <si>
    <t>bu</t>
  </si>
  <si>
    <t>strc</t>
  </si>
  <si>
    <t>latdeg</t>
  </si>
  <si>
    <t>latmin</t>
  </si>
  <si>
    <t>latsec</t>
  </si>
  <si>
    <t>longdeg</t>
  </si>
  <si>
    <t>longmin</t>
  </si>
  <si>
    <t>longsec</t>
  </si>
  <si>
    <t>dcode</t>
  </si>
  <si>
    <t>soil</t>
  </si>
  <si>
    <t>risk</t>
  </si>
  <si>
    <t>ss</t>
  </si>
  <si>
    <t>suno</t>
  </si>
  <si>
    <t>tl</t>
  </si>
  <si>
    <t>Use_ASCE</t>
  </si>
  <si>
    <t>t_user</t>
  </si>
  <si>
    <t>D_mp</t>
  </si>
  <si>
    <t>code</t>
  </si>
  <si>
    <t>D_steel</t>
  </si>
  <si>
    <t>Period</t>
  </si>
  <si>
    <t>Sheet Name'!Address</t>
  </si>
  <si>
    <t>Named_Range</t>
  </si>
  <si>
    <t>Sheet Name'!Named_Range</t>
  </si>
  <si>
    <t>Example</t>
  </si>
  <si>
    <t>Notes</t>
  </si>
  <si>
    <t>This method will only work for globaly defined ranges</t>
  </si>
  <si>
    <t>Acceptable Formats</t>
  </si>
  <si>
    <t>Note: The Revision can be a single cell range or multiple cells in a single column range.</t>
  </si>
  <si>
    <t>Revision History!E1:E1 or 'Revision History'!E1:E1</t>
  </si>
  <si>
    <t>Default Sheet Name</t>
  </si>
  <si>
    <t>dcode_input</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</si>
  <si>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</si>
  <si>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seismic</t>
  </si>
  <si>
    <t>Note: search term is not case-sensitive</t>
  </si>
  <si>
    <t>-Added ability to import inputs from previous versions of this tool.
- Revised export macro:
    - Rounds output to 4 decimal place. This prevents the height and force of the created user forces from being written in scientific   notation which was occasionally causing TNX to misinterpret the values.
    - Writes eri file in single step now, should be slightly faster than before.
    - Prevent user from choosing location on the cloud. Still looking for a way to save directly to sharepoint but for now, if the file path begins with "http," the user will be directed to their user directory and have to navigate to a local folder for export.
- Fixed Lat/Long import for CCI users</t>
  </si>
  <si>
    <t>3.3.4</t>
  </si>
  <si>
    <t>- Fixed bug in the export module affecting guyed towers.</t>
  </si>
  <si>
    <t>3.3.5</t>
  </si>
  <si>
    <t>- Updated OpenFileDialog in "Import Previous Version" and "Import TNX" macros to avoid issues with file filters when using other tools.</t>
  </si>
  <si>
    <t>3.3.6</t>
  </si>
  <si>
    <r>
      <t>- Now enforcing C</t>
    </r>
    <r>
      <rPr>
        <vertAlign val="subscript"/>
        <sz val="11"/>
        <color theme="1"/>
        <rFont val="Calibri"/>
        <family val="2"/>
        <scheme val="minor"/>
      </rPr>
      <t xml:space="preserve">s,min  </t>
    </r>
    <r>
      <rPr>
        <sz val="11"/>
        <color theme="1"/>
        <rFont val="Calibri"/>
        <family val="2"/>
        <scheme val="minor"/>
      </rPr>
      <t>when TIA-222-H-1  Table 2-12 Note 3 requirements are in effect.
- Upgraded JsonConverter to fix issue with USGS web service.</t>
    </r>
  </si>
  <si>
    <t>3.3.7</t>
  </si>
  <si>
    <t>- Fixed bug when importing towers that had only one guy level or one feed line.
- Updated error handling for common issue related to printer drivers when printing the PDF.
- Updated webservice URL for internal users to download Lat/Long.</t>
  </si>
  <si>
    <t>Object variable or With block variable not set</t>
  </si>
  <si>
    <t>CCISeismic3</t>
  </si>
  <si>
    <t xml:space="preserve">The data necessary to complete this operation is not yet available._x000D_
</t>
  </si>
  <si>
    <t>WinHttp.WinHttpRequest</t>
  </si>
  <si>
    <t>- Fixed bug with soil class description for TIA-222-H-1. It will now just show "Still Soil" instead of  "Still Soil (Default)" for soil class "D (Determined)".
- Disabled lat/long lookup (which was for internal use only). IT has disabled the web service that this relied on. No alternatives currently available.</t>
  </si>
  <si>
    <t>3.3.8</t>
  </si>
  <si>
    <t>3.3.9</t>
  </si>
  <si>
    <t>- Changed variable type for some variables used in export code to accommodate larger towers.
- Added "Override Sds and Sd1" options for future GMHA implementation.
- Backend updates to simplify hiding/unhiding ranges.</t>
  </si>
  <si>
    <t>Revision History!Revision or 'Revision History'!Revision</t>
  </si>
  <si>
    <t>sds_user</t>
  </si>
  <si>
    <t>sduno_user</t>
  </si>
  <si>
    <t>sd_override</t>
  </si>
  <si>
    <t>ie_override</t>
  </si>
  <si>
    <t>ie_user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</si>
</sst>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0"/>
    <numFmt numFmtId="166" formatCode="0.0"/>
    <numFmt numFmtId="167" formatCode="0.000000"/>
  </numFmts>
  <fonts count="28" x14ac:knownFonts="1">
    <font>
      <sz val="11"/>
      <color theme="1"/>
      <name val="Calibri"/>
      <family val="2"/>
      <scheme val="minor"/>
    </font>
    <font>
      <u/>
      <sz val="11"/>
      <color theme="10"/>
      <name val="Calibri"/>
      <family val="2"/>
      <scheme val="minor"/>
    </font>
    <font>
      <b/>
      <sz val="11"/>
      <color theme="1"/>
      <name val="Calibri"/>
      <family val="2"/>
      <scheme val="minor"/>
    </font>
    <font>
      <sz val="10"/>
      <color theme="1"/>
      <name val="Calibri Light"/>
      <family val="1"/>
      <scheme val="major"/>
    </font>
    <font>
      <b/>
      <sz val="12"/>
      <color theme="1"/>
      <name val="Calibri"/>
      <family val="2"/>
      <scheme val="minor"/>
    </font>
    <font>
      <vertAlign val="subscript"/>
      <sz val="11"/>
      <color theme="1"/>
      <name val="Calibri"/>
      <family val="2"/>
      <scheme val="minor"/>
    </font>
    <font>
      <sz val="11"/>
      <color theme="1"/>
      <name val="Calibri"/>
      <family val="2"/>
    </font>
    <font>
      <b/>
      <vertAlign val="subscript"/>
      <sz val="11"/>
      <color theme="1"/>
      <name val="Calibri"/>
      <family val="2"/>
      <scheme val="minor"/>
    </font>
    <font>
      <vertAlign val="subscript"/>
      <sz val="11"/>
      <color theme="1"/>
      <name val="Calibri"/>
      <family val="2"/>
    </font>
    <font>
      <sz val="8"/>
      <color rgb="FF000000"/>
      <name val="Segoe UI"/>
      <family val="2"/>
    </font>
    <font>
      <sz val="11"/>
      <color theme="0"/>
      <name val="Calibri"/>
      <family val="2"/>
      <scheme val="minor"/>
    </font>
    <font>
      <vertAlign val="superscript"/>
      <sz val="11"/>
      <color theme="1"/>
      <name val="Calibri"/>
      <family val="2"/>
      <scheme val="minor"/>
    </font>
    <font>
      <b/>
      <sz val="11"/>
      <color theme="0"/>
      <name val="Calibri"/>
      <family val="2"/>
      <scheme val="minor"/>
    </font>
    <font>
      <b/>
      <vertAlign val="subscript"/>
      <sz val="11"/>
      <color theme="0"/>
      <name val="Calibri"/>
      <family val="2"/>
      <scheme val="minor"/>
    </font>
    <font>
      <b/>
      <vertAlign val="superscript"/>
      <sz val="11"/>
      <color theme="0"/>
      <name val="Calibri"/>
      <family val="2"/>
      <scheme val="minor"/>
    </font>
    <font>
      <sz val="10"/>
      <color indexed="64"/>
      <name val="Tahoma"/>
      <family val="2"/>
    </font>
    <font>
      <vertAlign val="subscript"/>
      <sz val="10"/>
      <color theme="1"/>
      <name val="Calibri Light"/>
      <family val="1"/>
      <scheme val="major"/>
    </font>
    <font>
      <sz val="11"/>
      <color rgb="FF4D4E53"/>
      <name val="Calibri"/>
      <family val="2"/>
      <scheme val="minor"/>
    </font>
    <font>
      <sz val="11"/>
      <color rgb="FFFFFFFF"/>
      <name val="Calibri"/>
      <family val="2"/>
      <scheme val="minor"/>
    </font>
    <font>
      <sz val="10"/>
      <color theme="1"/>
      <name val="Calibri Light"/>
      <family val="2"/>
      <scheme val="major"/>
    </font>
    <font>
      <sz val="11"/>
      <name val="Calibri"/>
      <family val="2"/>
      <scheme val="minor"/>
    </font>
    <font>
      <vertAlign val="subscript"/>
      <sz val="10"/>
      <color theme="1"/>
      <name val="Calibri Light"/>
      <family val="2"/>
      <scheme val="major"/>
    </font>
    <font>
      <sz val="9"/>
      <color indexed="81"/>
      <name val="Tahoma"/>
      <family val="2"/>
    </font>
    <font>
      <sz val="11"/>
      <color rgb="FFFF0000"/>
      <name val="Calibri"/>
      <family val="2"/>
      <scheme val="minor"/>
    </font>
    <font>
      <u/>
      <sz val="11"/>
      <name val="Calibri"/>
      <family val="2"/>
      <scheme val="minor"/>
    </font>
    <font>
      <sz val="8"/>
      <name val="Calibri"/>
      <family val="2"/>
      <scheme val="minor"/>
    </font>
    <font>
      <sz val="11"/>
      <color rgb="FF4D4E53"/>
      <name val="Calibri"/>
      <family val="2"/>
    </font>
    <font>
      <sz val="11"/>
      <color rgb="FF000000"/>
      <name val="Calibri"/>
      <family val="2"/>
    </font>
  </fonts>
  <fills count="9">
    <fill>
      <patternFill patternType="none"/>
    </fill>
    <fill>
      <patternFill patternType="gray125"/>
    </fill>
    <fill>
      <patternFill patternType="solid">
        <fgColor theme="8"/>
        <bgColor indexed="64"/>
      </patternFill>
    </fill>
    <fill>
      <patternFill patternType="solid">
        <fgColor theme="4" tint="0.79998168889431442"/>
        <bgColor indexed="64"/>
      </patternFill>
    </fill>
    <fill>
      <patternFill patternType="solid">
        <fgColor theme="5"/>
        <bgColor indexed="64"/>
      </patternFill>
    </fill>
    <fill>
      <patternFill patternType="solid">
        <fgColor theme="4"/>
        <bgColor indexed="64"/>
      </patternFill>
    </fill>
    <fill>
      <patternFill patternType="solid">
        <fgColor rgb="FFE3D700"/>
        <bgColor indexed="64"/>
      </patternFill>
    </fill>
    <fill>
      <patternFill patternType="solid">
        <fgColor rgb="FFFFFF00"/>
        <bgColor indexed="64"/>
      </patternFill>
    </fill>
    <fill>
      <patternFill patternType="solid">
        <fgColor theme="8"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bottom style="medium">
        <color indexed="64"/>
      </bottom>
      <diagonal/>
    </border>
  </borders>
  <cellStyleXfs count="2">
    <xf numFmtId="0" fontId="0" fillId="0" borderId="0"/>
    <xf numFmtId="0" fontId="1" fillId="0" borderId="0" applyNumberFormat="0" applyFill="0" applyBorder="0" applyAlignment="0" applyProtection="0"/>
  </cellStyleXfs>
  <cellXfs count="176">
    <xf numFmtId="0" fontId="0" fillId="0" borderId="0" xfId="0"/>
    <xf numFmtId="0" fontId="0" fillId="0" borderId="0" xfId="0" applyAlignment="1">
      <alignment horizontal="right"/>
    </xf>
    <xf numFmtId="0" fontId="0" fillId="0" borderId="0" xfId="0" applyFont="1" applyAlignment="1">
      <alignment horizontal="center" vertical="center"/>
    </xf>
    <xf numFmtId="0" fontId="0" fillId="0" borderId="0" xfId="0" applyAlignment="1">
      <alignment horizontal="center"/>
    </xf>
    <xf numFmtId="0" fontId="0" fillId="0" borderId="1" xfId="0" applyBorder="1" applyAlignment="1">
      <alignment horizontal="center"/>
    </xf>
    <xf numFmtId="164" fontId="0" fillId="2" borderId="1" xfId="0" applyNumberFormat="1"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2" fontId="0" fillId="0" borderId="1" xfId="0" applyNumberFormat="1" applyBorder="1" applyAlignment="1">
      <alignment horizontal="center"/>
    </xf>
    <xf numFmtId="0" fontId="0" fillId="0" borderId="1" xfId="0" applyFill="1" applyBorder="1" applyAlignment="1" applyProtection="1">
      <alignment horizontal="center"/>
    </xf>
    <xf numFmtId="165" fontId="3" fillId="0" borderId="0" xfId="0" applyNumberFormat="1" applyFont="1" applyBorder="1" applyAlignment="1" applyProtection="1">
      <protection hidden="1"/>
    </xf>
    <xf numFmtId="0" fontId="0" fillId="0" borderId="0" xfId="0" applyFill="1" applyBorder="1" applyAlignment="1">
      <alignment horizontal="right"/>
    </xf>
    <xf numFmtId="0" fontId="2" fillId="0" borderId="1" xfId="0" applyFont="1" applyBorder="1" applyAlignment="1">
      <alignment horizontal="center"/>
    </xf>
    <xf numFmtId="0" fontId="2" fillId="3" borderId="1" xfId="0" applyFont="1" applyFill="1" applyBorder="1" applyAlignment="1">
      <alignment horizontal="right"/>
    </xf>
    <xf numFmtId="0" fontId="2" fillId="3" borderId="1" xfId="0" applyFont="1" applyFill="1" applyBorder="1" applyAlignment="1">
      <alignment horizontal="center"/>
    </xf>
    <xf numFmtId="0" fontId="0" fillId="0" borderId="5" xfId="0" applyBorder="1" applyAlignment="1">
      <alignment horizontal="center"/>
    </xf>
    <xf numFmtId="0" fontId="2"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xf numFmtId="165" fontId="0" fillId="0" borderId="1" xfId="0" applyNumberFormat="1" applyBorder="1" applyAlignment="1">
      <alignment horizontal="center"/>
    </xf>
    <xf numFmtId="0" fontId="0" fillId="0" borderId="0" xfId="0" applyFont="1" applyAlignment="1">
      <alignment horizontal="right"/>
    </xf>
    <xf numFmtId="0" fontId="2" fillId="0" borderId="0" xfId="0" applyFont="1"/>
    <xf numFmtId="0" fontId="0" fillId="0" borderId="0" xfId="0" applyFont="1" applyFill="1" applyBorder="1" applyAlignment="1">
      <alignment horizontal="right"/>
    </xf>
    <xf numFmtId="0" fontId="0" fillId="0" borderId="0" xfId="0" applyBorder="1"/>
    <xf numFmtId="0" fontId="2" fillId="0" borderId="1" xfId="0" applyFont="1" applyBorder="1" applyAlignment="1">
      <alignment vertical="center"/>
    </xf>
    <xf numFmtId="0" fontId="0" fillId="0" borderId="1" xfId="0" applyBorder="1" applyAlignment="1"/>
    <xf numFmtId="0" fontId="0" fillId="4" borderId="1" xfId="0" applyFill="1" applyBorder="1" applyAlignment="1">
      <alignment horizontal="center"/>
    </xf>
    <xf numFmtId="0" fontId="0" fillId="0" borderId="6" xfId="0" applyBorder="1" applyAlignment="1">
      <alignment horizontal="center"/>
    </xf>
    <xf numFmtId="0" fontId="0" fillId="0" borderId="8" xfId="0" applyBorder="1"/>
    <xf numFmtId="0" fontId="0" fillId="0" borderId="9" xfId="0" applyBorder="1"/>
    <xf numFmtId="0" fontId="0" fillId="0" borderId="9" xfId="0" applyBorder="1" applyAlignment="1">
      <alignment horizontal="center"/>
    </xf>
    <xf numFmtId="0" fontId="0" fillId="0" borderId="9" xfId="0" applyBorder="1" applyAlignment="1">
      <alignment horizontal="right"/>
    </xf>
    <xf numFmtId="0" fontId="0" fillId="0" borderId="10" xfId="0" applyBorder="1" applyAlignment="1">
      <alignment horizontal="center"/>
    </xf>
    <xf numFmtId="0" fontId="0" fillId="0" borderId="11" xfId="0" applyBorder="1"/>
    <xf numFmtId="0" fontId="0" fillId="0" borderId="0" xfId="0" applyBorder="1" applyAlignment="1">
      <alignment horizontal="right"/>
    </xf>
    <xf numFmtId="0" fontId="0" fillId="0" borderId="12" xfId="0" applyBorder="1"/>
    <xf numFmtId="0" fontId="0" fillId="0" borderId="7" xfId="0" applyBorder="1"/>
    <xf numFmtId="0" fontId="0" fillId="0" borderId="6" xfId="0" applyBorder="1"/>
    <xf numFmtId="0" fontId="0" fillId="0" borderId="6" xfId="0" applyBorder="1" applyAlignment="1">
      <alignment horizontal="right"/>
    </xf>
    <xf numFmtId="0" fontId="0" fillId="0" borderId="13" xfId="0" applyBorder="1"/>
    <xf numFmtId="0" fontId="0" fillId="0" borderId="6" xfId="0" applyBorder="1" applyAlignment="1">
      <alignment horizontal="center"/>
    </xf>
    <xf numFmtId="0" fontId="0" fillId="0" borderId="10" xfId="0" applyBorder="1" applyAlignment="1">
      <alignment horizontal="left" vertical="center"/>
    </xf>
    <xf numFmtId="0" fontId="0" fillId="0" borderId="6" xfId="0" applyBorder="1" applyAlignment="1">
      <alignment horizontal="center"/>
    </xf>
    <xf numFmtId="0" fontId="0" fillId="0" borderId="6" xfId="0" applyBorder="1" applyAlignment="1">
      <alignment horizontal="center"/>
    </xf>
    <xf numFmtId="0" fontId="0" fillId="0" borderId="0" xfId="0" applyFont="1" applyBorder="1" applyAlignment="1">
      <alignment horizontal="center" vertical="center"/>
    </xf>
    <xf numFmtId="0" fontId="0" fillId="0" borderId="0" xfId="0" applyFont="1" applyBorder="1" applyAlignment="1">
      <alignment horizontal="right" vertical="center"/>
    </xf>
    <xf numFmtId="0" fontId="0" fillId="0" borderId="0" xfId="0" applyAlignment="1">
      <alignment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7" xfId="0" applyFill="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xf>
    <xf numFmtId="0" fontId="15" fillId="0" borderId="0" xfId="0" applyFont="1" applyAlignment="1">
      <alignment horizontal="center" vertical="top"/>
    </xf>
    <xf numFmtId="0" fontId="0" fillId="0" borderId="6" xfId="0" applyBorder="1" applyAlignment="1">
      <alignment horizontal="center"/>
    </xf>
    <xf numFmtId="0" fontId="0" fillId="0" borderId="1" xfId="0" applyBorder="1" applyAlignment="1">
      <alignment horizontal="center"/>
    </xf>
    <xf numFmtId="0" fontId="12" fillId="0" borderId="0" xfId="0" applyFont="1" applyFill="1" applyBorder="1" applyAlignment="1">
      <alignment horizontal="center" vertical="center" wrapText="1"/>
    </xf>
    <xf numFmtId="0" fontId="12" fillId="0" borderId="11" xfId="0" applyFont="1" applyFill="1" applyBorder="1" applyAlignment="1">
      <alignment horizontal="center" vertical="center" wrapText="1"/>
    </xf>
    <xf numFmtId="0" fontId="0" fillId="4" borderId="14" xfId="0" applyFill="1" applyBorder="1" applyAlignment="1">
      <alignment horizontal="center"/>
    </xf>
    <xf numFmtId="164" fontId="0" fillId="0" borderId="1" xfId="0" applyNumberFormat="1" applyBorder="1" applyAlignment="1">
      <alignment horizontal="center"/>
    </xf>
    <xf numFmtId="165" fontId="0" fillId="4" borderId="1" xfId="0" applyNumberFormat="1" applyFill="1" applyBorder="1" applyAlignment="1">
      <alignment horizontal="center"/>
    </xf>
    <xf numFmtId="2" fontId="0" fillId="0" borderId="6" xfId="0" applyNumberFormat="1" applyBorder="1" applyAlignment="1">
      <alignment horizontal="center"/>
    </xf>
    <xf numFmtId="165" fontId="0" fillId="2" borderId="1" xfId="0" applyNumberFormat="1" applyFill="1" applyBorder="1" applyAlignment="1" applyProtection="1">
      <alignment horizontal="center"/>
      <protection locked="0"/>
    </xf>
    <xf numFmtId="0" fontId="0" fillId="0" borderId="10" xfId="0" applyFont="1" applyFill="1" applyBorder="1" applyAlignment="1">
      <alignment horizontal="left" vertical="center"/>
    </xf>
    <xf numFmtId="0" fontId="0" fillId="0" borderId="0" xfId="0" applyAlignment="1"/>
    <xf numFmtId="49" fontId="0" fillId="0" borderId="0" xfId="0" applyNumberFormat="1" applyAlignment="1"/>
    <xf numFmtId="0" fontId="0" fillId="6" borderId="1" xfId="0" applyFill="1" applyBorder="1" applyAlignment="1" applyProtection="1">
      <alignment horizontal="center"/>
      <protection locked="0"/>
    </xf>
    <xf numFmtId="2" fontId="0" fillId="6" borderId="1" xfId="0" applyNumberFormat="1" applyFill="1" applyBorder="1" applyAlignment="1" applyProtection="1">
      <alignment horizontal="center"/>
      <protection locked="0"/>
    </xf>
    <xf numFmtId="165" fontId="0" fillId="6" borderId="1" xfId="0" applyNumberFormat="1" applyFill="1" applyBorder="1" applyAlignment="1" applyProtection="1">
      <alignment horizontal="center"/>
      <protection locked="0"/>
    </xf>
    <xf numFmtId="0" fontId="0" fillId="0" borderId="0" xfId="0" applyFont="1" applyBorder="1"/>
    <xf numFmtId="49" fontId="0" fillId="0" borderId="1" xfId="0" applyNumberFormat="1" applyBorder="1" applyAlignment="1">
      <alignment horizontal="center" vertical="center"/>
    </xf>
    <xf numFmtId="0" fontId="0" fillId="0" borderId="1" xfId="0" applyBorder="1" applyAlignment="1">
      <alignment horizontal="center"/>
    </xf>
    <xf numFmtId="0" fontId="0" fillId="0" borderId="15" xfId="0" applyBorder="1" applyAlignment="1">
      <alignment horizontal="center" vertical="center" wrapText="1"/>
    </xf>
    <xf numFmtId="0" fontId="0" fillId="0" borderId="1" xfId="0" applyBorder="1" applyAlignment="1">
      <alignment horizontal="center" vertical="center" wrapText="1"/>
    </xf>
    <xf numFmtId="0" fontId="0" fillId="0" borderId="1" xfId="0" applyFill="1" applyBorder="1" applyAlignment="1">
      <alignment horizontal="center" vertical="center" wrapText="1"/>
    </xf>
    <xf numFmtId="0" fontId="12" fillId="0" borderId="1" xfId="0" applyFont="1" applyFill="1" applyBorder="1" applyAlignment="1">
      <alignment horizontal="center" vertical="center" wrapText="1"/>
    </xf>
    <xf numFmtId="0" fontId="0" fillId="7" borderId="0" xfId="0" applyFill="1"/>
    <xf numFmtId="166" fontId="0" fillId="2" borderId="1" xfId="0" applyNumberFormat="1" applyFill="1" applyBorder="1" applyAlignment="1" applyProtection="1">
      <alignment horizontal="center" vertical="center"/>
      <protection locked="0"/>
    </xf>
    <xf numFmtId="2" fontId="0" fillId="0" borderId="1" xfId="0" applyNumberFormat="1" applyBorder="1" applyAlignment="1">
      <alignment horizontal="center" vertical="center"/>
    </xf>
    <xf numFmtId="165" fontId="0" fillId="0" borderId="0" xfId="0" applyNumberFormat="1" applyBorder="1" applyAlignment="1">
      <alignment horizontal="center"/>
    </xf>
    <xf numFmtId="0" fontId="0" fillId="0" borderId="1" xfId="0" applyBorder="1" applyAlignment="1">
      <alignment horizontal="center"/>
    </xf>
    <xf numFmtId="49" fontId="0" fillId="0" borderId="6" xfId="0" applyNumberFormat="1" applyBorder="1" applyAlignment="1">
      <alignment horizontal="center"/>
    </xf>
    <xf numFmtId="49" fontId="0" fillId="0" borderId="0" xfId="0" applyNumberFormat="1" applyAlignment="1">
      <alignment horizontal="center"/>
    </xf>
    <xf numFmtId="0" fontId="2" fillId="0" borderId="0" xfId="0" applyFont="1" applyBorder="1" applyAlignment="1">
      <alignment horizontal="center"/>
    </xf>
    <xf numFmtId="0" fontId="0" fillId="0" borderId="0" xfId="0" applyBorder="1" applyAlignment="1">
      <alignment horizontal="left"/>
    </xf>
    <xf numFmtId="2" fontId="0" fillId="0" borderId="10" xfId="0" applyNumberFormat="1" applyFont="1" applyFill="1" applyBorder="1" applyAlignment="1">
      <alignment horizontal="center" vertical="center"/>
    </xf>
    <xf numFmtId="2" fontId="0" fillId="0" borderId="5" xfId="0" applyNumberFormat="1" applyFont="1" applyFill="1" applyBorder="1" applyAlignment="1">
      <alignment horizontal="center" vertical="center"/>
    </xf>
    <xf numFmtId="165" fontId="0" fillId="0" borderId="5" xfId="0" applyNumberFormat="1" applyFont="1" applyFill="1" applyBorder="1" applyAlignment="1">
      <alignment horizontal="center" vertical="center"/>
    </xf>
    <xf numFmtId="165" fontId="0" fillId="0" borderId="1" xfId="0" applyNumberFormat="1" applyBorder="1" applyAlignment="1">
      <alignment horizontal="center" vertical="center"/>
    </xf>
    <xf numFmtId="165" fontId="0" fillId="0" borderId="1" xfId="0" applyNumberFormat="1" applyFill="1" applyBorder="1" applyAlignment="1">
      <alignment horizontal="center" vertical="center"/>
    </xf>
    <xf numFmtId="165" fontId="0" fillId="0" borderId="1" xfId="0" applyNumberFormat="1" applyFont="1" applyFill="1" applyBorder="1" applyAlignment="1">
      <alignment horizontal="center" vertical="center"/>
    </xf>
    <xf numFmtId="2" fontId="0" fillId="0" borderId="5" xfId="0" applyNumberFormat="1" applyBorder="1" applyAlignment="1">
      <alignment horizontal="center" vertical="center"/>
    </xf>
    <xf numFmtId="165" fontId="0" fillId="0" borderId="5" xfId="0" applyNumberFormat="1" applyBorder="1" applyAlignment="1">
      <alignment horizontal="center" vertical="center"/>
    </xf>
    <xf numFmtId="165" fontId="0" fillId="0" borderId="2" xfId="0" applyNumberFormat="1" applyFill="1" applyBorder="1" applyAlignment="1">
      <alignment horizontal="center" vertical="center"/>
    </xf>
    <xf numFmtId="165" fontId="0" fillId="4" borderId="14" xfId="0" applyNumberFormat="1" applyFont="1" applyFill="1" applyBorder="1" applyAlignment="1">
      <alignment horizontal="center" vertical="center"/>
    </xf>
    <xf numFmtId="2" fontId="0" fillId="4" borderId="14" xfId="0" applyNumberFormat="1" applyFont="1" applyFill="1" applyBorder="1" applyAlignment="1">
      <alignment horizontal="center" vertical="center"/>
    </xf>
    <xf numFmtId="165" fontId="0" fillId="4" borderId="14" xfId="0" applyNumberFormat="1" applyFill="1" applyBorder="1" applyAlignment="1">
      <alignment horizontal="center"/>
    </xf>
    <xf numFmtId="2" fontId="0" fillId="4" borderId="14" xfId="0" applyNumberFormat="1" applyFill="1" applyBorder="1" applyAlignment="1">
      <alignment horizontal="center"/>
    </xf>
    <xf numFmtId="2" fontId="0" fillId="4" borderId="1" xfId="0" applyNumberFormat="1" applyFill="1" applyBorder="1" applyAlignment="1">
      <alignment horizontal="center"/>
    </xf>
    <xf numFmtId="0" fontId="0" fillId="0" borderId="1" xfId="0" applyBorder="1" applyAlignment="1">
      <alignment horizontal="center"/>
    </xf>
    <xf numFmtId="0" fontId="0" fillId="0" borderId="0" xfId="0" applyFill="1" applyBorder="1"/>
    <xf numFmtId="0" fontId="20" fillId="0" borderId="0" xfId="0" applyFont="1" applyBorder="1"/>
    <xf numFmtId="1" fontId="0" fillId="0" borderId="1" xfId="0" applyNumberFormat="1" applyBorder="1" applyAlignment="1">
      <alignment horizontal="center"/>
    </xf>
    <xf numFmtId="0" fontId="0" fillId="0" borderId="0" xfId="0" applyProtection="1"/>
    <xf numFmtId="0" fontId="0" fillId="2" borderId="1" xfId="0" applyFill="1" applyBorder="1" applyProtection="1">
      <protection locked="0"/>
    </xf>
    <xf numFmtId="0" fontId="0" fillId="0" borderId="16" xfId="0" applyBorder="1"/>
    <xf numFmtId="0" fontId="0" fillId="0" borderId="0" xfId="0" applyAlignment="1" applyProtection="1">
      <alignment horizontal="right"/>
    </xf>
    <xf numFmtId="0" fontId="1" fillId="0" borderId="0" xfId="1" applyProtection="1"/>
    <xf numFmtId="0" fontId="0" fillId="0" borderId="0" xfId="0" applyAlignment="1" applyProtection="1">
      <alignment horizontal="left"/>
    </xf>
    <xf numFmtId="0" fontId="0" fillId="0" borderId="13" xfId="0" applyBorder="1" applyAlignment="1" applyProtection="1">
      <alignment horizontal="center" vertical="center"/>
    </xf>
    <xf numFmtId="0" fontId="0" fillId="0" borderId="14" xfId="0" applyBorder="1" applyAlignment="1" applyProtection="1">
      <alignment horizontal="center" vertical="center"/>
    </xf>
    <xf numFmtId="0" fontId="0" fillId="0" borderId="7" xfId="0" applyBorder="1" applyAlignment="1" applyProtection="1">
      <alignment horizontal="center" vertical="center"/>
    </xf>
    <xf numFmtId="14" fontId="0" fillId="0" borderId="1" xfId="0" applyNumberFormat="1" applyBorder="1" applyAlignment="1" applyProtection="1">
      <alignment horizontal="center"/>
    </xf>
    <xf numFmtId="0" fontId="0" fillId="0" borderId="1" xfId="0" applyBorder="1" applyAlignment="1" applyProtection="1">
      <alignment vertical="top" wrapText="1"/>
    </xf>
    <xf numFmtId="0" fontId="0" fillId="0" borderId="1" xfId="0" applyBorder="1" applyAlignment="1" applyProtection="1">
      <alignment horizontal="center"/>
    </xf>
    <xf numFmtId="0" fontId="0" fillId="0" borderId="1" xfId="0" applyBorder="1" applyAlignment="1" applyProtection="1">
      <alignment vertical="top"/>
    </xf>
    <xf numFmtId="0" fontId="0" fillId="0" borderId="3" xfId="0" applyBorder="1"/>
    <xf numFmtId="49" fontId="0" fillId="0" borderId="1" xfId="0" applyNumberFormat="1" applyBorder="1" applyAlignment="1" applyProtection="1">
      <alignment horizontal="center"/>
    </xf>
    <xf numFmtId="0" fontId="2" fillId="0" borderId="0" xfId="0" applyFont="1" applyFill="1" applyBorder="1" applyAlignment="1">
      <alignment horizontal="left"/>
    </xf>
    <xf numFmtId="0" fontId="0" fillId="0" borderId="1" xfId="0" applyBorder="1" applyAlignment="1">
      <alignment horizontal="center"/>
    </xf>
    <xf numFmtId="0" fontId="0" fillId="0" borderId="1" xfId="0" applyBorder="1"/>
    <xf numFmtId="166" fontId="17" fillId="0" borderId="1" xfId="0" applyNumberFormat="1" applyFont="1" applyBorder="1" applyAlignment="1">
      <alignment horizontal="center"/>
    </xf>
    <xf numFmtId="0" fontId="23" fillId="0" borderId="12" xfId="0" applyFont="1" applyBorder="1"/>
    <xf numFmtId="0" fontId="0" fillId="0" borderId="0" xfId="0" applyAlignment="1" applyProtection="1">
      <alignment horizontal="center"/>
    </xf>
    <xf numFmtId="0" fontId="0" fillId="2" borderId="1" xfId="0" applyFill="1" applyBorder="1" applyAlignment="1" applyProtection="1">
      <alignment horizontal="center"/>
    </xf>
    <xf numFmtId="0" fontId="3" fillId="0" borderId="13" xfId="0" applyFont="1" applyBorder="1" applyAlignment="1" applyProtection="1">
      <alignment horizontal="center" vertical="center"/>
    </xf>
    <xf numFmtId="0" fontId="3" fillId="0" borderId="14" xfId="0" applyFont="1" applyBorder="1" applyAlignment="1" applyProtection="1">
      <alignment horizontal="center" vertical="center"/>
    </xf>
    <xf numFmtId="0" fontId="3" fillId="0" borderId="14" xfId="0" applyFont="1" applyBorder="1" applyAlignment="1" applyProtection="1">
      <alignment horizontal="center" vertical="center" wrapText="1"/>
    </xf>
    <xf numFmtId="0" fontId="3" fillId="0" borderId="7" xfId="0" applyFont="1" applyBorder="1" applyAlignment="1" applyProtection="1">
      <alignment horizontal="center" vertical="center"/>
    </xf>
    <xf numFmtId="0" fontId="19" fillId="0" borderId="14" xfId="0" applyFont="1" applyBorder="1" applyAlignment="1" applyProtection="1">
      <alignment horizontal="center" vertical="center"/>
    </xf>
    <xf numFmtId="0" fontId="3" fillId="0" borderId="10" xfId="0" applyFont="1" applyBorder="1" applyAlignment="1" applyProtection="1">
      <alignment horizontal="center" vertical="center"/>
    </xf>
    <xf numFmtId="0" fontId="3" fillId="0" borderId="5" xfId="0" applyFont="1" applyBorder="1" applyAlignment="1" applyProtection="1">
      <alignment horizontal="center" vertical="center"/>
    </xf>
    <xf numFmtId="0" fontId="3" fillId="0" borderId="8" xfId="0" applyFont="1" applyBorder="1" applyAlignment="1" applyProtection="1">
      <alignment horizontal="center" vertical="center"/>
    </xf>
    <xf numFmtId="0" fontId="19" fillId="0" borderId="15" xfId="0" applyFont="1" applyBorder="1" applyAlignment="1" applyProtection="1">
      <alignment horizontal="center" vertical="center"/>
    </xf>
    <xf numFmtId="2" fontId="0" fillId="4" borderId="1" xfId="0" applyNumberFormat="1" applyFill="1" applyBorder="1" applyAlignment="1" applyProtection="1">
      <alignment horizontal="center"/>
    </xf>
    <xf numFmtId="1" fontId="0" fillId="4" borderId="1" xfId="0" applyNumberFormat="1" applyFill="1" applyBorder="1" applyAlignment="1" applyProtection="1">
      <alignment horizontal="center"/>
    </xf>
    <xf numFmtId="0" fontId="18" fillId="0" borderId="0" xfId="0" applyFont="1" applyBorder="1"/>
    <xf numFmtId="0" fontId="0" fillId="0" borderId="1" xfId="0" applyBorder="1" applyAlignment="1">
      <alignment horizontal="center"/>
    </xf>
    <xf numFmtId="0" fontId="0" fillId="0" borderId="10" xfId="0" applyBorder="1"/>
    <xf numFmtId="0" fontId="23" fillId="0" borderId="13" xfId="0" applyFont="1" applyBorder="1"/>
    <xf numFmtId="0" fontId="24" fillId="0" borderId="0" xfId="1" applyFont="1" applyBorder="1" applyAlignment="1" applyProtection="1">
      <alignment horizontal="right"/>
      <protection hidden="1"/>
    </xf>
    <xf numFmtId="0" fontId="24" fillId="0" borderId="12" xfId="1" applyFont="1" applyBorder="1" applyAlignment="1" applyProtection="1">
      <alignment horizontal="right"/>
      <protection hidden="1"/>
    </xf>
    <xf numFmtId="2" fontId="0" fillId="0" borderId="1" xfId="0" applyNumberFormat="1" applyFont="1" applyFill="1" applyBorder="1" applyAlignment="1">
      <alignment horizontal="center" vertical="center"/>
    </xf>
    <xf numFmtId="0" fontId="12" fillId="0" borderId="14" xfId="0" applyFont="1" applyFill="1" applyBorder="1" applyAlignment="1">
      <alignment horizontal="center" vertical="center" wrapText="1"/>
    </xf>
    <xf numFmtId="164" fontId="0" fillId="4" borderId="1" xfId="0" applyNumberFormat="1" applyFill="1" applyBorder="1" applyAlignment="1">
      <alignment horizontal="center"/>
    </xf>
    <xf numFmtId="0" fontId="18" fillId="0" borderId="0" xfId="0" applyFont="1" applyBorder="1" applyAlignment="1">
      <alignment horizontal="center"/>
    </xf>
    <xf numFmtId="167" fontId="0" fillId="0" borderId="1" xfId="0" applyNumberFormat="1" applyFont="1" applyFill="1" applyBorder="1" applyAlignment="1" applyProtection="1">
      <alignment horizontal="center"/>
      <protection hidden="1"/>
    </xf>
    <xf numFmtId="0" fontId="0" fillId="0" borderId="0" xfId="0" applyAlignment="1">
      <alignment horizontal="center"/>
    </xf>
    <xf numFmtId="0" fontId="0" fillId="0" borderId="1" xfId="0" quotePrefix="1" applyBorder="1" applyAlignment="1" applyProtection="1">
      <alignment vertical="top" wrapText="1"/>
    </xf>
    <xf numFmtId="0" fontId="18" fillId="0" borderId="0" xfId="0" applyFont="1"/>
    <xf numFmtId="0" fontId="18" fillId="0" borderId="12" xfId="0" applyFont="1" applyBorder="1"/>
    <xf numFmtId="0" fontId="18" fillId="0" borderId="12" xfId="0" applyFont="1" applyBorder="1" applyProtection="1"/>
    <xf numFmtId="0" fontId="1" fillId="0" borderId="0" xfId="1"/>
    <xf numFmtId="0" fontId="0" fillId="0" borderId="1" xfId="0" applyBorder="1" applyAlignment="1">
      <alignment horizontal="center"/>
    </xf>
    <xf numFmtId="0" fontId="0" fillId="0" borderId="2" xfId="0" applyBorder="1" applyAlignment="1"/>
    <xf numFmtId="0" fontId="0" fillId="0" borderId="0" xfId="0" quotePrefix="1"/>
    <xf numFmtId="49" fontId="0" fillId="0" borderId="0" xfId="0" quotePrefix="1" applyNumberFormat="1"/>
    <xf numFmtId="0" fontId="0" fillId="0" borderId="1" xfId="0" quotePrefix="1" applyBorder="1"/>
    <xf numFmtId="49" fontId="0" fillId="8" borderId="1" xfId="0" quotePrefix="1" applyNumberFormat="1" applyFill="1" applyBorder="1"/>
    <xf numFmtId="0" fontId="0" fillId="0" borderId="9" xfId="0" applyBorder="1" applyAlignment="1"/>
    <xf numFmtId="0" fontId="0" fillId="0" borderId="1" xfId="0" applyBorder="1" applyProtection="1">
      <protection locked="0"/>
    </xf>
    <xf numFmtId="0" fontId="18" fillId="0" borderId="0" xfId="0" applyFont="1" applyProtection="1"/>
    <xf numFmtId="0" fontId="10" fillId="5" borderId="1" xfId="0" applyFont="1" applyFill="1" applyBorder="1" applyAlignment="1">
      <alignment horizontal="center"/>
    </xf>
    <xf numFmtId="0" fontId="0" fillId="0" borderId="0" xfId="0" applyAlignment="1">
      <alignment horizontal="center"/>
    </xf>
    <xf numFmtId="0" fontId="0" fillId="0" borderId="9" xfId="0" applyBorder="1" applyAlignment="1">
      <alignment horizontal="center"/>
    </xf>
    <xf numFmtId="0" fontId="10" fillId="5" borderId="11" xfId="0" applyFont="1" applyFill="1" applyBorder="1" applyAlignment="1">
      <alignment horizontal="center"/>
    </xf>
    <xf numFmtId="0" fontId="10" fillId="5" borderId="0" xfId="0" applyFont="1" applyFill="1" applyBorder="1" applyAlignment="1">
      <alignment horizontal="center"/>
    </xf>
    <xf numFmtId="0" fontId="10" fillId="5" borderId="12" xfId="0" applyFont="1" applyFill="1" applyBorder="1" applyAlignment="1">
      <alignment horizontal="center"/>
    </xf>
    <xf numFmtId="0" fontId="10" fillId="5" borderId="11" xfId="0" applyFont="1" applyFill="1" applyBorder="1" applyAlignment="1">
      <alignment horizontal="center" vertical="center"/>
    </xf>
    <xf numFmtId="0" fontId="10" fillId="5" borderId="0" xfId="0" applyFont="1" applyFill="1" applyBorder="1" applyAlignment="1">
      <alignment horizontal="center" vertical="center"/>
    </xf>
    <xf numFmtId="0" fontId="10" fillId="5" borderId="1" xfId="0" applyFont="1" applyFill="1" applyBorder="1" applyAlignment="1">
      <alignment horizontal="center" vertical="center"/>
    </xf>
    <xf numFmtId="0" fontId="10" fillId="5" borderId="2" xfId="0" applyFont="1" applyFill="1" applyBorder="1" applyAlignment="1">
      <alignment horizontal="center" vertical="center"/>
    </xf>
    <xf numFmtId="0" fontId="10" fillId="5" borderId="3" xfId="0" applyFont="1" applyFill="1" applyBorder="1" applyAlignment="1">
      <alignment horizontal="center" vertical="center"/>
    </xf>
    <xf numFmtId="0" fontId="10" fillId="5" borderId="4" xfId="0" applyFont="1" applyFill="1" applyBorder="1" applyAlignment="1">
      <alignment horizontal="center" vertical="center"/>
    </xf>
    <xf numFmtId="0" fontId="0" fillId="0" borderId="1" xfId="0" applyBorder="1" applyAlignment="1">
      <alignment horizontal="center"/>
    </xf>
    <xf numFmtId="0" fontId="0" fillId="0" borderId="0" xfId="0" applyAlignment="1" applyProtection="1">
      <alignment horizontal="left" vertical="top" wrapText="1"/>
    </xf>
    <xf numFmtId="0" fontId="0" fillId="0" borderId="1" xfId="0" applyBorder="1" applyAlignment="1" applyProtection="1">
      <alignment horizontal="center"/>
    </xf>
    <xf numFmtId="0" fontId="0" fillId="0" borderId="1" xfId="0" applyBorder="1" applyAlignment="1">
      <alignment horizontal="left" vertical="top" wrapText="1"/>
    </xf>
  </cellXfs>
  <cellStyles count="2">
    <cellStyle name="Hyperlink" xfId="1" builtinId="8"/>
    <cellStyle name="Normal" xfId="0" builtinId="0"/>
  </cellStyles>
  <dxfs count="274">
    <dxf>
      <numFmt numFmtId="0" formatCode="General"/>
      <border diagonalUp="0" diagonalDown="0">
        <left/>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general" vertical="top"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19" formatCode="m/d/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30" formatCode="@"/>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protection locked="1" hidden="0"/>
    </dxf>
    <dxf>
      <border>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10"/>
        <color theme="1"/>
        <name val="Calibri Light"/>
        <scheme val="maj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numFmt numFmtId="0" formatCode="Genera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right style="thin">
          <color indexed="64"/>
        </right>
        <top style="thin">
          <color indexed="64"/>
        </top>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bottom/>
      </border>
      <protection locked="1" hidden="0"/>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FFFF"/>
      <color rgb="FF4D4E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d:schema xmlns:xsd="http://www.w3.org/2001/XMLSchema" xmlns="">
      <xsd:element nillable="true" name="output">
        <xsd:complexType>
          <xsd:sequence minOccurs="0">
            <xsd:element minOccurs="0" nillable="true" type="xsd:integer" name="status" form="unqualified"/>
            <xsd:element minOccurs="0" nillable="true" name="edition" form="unqualified">
              <xsd:complexType>
                <xsd:simpleContent>
                  <xsd:extension base="xsd:string">
                    <xsd:attribute name="index" form="unqualified" type="xsd:integer"/>
                  </xsd:extension>
                </xsd:simpleContent>
              </xsd:complexType>
            </xsd:element>
            <xsd:element minOccurs="0" nillable="true" type="xsd:double" name="latitude" form="unqualified"/>
            <xsd:element minOccurs="0" nillable="true" type="xsd:double" name="longitude" form="unqualified"/>
            <xsd:element minOccurs="0" nillable="true" type="xsd:string" name="siteclass" form="unqualified"/>
            <xsd:element minOccurs="0" nillable="true" name="riskcategory" form="unqualified">
              <xsd:complexType>
                <xsd:simpleContent>
                  <xsd:extension base="xsd:string">
                    <xsd:attribute name="index" form="unqualified" type="xsd:integer"/>
                  </xsd:extension>
                </xsd:simpleContent>
              </xsd:complexType>
            </xsd:element>
            <xsd:element minOccurs="0" nillable="true" type="xsd:double" name="ss" form="unqualified"/>
            <xsd:element minOccurs="0" nillable="true" type="xsd:double" name="s1" form="unqualified"/>
            <xsd:element minOccurs="0" nillable="true" type="xsd:double" name="ssuh" form="unqualified"/>
            <xsd:element minOccurs="0" nillable="true" type="xsd:double" name="s1uh" form="unqualified"/>
            <xsd:element minOccurs="0" nillable="true" type="xsd:double" name="ssd" form="unqualified"/>
            <xsd:element minOccurs="0" nillable="true" type="xsd:double" name="s1d" form="unqualified"/>
            <xsd:element minOccurs="0" nillable="true" type="xsd:double" name="crs" form="unqualified"/>
            <xsd:element minOccurs="0" nillable="true" type="xsd:double" name="cr1" form="unqualified"/>
            <xsd:element minOccurs="0" nillable="true" type="xsd:double" name="pga" form="unqualified"/>
            <xsd:element minOccurs="0" nillable="true" type="xsd:double" name="pgam" form="unqualified"/>
            <xsd:element minOccurs="0" nillable="true" type="xsd:double" name="pgauh" form="unqualified"/>
            <xsd:element minOccurs="0" nillable="true" type="xsd:double" name="pgadet" form="unqualified"/>
            <xsd:element minOccurs="0" nillable="true" type="xsd:double" name="fa" form="unqualified"/>
            <xsd:element minOccurs="0" nillable="true" type="xsd:double" name="fv" form="unqualified"/>
            <xsd:element minOccurs="0" nillable="true" type="xsd:double" name="fpga" form="unqualified"/>
            <xsd:element minOccurs="0" nillable="true" type="xsd:integer" name="tl" form="unqualified"/>
            <xsd:element minOccurs="0" nillable="true" type="xsd:double" name="srs" form="unqualified"/>
            <xsd:element minOccurs="0" nillable="true" type="xsd:double" name="sr1" form="unqualified"/>
            <xsd:element minOccurs="0" nillable="true" type="xsd:double" name="sds" form="unqualified"/>
            <xsd:element minOccurs="0" nillable="true" type="xsd:double" name="sd1" form="unqualified"/>
            <xsd:element minOccurs="0" nillable="true" type="xsd:string" name="designcategory" form="unqualified"/>
            <xsd:element minOccurs="0" maxOccurs="unbounded" nillable="true" name="spectrum" form="unqualified">
              <xsd:complexType>
                <xsd:sequence minOccurs="0">
                  <xsd:element minOccurs="0" nillable="true" type="xsd:string" name="name" form="unqualified"/>
                  <xsd:element minOccurs="0" nillable="true" name="min" form="unqualified">
                    <xsd:complexType>
                      <xsd:attribute name="x" form="unqualified" type="xsd:double"/>
                      <xsd:attribute name="y" form="unqualified" type="xsd:double"/>
                    </xsd:complexType>
                  </xsd:element>
                  <xsd:element minOccurs="0" nillable="true" name="max" form="unqualified">
                    <xsd:complexType>
                      <xsd:attribute name="x" form="unqualified" type="xsd:double"/>
                      <xsd:attribute name="y" form="unqualified" type="xsd:double"/>
                    </xsd:complexType>
                  </xsd:element>
                  <xsd:element minOccurs="0" maxOccurs="unbounded" nillable="true" name="point" form="unqualified">
                    <xsd:complexType>
                      <xsd:attribute name="index" form="unqualified" type="xsd:integer"/>
                      <xsd:attribute name="x" form="unqualified" type="xsd:double"/>
                      <xsd:attribute name="y" form="unqualified" type="xsd:double"/>
                    </xsd:complexType>
                  </xsd:element>
                </xsd:sequence>
                <xsd:attribute name="index" form="unqualified" type="xsd:integer"/>
                <xsd:attribute name="type" form="unqualified" type="xsd:string"/>
              </xsd:complexType>
            </xsd:element>
          </xsd:sequence>
        </xsd:complexType>
      </xsd:element>
    </xsd:schema>
  </Schema>
  <Map ID="3" Name="output_Map" RootElement="output" SchemaID="Schema3" ShowImportExportValidationErrors="false" AutoFit="true" Append="false" PreserveSortAFLayout="true" PreserveFormat="true">
    <DataBinding FileBinding="true" ConnectionID="2"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xmlMaps" Target="xmlMap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haredStrings" Target="sharedStrings.xml"/><Relationship Id="rId30" Type="http://schemas.openxmlformats.org/officeDocument/2006/relationships/customXml" Target="../customXml/item2.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fmlaLink="ie_override" lockText="1" noThreeD="1"/>
</file>

<file path=xl/ctrlProps/ctrlProp9.xml><?xml version="1.0" encoding="utf-8"?>
<formControlPr xmlns="http://schemas.microsoft.com/office/spreadsheetml/2009/9/main" objectType="CheckBox" fmlaLink="Use_ASCE"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fmlaLink="sd_override" lockText="1" noThreeD="1"/>
</file>

<file path=xl/ctrlProps/ctrlProp12.xml><?xml version="1.0" encoding="utf-8"?>
<formControlPr xmlns="http://schemas.microsoft.com/office/spreadsheetml/2009/9/main" objectType="CheckBox" checked="Checked" fmlaLink="Period"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381000</xdr:colOff>
          <xdr:row>0</xdr:row>
          <xdr:rowOff>180975</xdr:rowOff>
        </xdr:from>
        <xdr:to>
          <xdr:col>6</xdr:col>
          <xdr:colOff>0</xdr:colOff>
          <xdr:row>2</xdr:row>
          <xdr:rowOff>19050</xdr:rowOff>
        </xdr:to>
        <xdr:sp macro="" textlink="">
          <xdr:nvSpPr>
            <xdr:cNvPr id="32770" name="USGS" hidden="1">
              <a:extLst>
                <a:ext uri="{63B3BB69-23CF-44E3-9099-C40C66FF867C}">
                  <a14:compatExt spid="_x0000_s32770"/>
                </a:ext>
                <a:ext uri="{FF2B5EF4-FFF2-40B4-BE49-F238E27FC236}">
                  <a16:creationId xmlns:a16="http://schemas.microsoft.com/office/drawing/2014/main" id="{00000000-0008-0000-0000-00000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Enable USGS Import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xdr:row>
          <xdr:rowOff>19050</xdr:rowOff>
        </xdr:from>
        <xdr:to>
          <xdr:col>5</xdr:col>
          <xdr:colOff>523875</xdr:colOff>
          <xdr:row>4</xdr:row>
          <xdr:rowOff>180975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000-000004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Clean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5</xdr:row>
          <xdr:rowOff>142875</xdr:rowOff>
        </xdr:from>
        <xdr:to>
          <xdr:col>5</xdr:col>
          <xdr:colOff>571500</xdr:colOff>
          <xdr:row>7</xdr:row>
          <xdr:rowOff>161925</xdr:rowOff>
        </xdr:to>
        <xdr:sp macro="" textlink="">
          <xdr:nvSpPr>
            <xdr:cNvPr id="32773" name="Button 5" hidden="1">
              <a:extLst>
                <a:ext uri="{63B3BB69-23CF-44E3-9099-C40C66FF867C}">
                  <a14:compatExt spid="_x0000_s32773"/>
                </a:ext>
                <a:ext uri="{FF2B5EF4-FFF2-40B4-BE49-F238E27FC236}">
                  <a16:creationId xmlns:a16="http://schemas.microsoft.com/office/drawing/2014/main" id="{00000000-0008-0000-0000-000005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Very Hide This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xdr:colOff>
          <xdr:row>3</xdr:row>
          <xdr:rowOff>57150</xdr:rowOff>
        </xdr:from>
        <xdr:to>
          <xdr:col>16</xdr:col>
          <xdr:colOff>561975</xdr:colOff>
          <xdr:row>6</xdr:row>
          <xdr:rowOff>9525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Lat/Long</a:t>
              </a:r>
            </a:p>
          </xdr:txBody>
        </xdr:sp>
        <xdr:clientData fPrintsWithSheet="0"/>
      </xdr:twoCellAnchor>
    </mc:Choice>
    <mc:Fallback/>
  </mc:AlternateContent>
  <xdr:twoCellAnchor editAs="absolute">
    <xdr:from>
      <xdr:col>1</xdr:col>
      <xdr:colOff>219074</xdr:colOff>
      <xdr:row>0</xdr:row>
      <xdr:rowOff>114300</xdr:rowOff>
    </xdr:from>
    <xdr:to>
      <xdr:col>4</xdr:col>
      <xdr:colOff>233452</xdr:colOff>
      <xdr:row>4</xdr:row>
      <xdr:rowOff>85725</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6724" y="114300"/>
          <a:ext cx="1957478" cy="733425"/>
        </a:xfrm>
        <a:prstGeom prst="rect">
          <a:avLst/>
        </a:prstGeom>
        <a:ln>
          <a:noFill/>
        </a:ln>
      </xdr:spPr>
    </xdr:pic>
    <xdr:clientData/>
  </xdr:twoCellAnchor>
  <mc:AlternateContent xmlns:mc="http://schemas.openxmlformats.org/markup-compatibility/2006">
    <mc:Choice xmlns:a14="http://schemas.microsoft.com/office/drawing/2010/main" Requires="a14">
      <xdr:twoCellAnchor>
        <xdr:from>
          <xdr:col>2</xdr:col>
          <xdr:colOff>0</xdr:colOff>
          <xdr:row>6</xdr:row>
          <xdr:rowOff>161925</xdr:rowOff>
        </xdr:from>
        <xdr:to>
          <xdr:col>3</xdr:col>
          <xdr:colOff>9525</xdr:colOff>
          <xdr:row>9</xdr:row>
          <xdr:rowOff>0</xdr:rowOff>
        </xdr:to>
        <xdr:sp macro="" textlink="">
          <xdr:nvSpPr>
            <xdr:cNvPr id="2066" name="Lat Long"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Lat/Long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238125</xdr:colOff>
          <xdr:row>15</xdr:row>
          <xdr:rowOff>171450</xdr:rowOff>
        </xdr:from>
        <xdr:to>
          <xdr:col>3</xdr:col>
          <xdr:colOff>9525</xdr:colOff>
          <xdr:row>17</xdr:row>
          <xdr:rowOff>219075</xdr:rowOff>
        </xdr:to>
        <xdr:sp macro="" textlink="">
          <xdr:nvSpPr>
            <xdr:cNvPr id="2067" name="USGS"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a:t>
              </a:r>
            </a:p>
            <a:p>
              <a:pPr algn="ctr" rtl="0">
                <a:defRPr sz="1000"/>
              </a:pPr>
              <a:r>
                <a:rPr lang="en-US" sz="1100" b="0" i="0" u="none" strike="noStrike" baseline="0">
                  <a:solidFill>
                    <a:srgbClr val="4D4E53"/>
                  </a:solidFill>
                  <a:latin typeface="Calibri"/>
                  <a:cs typeface="Calibri"/>
                </a:rPr>
                <a:t>USGS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1028700</xdr:colOff>
          <xdr:row>22</xdr:row>
          <xdr:rowOff>19050</xdr:rowOff>
        </xdr:from>
        <xdr:to>
          <xdr:col>9</xdr:col>
          <xdr:colOff>1009650</xdr:colOff>
          <xdr:row>25</xdr:row>
          <xdr:rowOff>19050</xdr:rowOff>
        </xdr:to>
        <xdr:sp macro="" textlink="">
          <xdr:nvSpPr>
            <xdr:cNvPr id="2072" name="Print PDF"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20</xdr:row>
          <xdr:rowOff>95250</xdr:rowOff>
        </xdr:from>
        <xdr:to>
          <xdr:col>4</xdr:col>
          <xdr:colOff>790575</xdr:colOff>
          <xdr:row>22</xdr:row>
          <xdr:rowOff>95250</xdr:rowOff>
        </xdr:to>
        <xdr:sp macro="" textlink="">
          <xdr:nvSpPr>
            <xdr:cNvPr id="2074" name="Ie Override" descr="Approximate Fundamental Period"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Importance Factor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161925</xdr:colOff>
          <xdr:row>11</xdr:row>
          <xdr:rowOff>95250</xdr:rowOff>
        </xdr:from>
        <xdr:to>
          <xdr:col>9</xdr:col>
          <xdr:colOff>1028700</xdr:colOff>
          <xdr:row>13</xdr:row>
          <xdr:rowOff>95250</xdr:rowOff>
        </xdr:to>
        <xdr:sp macro="" textlink="">
          <xdr:nvSpPr>
            <xdr:cNvPr id="2077" name="ASCE 7-10 Override" descr="Approximate Fundamental Period"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ASCE 7-10 Seismic Parameters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4</xdr:col>
          <xdr:colOff>390525</xdr:colOff>
          <xdr:row>0</xdr:row>
          <xdr:rowOff>161925</xdr:rowOff>
        </xdr:from>
        <xdr:to>
          <xdr:col>5</xdr:col>
          <xdr:colOff>47625</xdr:colOff>
          <xdr:row>4</xdr:row>
          <xdr:rowOff>9525</xdr:rowOff>
        </xdr:to>
        <xdr:sp macro="" textlink="">
          <xdr:nvSpPr>
            <xdr:cNvPr id="2078" name="Import Previous"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Previous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25</xdr:row>
          <xdr:rowOff>133350</xdr:rowOff>
        </xdr:from>
        <xdr:to>
          <xdr:col>4</xdr:col>
          <xdr:colOff>790575</xdr:colOff>
          <xdr:row>27</xdr:row>
          <xdr:rowOff>95250</xdr:rowOff>
        </xdr:to>
        <xdr:sp macro="" textlink="">
          <xdr:nvSpPr>
            <xdr:cNvPr id="2079" name="Sd Override" descr="Approximate Fundamental Period"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Sds and Sd1</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419099</xdr:colOff>
      <xdr:row>0</xdr:row>
      <xdr:rowOff>114300</xdr:rowOff>
    </xdr:from>
    <xdr:to>
      <xdr:col>3</xdr:col>
      <xdr:colOff>281077</xdr:colOff>
      <xdr:row>4</xdr:row>
      <xdr:rowOff>85725</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49" y="114300"/>
          <a:ext cx="1957478" cy="733425"/>
        </a:xfrm>
        <a:prstGeom prst="rect">
          <a:avLst/>
        </a:prstGeom>
        <a:ln>
          <a:noFill/>
        </a:ln>
      </xdr:spPr>
    </xdr:pic>
    <xdr:clientData/>
  </xdr:twoCellAnchor>
  <mc:AlternateContent xmlns:mc="http://schemas.openxmlformats.org/markup-compatibility/2006">
    <mc:Choice xmlns:a14="http://schemas.microsoft.com/office/drawing/2010/main" Requires="a14">
      <xdr:twoCellAnchor editAs="oneCell">
        <xdr:from>
          <xdr:col>1</xdr:col>
          <xdr:colOff>28575</xdr:colOff>
          <xdr:row>14</xdr:row>
          <xdr:rowOff>180975</xdr:rowOff>
        </xdr:from>
        <xdr:to>
          <xdr:col>3</xdr:col>
          <xdr:colOff>571500</xdr:colOff>
          <xdr:row>16</xdr:row>
          <xdr:rowOff>19050</xdr:rowOff>
        </xdr:to>
        <xdr:sp macro="" textlink="">
          <xdr:nvSpPr>
            <xdr:cNvPr id="10247" name="Approx Period" descr="Approximate Fundamental Period" hidden="1">
              <a:extLst>
                <a:ext uri="{63B3BB69-23CF-44E3-9099-C40C66FF867C}">
                  <a14:compatExt spid="_x0000_s10247"/>
                </a:ext>
                <a:ext uri="{FF2B5EF4-FFF2-40B4-BE49-F238E27FC236}">
                  <a16:creationId xmlns:a16="http://schemas.microsoft.com/office/drawing/2014/main" id="{00000000-0008-0000-0200-00000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TIA Approximate Fundamental Period</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238125</xdr:colOff>
          <xdr:row>6</xdr:row>
          <xdr:rowOff>171450</xdr:rowOff>
        </xdr:from>
        <xdr:to>
          <xdr:col>2</xdr:col>
          <xdr:colOff>228600</xdr:colOff>
          <xdr:row>9</xdr:row>
          <xdr:rowOff>57150</xdr:rowOff>
        </xdr:to>
        <xdr:sp macro="" textlink="">
          <xdr:nvSpPr>
            <xdr:cNvPr id="10248" name="Import" hidden="1">
              <a:extLst>
                <a:ext uri="{63B3BB69-23CF-44E3-9099-C40C66FF867C}">
                  <a14:compatExt spid="_x0000_s10248"/>
                </a:ext>
                <a:ext uri="{FF2B5EF4-FFF2-40B4-BE49-F238E27FC236}">
                  <a16:creationId xmlns:a16="http://schemas.microsoft.com/office/drawing/2014/main" id="{00000000-0008-0000-0200-000008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TNX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819150</xdr:colOff>
          <xdr:row>6</xdr:row>
          <xdr:rowOff>171450</xdr:rowOff>
        </xdr:from>
        <xdr:to>
          <xdr:col>8</xdr:col>
          <xdr:colOff>809625</xdr:colOff>
          <xdr:row>9</xdr:row>
          <xdr:rowOff>57150</xdr:rowOff>
        </xdr:to>
        <xdr:sp macro="" textlink="">
          <xdr:nvSpPr>
            <xdr:cNvPr id="10249" name="Export" hidden="1">
              <a:extLst>
                <a:ext uri="{63B3BB69-23CF-44E3-9099-C40C66FF867C}">
                  <a14:compatExt spid="_x0000_s10249"/>
                </a:ext>
                <a:ext uri="{FF2B5EF4-FFF2-40B4-BE49-F238E27FC236}">
                  <a16:creationId xmlns:a16="http://schemas.microsoft.com/office/drawing/2014/main" id="{00000000-0008-0000-0200-000009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TNX </a:t>
              </a:r>
            </a:p>
            <a:p>
              <a:pPr algn="ctr" rtl="0">
                <a:defRPr sz="1000"/>
              </a:pPr>
              <a:r>
                <a:rPr lang="en-US" sz="1100" b="0" i="0" u="none" strike="noStrike" baseline="0">
                  <a:solidFill>
                    <a:srgbClr val="000000"/>
                  </a:solidFill>
                  <a:latin typeface="Calibri"/>
                  <a:cs typeface="Calibri"/>
                </a:rPr>
                <a:t>w/ Seismic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819150</xdr:colOff>
          <xdr:row>13</xdr:row>
          <xdr:rowOff>152400</xdr:rowOff>
        </xdr:from>
        <xdr:to>
          <xdr:col>8</xdr:col>
          <xdr:colOff>800100</xdr:colOff>
          <xdr:row>16</xdr:row>
          <xdr:rowOff>0</xdr:rowOff>
        </xdr:to>
        <xdr:sp macro="" textlink="">
          <xdr:nvSpPr>
            <xdr:cNvPr id="10257" name="Print PDF" hidden="1">
              <a:extLst>
                <a:ext uri="{63B3BB69-23CF-44E3-9099-C40C66FF867C}">
                  <a14:compatExt spid="_x0000_s10257"/>
                </a:ext>
                <a:ext uri="{FF2B5EF4-FFF2-40B4-BE49-F238E27FC236}">
                  <a16:creationId xmlns:a16="http://schemas.microsoft.com/office/drawing/2014/main" id="{00000000-0008-0000-0200-00001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190500</xdr:rowOff>
        </xdr:from>
        <xdr:to>
          <xdr:col>3</xdr:col>
          <xdr:colOff>581025</xdr:colOff>
          <xdr:row>14</xdr:row>
          <xdr:rowOff>180975</xdr:rowOff>
        </xdr:to>
        <xdr:sp macro="" textlink="">
          <xdr:nvSpPr>
            <xdr:cNvPr id="10259" name="MP_Density" descr="Approximate Fundamental Period" hidden="1">
              <a:extLst>
                <a:ext uri="{63B3BB69-23CF-44E3-9099-C40C66FF867C}">
                  <a14:compatExt spid="_x0000_s10259"/>
                </a:ext>
                <a:ext uri="{FF2B5EF4-FFF2-40B4-BE49-F238E27FC236}">
                  <a16:creationId xmlns:a16="http://schemas.microsoft.com/office/drawing/2014/main" id="{00000000-0008-0000-0200-00001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Monopole Density</a:t>
              </a:r>
            </a:p>
          </xdr:txBody>
        </xdr:sp>
        <xdr:clientData fLocksWithSheet="0" fPrintsWithSheet="0"/>
      </xdr:twoCellAnchor>
    </mc:Choice>
    <mc:Fallback/>
  </mc:AlternateContent>
  <xdr:twoCellAnchor editAs="oneCell">
    <xdr:from>
      <xdr:col>2</xdr:col>
      <xdr:colOff>438149</xdr:colOff>
      <xdr:row>62</xdr:row>
      <xdr:rowOff>152400</xdr:rowOff>
    </xdr:from>
    <xdr:to>
      <xdr:col>7</xdr:col>
      <xdr:colOff>685800</xdr:colOff>
      <xdr:row>64</xdr:row>
      <xdr:rowOff>0</xdr:rowOff>
    </xdr:to>
    <xdr:sp macro="" textlink="">
      <xdr:nvSpPr>
        <xdr:cNvPr id="2" name="Note_2_Warning" hidden="1">
          <a:extLst>
            <a:ext uri="{FF2B5EF4-FFF2-40B4-BE49-F238E27FC236}">
              <a16:creationId xmlns:a16="http://schemas.microsoft.com/office/drawing/2014/main" id="{00000000-0008-0000-0200-000002000000}"/>
            </a:ext>
          </a:extLst>
        </xdr:cNvPr>
        <xdr:cNvSpPr txBox="1"/>
      </xdr:nvSpPr>
      <xdr:spPr>
        <a:xfrm>
          <a:off x="1733549" y="7058025"/>
          <a:ext cx="408622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tx1"/>
              </a:solidFill>
            </a:rPr>
            <a:t>*T&gt;Ts</a:t>
          </a:r>
          <a:r>
            <a:rPr lang="en-US" sz="1100" baseline="0">
              <a:solidFill>
                <a:schemeClr val="tx1"/>
              </a:solidFill>
            </a:rPr>
            <a:t> -</a:t>
          </a:r>
          <a:r>
            <a:rPr lang="en-US" sz="1100">
              <a:solidFill>
                <a:schemeClr val="tx1"/>
              </a:solidFill>
            </a:rPr>
            <a:t> GMHA may be required. See TIA-222-H-1 Table 2-12 Note 2</a:t>
          </a:r>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app4\cad\SA%20Models%20-%20Letters\Work%20Area\DSmilowitz%20(R)\4%20-%20Seismic\Test%20Sites\Monopole\814719%20Tapered%20Monopole\814719%20CCISeismic%202.0.0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app4\cad\SA%20Models%20-%20Letters\Work%20Area\DSmilowitz%20(R)\4%20-%20Seismic\ASCE%20Data%20Tool\ASCE%20Data%20Too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nopole"/>
      <sheetName val="MP App Data"/>
      <sheetName val="MP Section Weights"/>
      <sheetName val="MP Reference"/>
      <sheetName val="Self-Support"/>
      <sheetName val="SS App Data"/>
      <sheetName val="SS Section Weights"/>
      <sheetName val="SST Reference"/>
      <sheetName val="Guyed Tower"/>
      <sheetName val="Guyed Reference"/>
      <sheetName val="GT App Data"/>
      <sheetName val="GT Section Weights"/>
      <sheetName val="General Reference"/>
      <sheetName val="TNX Import"/>
      <sheetName val="Feedlines"/>
      <sheetName val="Appts"/>
      <sheetName val="Dishes"/>
      <sheetName val="MP Section Data"/>
      <sheetName val="SS Section Data"/>
      <sheetName val="GT Section Data"/>
      <sheetName val="ErrorLog"/>
      <sheetName val="TNX Export"/>
      <sheetName val="Puerto Rico Ss Values"/>
    </sheetNames>
    <sheetDataSet>
      <sheetData sheetId="0">
        <row r="23">
          <cell r="N23">
            <v>130</v>
          </cell>
        </row>
        <row r="41">
          <cell r="N41">
            <v>3.9009646407426241E-2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1">
          <cell r="B1">
            <v>33.835610000000003</v>
          </cell>
        </row>
        <row r="2">
          <cell r="B2">
            <v>-117.49424999999999</v>
          </cell>
        </row>
        <row r="3">
          <cell r="B3" t="str">
            <v>wind2010_100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0000000}" name="ASCEDiscreteLoads" displayName="ASCEDiscreteLoads" ref="BB3:BH4" totalsRowShown="0" headerRowDxfId="273" dataDxfId="271" headerRowBorderDxfId="272" tableBorderDxfId="270" totalsRowBorderDxfId="269">
  <autoFilter ref="BB3:BH4" xr:uid="{00000000-0009-0000-0100-00001E000000}"/>
  <tableColumns count="7">
    <tableColumn id="1" xr3:uid="{00000000-0010-0000-0000-000001000000}" name="Name" dataDxfId="268" totalsRowDxfId="267"/>
    <tableColumn id="2" xr3:uid="{00000000-0010-0000-0000-000002000000}" name="hx" dataDxfId="266" totalsRowDxfId="265"/>
    <tableColumn id="3" xr3:uid="{00000000-0010-0000-0000-000003000000}" name="wx" dataDxfId="264" totalsRowDxfId="263"/>
    <tableColumn id="4" xr3:uid="{00000000-0010-0000-0000-000004000000}" name="wxhxk" dataDxfId="262" totalsRowDxfId="261">
      <calculatedColumnFormula>IF(OR(ASCEDiscreteLoads[wx]="",ASCEDiscreteLoads[hx]=""),"",ASCEDiscreteLoads[wx]*ASCEDiscreteLoads[hx]^k)</calculatedColumnFormula>
    </tableColumn>
    <tableColumn id="5" xr3:uid="{00000000-0010-0000-0000-000005000000}" name="Cvx" dataDxfId="260" totalsRowDxfId="259">
      <calculatedColumnFormula>IF(OR(ASCEDiscreteLoads[[#This Row],[wxhxk]]="",sumwxhxk=""),"",ASCEDiscreteLoads[[#This Row],[wxhxk]]/sumwxhxk)</calculatedColumnFormula>
    </tableColumn>
    <tableColumn id="6" xr3:uid="{00000000-0010-0000-0000-000006000000}" name="Fxh" dataDxfId="258" totalsRowDxfId="257">
      <calculatedColumnFormula>IF(OR(ASCEDiscreteLoads[[#This Row],[Cvx]]="",V=""),"",ASCEDiscreteLoads[[#This Row],[Cvx]]*V)</calculatedColumnFormula>
    </tableColumn>
    <tableColumn id="8" xr3:uid="{00000000-0010-0000-0000-000008000000}" name="Fxv" dataDxfId="256" totalsRowDxfId="255">
      <calculatedColumnFormula>IF(OR(sds="",ASCEDiscreteLoads[[#This Row],[wx]]=""),"",0.2*sds*ASCEDiscreteLoads[[#This Row],[wx]])</calculatedColumnFormula>
    </tableColumn>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1000000}" name="ASCELinearLoads" displayName="ASCELinearLoads" ref="CB3:CJ4" totalsRowShown="0" headerRowDxfId="254" dataDxfId="253" tableBorderDxfId="252">
  <autoFilter ref="CB3:CJ4" xr:uid="{00000000-0009-0000-0100-00001F000000}"/>
  <tableColumns count="9">
    <tableColumn id="1" xr3:uid="{00000000-0010-0000-0100-000001000000}" name="Name" dataDxfId="251"/>
    <tableColumn id="7" xr3:uid="{00000000-0010-0000-0100-000007000000}" name="Start Height" dataDxfId="250"/>
    <tableColumn id="8" xr3:uid="{00000000-0010-0000-0100-000008000000}" name="End Height" dataDxfId="249"/>
    <tableColumn id="2" xr3:uid="{00000000-0010-0000-0100-000002000000}" name="hx" dataDxfId="248"/>
    <tableColumn id="3" xr3:uid="{00000000-0010-0000-0100-000003000000}" name="wx" dataDxfId="247"/>
    <tableColumn id="4" xr3:uid="{00000000-0010-0000-0100-000004000000}" name="wxhxk" dataDxfId="246">
      <calculatedColumnFormula>IF(OR(ASCELinearLoads[wx]="",ASCELinearLoads[hx]=""),"",ASCELinearLoads[wx]*ASCELinearLoads[hx]^k)</calculatedColumnFormula>
    </tableColumn>
    <tableColumn id="5" xr3:uid="{00000000-0010-0000-0100-000005000000}" name="Cvx" dataDxfId="245">
      <calculatedColumnFormula>IF(OR(ASCELinearLoads[[#This Row],[wxhxk]]="",sumwxhxk=""),"",ASCELinearLoads[[#This Row],[wxhxk]]/sumwxhxk)</calculatedColumnFormula>
    </tableColumn>
    <tableColumn id="6" xr3:uid="{00000000-0010-0000-0100-000006000000}" name="Fxh" dataDxfId="244">
      <calculatedColumnFormula>IF(OR(ASCELinearLoads[[#This Row],[Cvx]]="",V=""),"",ASCELinearLoads[[#This Row],[Cvx]]*V)</calculatedColumnFormula>
    </tableColumn>
    <tableColumn id="10" xr3:uid="{00000000-0010-0000-0100-00000A000000}" name="Fxv" dataDxfId="243">
      <calculatedColumnFormula>IF(OR(sds="",ASCELinearLoads[[#This Row],[wx]]=""),"",0.2*sds*ASCELinearLoads[[#This Row],[wx]])</calculatedColumnFormula>
    </tableColumn>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2000000}" name="ASCETowerSectionLoads" displayName="ASCETowerSectionLoads" ref="B3:J4" totalsRowShown="0" headerRowDxfId="242" dataDxfId="241" tableBorderDxfId="240">
  <autoFilter ref="B3:J4" xr:uid="{00000000-0009-0000-0100-000020000000}"/>
  <tableColumns count="9">
    <tableColumn id="1" xr3:uid="{00000000-0010-0000-0200-000001000000}" name="Section Number" dataDxfId="239"/>
    <tableColumn id="2" xr3:uid="{00000000-0010-0000-0200-000002000000}" name="Length" dataDxfId="238"/>
    <tableColumn id="3" xr3:uid="{00000000-0010-0000-0200-000003000000}" name="Top Height" dataDxfId="237"/>
    <tableColumn id="4" xr3:uid="{00000000-0010-0000-0200-000004000000}" name="Mid Height, hx" dataDxfId="236"/>
    <tableColumn id="5" xr3:uid="{00000000-0010-0000-0200-000005000000}" name="Section Weight, wx" dataDxfId="235"/>
    <tableColumn id="6" xr3:uid="{00000000-0010-0000-0200-000006000000}" name="wxhxk" dataDxfId="234">
      <calculatedColumnFormula>IF(OR(ASCETowerSectionLoads[Section Weight, wx]="",ASCETowerSectionLoads[Mid Height, hx]=""),"",ASCETowerSectionLoads[Section Weight, wx]*ASCETowerSectionLoads[Mid Height, hx]^k)</calculatedColumnFormula>
    </tableColumn>
    <tableColumn id="7" xr3:uid="{00000000-0010-0000-0200-000007000000}" name="Cvx" dataDxfId="233">
      <calculatedColumnFormula>IF(OR(ASCETowerSectionLoads[[#This Row],[wxhxk]]="",sumwxhxk=""),"",ASCETowerSectionLoads[[#This Row],[wxhxk]]/sumwxhxk)</calculatedColumnFormula>
    </tableColumn>
    <tableColumn id="8" xr3:uid="{00000000-0010-0000-0200-000008000000}" name="Fxh" dataDxfId="232">
      <calculatedColumnFormula>IF(OR(ASCETowerSectionLoads[[#This Row],[Cvx]]="",V=""),"",ASCETowerSectionLoads[[#This Row],[Cvx]]*V)</calculatedColumnFormula>
    </tableColumn>
    <tableColumn id="10" xr3:uid="{00000000-0010-0000-0200-00000A000000}" name="Fxv" dataDxfId="231">
      <calculatedColumnFormula>IF(ASCETowerSectionLoads[Section Weight, wx]="","",0.2*sds*ASCETowerSectionLoads[[#This Row],[Section Weight, wx]])</calculatedColumnFormula>
    </tableColumn>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3000000}" name="ASCEGuyLoads" displayName="ASCEGuyLoads" ref="AB3:AM4" totalsRowShown="0" headerRowDxfId="230" dataDxfId="228" headerRowBorderDxfId="229" tableBorderDxfId="227" totalsRowBorderDxfId="226">
  <autoFilter ref="AB3:AM4" xr:uid="{00000000-0009-0000-0100-000021000000}"/>
  <tableColumns count="12">
    <tableColumn id="1" xr3:uid="{00000000-0010-0000-0300-000001000000}" name="Guy Attachment Elevation, hx" dataDxfId="225"/>
    <tableColumn id="2" xr3:uid="{00000000-0010-0000-0300-000002000000}" name="Total Guy Weight" dataDxfId="224"/>
    <tableColumn id="15" xr3:uid="{00000000-0010-0000-0300-00000F000000}" name="Effective Guy Weight, wx" dataDxfId="223">
      <calculatedColumnFormula>IF(ASCEGuyLoads[Total Guy Weight]="","",ASCEGuyLoads[Total Guy Weight]/2)</calculatedColumnFormula>
    </tableColumn>
    <tableColumn id="3" xr3:uid="{00000000-0010-0000-0300-000003000000}" name="wxhxk" dataDxfId="222">
      <calculatedColumnFormula>IF(OR(ASCEGuyLoads[Guy Attachment Elevation, hx]="",ASCEGuyLoads[Effective Guy Weight, wx]=""),"",ASCEGuyLoads[Effective Guy Weight, wx]*ASCEGuyLoads[Guy Attachment Elevation, hx]^k)</calculatedColumnFormula>
    </tableColumn>
    <tableColumn id="4" xr3:uid="{00000000-0010-0000-0300-000004000000}" name="Cvx" dataDxfId="221">
      <calculatedColumnFormula>IF(OR(ASCEGuyLoads[[#This Row],[wxhxk]]="",sumwxhxk=""),"",ASCEGuyLoads[[#This Row],[wxhxk]]/sumwxhxk)</calculatedColumnFormula>
    </tableColumn>
    <tableColumn id="5" xr3:uid="{00000000-0010-0000-0300-000005000000}" name="Fxh" dataDxfId="220">
      <calculatedColumnFormula>IF(OR(ASCEGuyLoads[[#This Row],[Cvx]]="",V=""),"",ASCEGuyLoads[[#This Row],[Cvx]]*V)</calculatedColumnFormula>
    </tableColumn>
    <tableColumn id="7" xr3:uid="{00000000-0010-0000-0300-000007000000}" name="Fxv" dataDxfId="219">
      <calculatedColumnFormula>IF(OR(sds="",ASCEGuyLoads[Effective Guy Weight, wx]=""),"",0.2*sds*ASCEGuyLoads[Effective Guy Weight, wx])</calculatedColumnFormula>
    </tableColumn>
    <tableColumn id="6" xr3:uid="{00000000-0010-0000-0300-000006000000}" name="Ni" dataDxfId="218"/>
    <tableColumn id="11" xr3:uid="{00000000-0010-0000-0300-00000B000000}" name="Agi" dataDxfId="217"/>
    <tableColumn id="12" xr3:uid="{00000000-0010-0000-0300-00000C000000}" name="Gri" dataDxfId="216"/>
    <tableColumn id="13" xr3:uid="{00000000-0010-0000-0300-00000D000000}" name="Lgi" dataDxfId="215"/>
    <tableColumn id="14" xr3:uid="{00000000-0010-0000-0300-00000E000000}" name="Kg" dataDxfId="214">
      <calculatedColumnFormula>IF(OR(ASCEGuyLoads[[#This Row],[Ni]]="",ASCEGuyLoads[[#This Row],[Agi]]="",ASCEGuyLoads[[#This Row],[Gri]]="",ASCEGuyLoads[[#This Row],[Guy Attachment Elevation, hx]]="",ASCEGuyLoads[[#This Row],[Lgi]]="",h=""),"",(ASCEGuyLoads[[#This Row],[Ni]]*ASCEGuyLoads[[#This Row],[Agi]]*ASCEGuyLoads[[#This Row],[Gri]]*ASCEGuyLoads[[#This Row],[Guy Attachment Elevation, hx]])/(h*ASCEGuyLoads[[#This Row],[Lgi]]^2))</calculatedColumnFormula>
    </tableColumn>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IAGTowerSectionLoads" displayName="TIAGTowerSectionLoads" ref="B3:K4" totalsRowShown="0" headerRowDxfId="213" dataDxfId="212" tableBorderDxfId="211">
  <autoFilter ref="B3:K4" xr:uid="{00000000-0009-0000-0100-000001000000}"/>
  <tableColumns count="10">
    <tableColumn id="1" xr3:uid="{00000000-0010-0000-0400-000001000000}" name="Section Number" dataDxfId="210"/>
    <tableColumn id="2" xr3:uid="{00000000-0010-0000-0400-000002000000}" name="Length" dataDxfId="209"/>
    <tableColumn id="3" xr3:uid="{00000000-0010-0000-0400-000003000000}" name="Top Height" dataDxfId="208"/>
    <tableColumn id="4" xr3:uid="{00000000-0010-0000-0400-000004000000}" name="Mid Height, hx" dataDxfId="207"/>
    <tableColumn id="5" xr3:uid="{00000000-0010-0000-0400-000005000000}" name="Section Weight, wx" dataDxfId="206">
      <calculatedColumnFormula>MonopoleSections[[#This Row],[Weight Multiplier]]*MonopoleSections[[#This Row],[V]]*D_mp</calculatedColumnFormula>
    </tableColumn>
    <tableColumn id="13" xr3:uid="{00000000-0010-0000-0400-00000D000000}" name="a" dataDxfId="205">
      <calculatedColumnFormula>IF(OR(TIAGTowerSectionLoads[[#This Row],[Mid Height, hx]]="",h=""),"",1.89*(MIN(TIAGTowerSectionLoads[[#This Row],[Mid Height, hx]],h)/h)^2)</calculatedColumnFormula>
    </tableColumn>
    <tableColumn id="12" xr3:uid="{00000000-0010-0000-0400-00000C000000}" name="b" dataDxfId="204">
      <calculatedColumnFormula>IF(OR(TIAGTowerSectionLoads[[#This Row],[Mid Height, hx]]="",h=""),"",26.4*(MIN(TIAGTowerSectionLoads[[#This Row],[Mid Height, hx]],h)/h)^5-44.5*(MIN(TIAGTowerSectionLoads[[#This Row],[Mid Height, hx]],h)/h)^4+27*(MIN(TIAGTowerSectionLoads[[#This Row],[Mid Height, hx]],h)/h)^3-8.14*(MIN(TIAGTowerSectionLoads[[#This Row],[Mid Height, hx]],h)/h)^2+1.22*(MIN(TIAGTowerSectionLoads[[#This Row],[Mid Height, hx]],h)/h))</calculatedColumnFormula>
    </tableColumn>
    <tableColumn id="11" xr3:uid="{00000000-0010-0000-0400-00000B000000}" name="c" dataDxfId="203">
      <calculatedColumnFormula>IF(OR(TIAGTowerSectionLoads[[#This Row],[Mid Height, hx]]="",h=""),"",4.48*(MIN(TIAGTowerSectionLoads[[#This Row],[Mid Height, hx]],h)/h)^5-7.16*(MIN(TIAGTowerSectionLoads[[#This Row],[Mid Height, hx]],h)/h)^4+6.41*(MIN(TIAGTowerSectionLoads[[#This Row],[Mid Height, hx]],h)/h)^3-3.23*(MIN(TIAGTowerSectionLoads[[#This Row],[Mid Height, hx]],h)/h)^2+0.64*(MIN(TIAGTowerSectionLoads[[#This Row],[Mid Height, hx]],h)/h))</calculatedColumnFormula>
    </tableColumn>
    <tableColumn id="9" xr3:uid="{00000000-0010-0000-0400-000009000000}" name="Saz" dataDxfId="202">
      <calculatedColumnFormula>IF(OR(TIAGTowerSectionLoads[[#This Row],[a]]="",TIAGTowerSectionLoads[[#This Row],[b]]="",TIAGTowerSectionLoads[[#This Row],[c]]="",sa="",sds=""),"",((TIAGTowerSectionLoads[[#This Row],[a]]*sa^2)+(TIAGTowerSectionLoads[[#This Row],[b]]*sds^2))/SQRT(sa^2+(TIAGTowerSectionLoads[[#This Row],[c]]*sds^2)))</calculatedColumnFormula>
    </tableColumn>
    <tableColumn id="8" xr3:uid="{00000000-0010-0000-0400-000008000000}" name="Fsz" dataDxfId="201">
      <calculatedColumnFormula>IF(OR(TIAGTowerSectionLoads[[#This Row],[Saz]]="",TIAGTowerSectionLoads[[#This Row],[Section Weight, wx]]="",ie="",re=""),"",As*TIAGTowerSectionLoads[[#This Row],[Saz]]*TIAGTowerSectionLoads[[#This Row],[Section Weight, wx]]*ie/re)</calculatedColumnFormula>
    </tableColumn>
  </tableColumns>
  <tableStyleInfo name="TableStyleMedium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IAGDiscreteLoads" displayName="TIAGDiscreteLoads" ref="AB3:AI4" totalsRowShown="0" headerRowDxfId="200" dataDxfId="198" headerRowBorderDxfId="199" tableBorderDxfId="197" totalsRowBorderDxfId="196">
  <autoFilter ref="AB3:AI4" xr:uid="{00000000-0009-0000-0100-000004000000}"/>
  <tableColumns count="8">
    <tableColumn id="1" xr3:uid="{00000000-0010-0000-0500-000001000000}" name="Name" dataDxfId="195" totalsRowDxfId="194"/>
    <tableColumn id="2" xr3:uid="{00000000-0010-0000-0500-000002000000}" name="hx" dataDxfId="193" totalsRowDxfId="192"/>
    <tableColumn id="3" xr3:uid="{00000000-0010-0000-0500-000003000000}" name="wx" dataDxfId="191" totalsRowDxfId="190"/>
    <tableColumn id="4" xr3:uid="{00000000-0010-0000-0500-000004000000}" name="a" dataDxfId="189" totalsRowDxfId="188">
      <calculatedColumnFormula>IF(OR(TIAGDiscreteLoads[[#This Row],[hx]]="",h=""),"",1.89*(MIN(TIAGDiscreteLoads[[#This Row],[hx]],h)/h)^2)</calculatedColumnFormula>
    </tableColumn>
    <tableColumn id="5" xr3:uid="{00000000-0010-0000-0500-000005000000}" name="b" dataDxfId="187" totalsRowDxfId="186">
      <calculatedColumnFormula>IF(OR(TIAGDiscreteLoads[[#This Row],[hx]]="",h=""),"",26.4*(MIN(TIAGDiscreteLoads[[#This Row],[hx]],h)/h)^5-44.5*(MIN(TIAGDiscreteLoads[[#This Row],[hx]],h)/h)^4+27*(MIN(TIAGDiscreteLoads[[#This Row],[hx]],h)/h)^3-8.14*(MIN(TIAGDiscreteLoads[[#This Row],[hx]],h)/h)^2+1.22*(MIN(TIAGDiscreteLoads[[#This Row],[hx]],h)/h))</calculatedColumnFormula>
    </tableColumn>
    <tableColumn id="7" xr3:uid="{00000000-0010-0000-0500-000007000000}" name="c" dataDxfId="185" totalsRowDxfId="184">
      <calculatedColumnFormula>IF(OR(TIAGDiscreteLoads[[#This Row],[hx]]="",h=""),"",4.48*(MIN(TIAGDiscreteLoads[[#This Row],[hx]],h)/h)^5-7.16*(MIN(TIAGDiscreteLoads[[#This Row],[hx]],h)/h)^4+6.41*(MIN(TIAGDiscreteLoads[[#This Row],[hx]],h)/h)^3-3.23*(MIN(TIAGDiscreteLoads[[#This Row],[hx]],h)/h)^2+0.64*(MIN(TIAGDiscreteLoads[[#This Row],[hx]],h)/h))</calculatedColumnFormula>
    </tableColumn>
    <tableColumn id="6" xr3:uid="{00000000-0010-0000-0500-000006000000}" name="Saz" dataDxfId="183" totalsRowDxfId="182">
      <calculatedColumnFormula>IF(OR(TIAGDiscreteLoads[[#This Row],[a]]="",TIAGDiscreteLoads[[#This Row],[b]]="",TIAGDiscreteLoads[[#This Row],[c]]="",sa="",sds=""),"",((TIAGDiscreteLoads[[#This Row],[a]]*sa^2)+(TIAGDiscreteLoads[[#This Row],[b]]*sds^2))/SQRT(sa^2+(TIAGDiscreteLoads[[#This Row],[c]]*sds^2)))</calculatedColumnFormula>
    </tableColumn>
    <tableColumn id="8" xr3:uid="{00000000-0010-0000-0500-000008000000}" name="Fsz" dataDxfId="181" totalsRowDxfId="180">
      <calculatedColumnFormula>IF(OR(TIAGDiscreteLoads[[#This Row],[Saz]]="",TIAGDiscreteLoads[[#This Row],[wx]]="",ie="",re=""),"",As*TIAGDiscreteLoads[[#This Row],[Saz]]*TIAGDiscreteLoads[[#This Row],[wx]]*ie/re)</calculatedColumnFormula>
    </tableColumn>
  </tableColumns>
  <tableStyleInfo name="TableStyleMedium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TIAGLinearLoads" displayName="TIAGLinearLoads" ref="BB3:BK4" totalsRowShown="0" headerRowDxfId="179" dataDxfId="178" tableBorderDxfId="177">
  <autoFilter ref="BB3:BK4" xr:uid="{00000000-0009-0000-0100-000006000000}"/>
  <tableColumns count="10">
    <tableColumn id="1" xr3:uid="{00000000-0010-0000-0600-000001000000}" name="Name" dataDxfId="176"/>
    <tableColumn id="7" xr3:uid="{00000000-0010-0000-0600-000007000000}" name="Start Height" dataDxfId="175"/>
    <tableColumn id="8" xr3:uid="{00000000-0010-0000-0600-000008000000}" name="End Height" dataDxfId="174"/>
    <tableColumn id="2" xr3:uid="{00000000-0010-0000-0600-000002000000}" name="hx" dataDxfId="173"/>
    <tableColumn id="3" xr3:uid="{00000000-0010-0000-0600-000003000000}" name="wx" dataDxfId="172"/>
    <tableColumn id="4" xr3:uid="{00000000-0010-0000-0600-000004000000}" name="a" dataDxfId="171">
      <calculatedColumnFormula>IF(OR(TIAGLinearLoads[[#This Row],[hx]]="",h=""),"",1.89*(MIN(TIAGLinearLoads[[#This Row],[hx]],h)/h)^2)</calculatedColumnFormula>
    </tableColumn>
    <tableColumn id="5" xr3:uid="{00000000-0010-0000-0600-000005000000}" name="b" dataDxfId="170">
      <calculatedColumnFormula>IF(OR(TIAGLinearLoads[[#This Row],[hx]]="",h=""),"",26.4*(MIN(TIAGLinearLoads[[#This Row],[hx]],h)/h)^5-44.5*(MIN(TIAGLinearLoads[[#This Row],[hx]],h)/h)^4+27*(MIN(TIAGLinearLoads[[#This Row],[hx]],h)/h)^3-8.14*(MIN(TIAGLinearLoads[[#This Row],[hx]],h)/h)^2+1.22*(MIN(TIAGLinearLoads[[#This Row],[hx]],h)/h))</calculatedColumnFormula>
    </tableColumn>
    <tableColumn id="9" xr3:uid="{00000000-0010-0000-0600-000009000000}" name="c" dataDxfId="169">
      <calculatedColumnFormula>IF(OR(TIAGLinearLoads[[#This Row],[hx]]="",h=""),"",4.48*(MIN(TIAGLinearLoads[[#This Row],[hx]],h)/h)^5-7.16*(MIN(TIAGLinearLoads[[#This Row],[hx]],h)/h)^4+6.41*(MIN(TIAGLinearLoads[[#This Row],[hx]],h)/h)^3-3.23*(MIN(TIAGLinearLoads[[#This Row],[hx]],h)/h)^2+0.64*(MIN(TIAGLinearLoads[[#This Row],[hx]],h)/h))</calculatedColumnFormula>
    </tableColumn>
    <tableColumn id="6" xr3:uid="{00000000-0010-0000-0600-000006000000}" name="Saz" dataDxfId="168">
      <calculatedColumnFormula>IF(OR(TIAGLinearLoads[[#This Row],[a]]="",TIAGLinearLoads[[#This Row],[b]]="",TIAGLinearLoads[[#This Row],[c]]="",sa="",sds=""),"",((TIAGLinearLoads[[#This Row],[a]]*sa^2)+(TIAGLinearLoads[[#This Row],[b]]*sds^2))/SQRT(sa^2+(TIAGLinearLoads[[#This Row],[c]]*sds^2)))</calculatedColumnFormula>
    </tableColumn>
    <tableColumn id="10" xr3:uid="{00000000-0010-0000-0600-00000A000000}" name="Fsz" dataDxfId="167">
      <calculatedColumnFormula>IF(OR(TIAGLinearLoads[[#This Row],[Saz]]="",TIAGLinearLoads[[#This Row],[wx]]="",ie="",re=""),"",As*TIAGLinearLoads[[#This Row],[Saz]]*TIAGLinearLoads[[#This Row],[wx]]*ie/re)</calculatedColumnFormula>
    </tableColumn>
  </tableColumns>
  <tableStyleInfo name="TableStyleMedium1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7000000}" name="TIAGGTDiscreteLoads" displayName="TIAGGTDiscreteLoads" ref="EB3:EG4" totalsRowShown="0" headerRowDxfId="166" dataDxfId="164" headerRowBorderDxfId="165" tableBorderDxfId="163" totalsRowBorderDxfId="162">
  <autoFilter ref="EB3:EG4" xr:uid="{00000000-0009-0000-0100-00000D000000}"/>
  <tableColumns count="6">
    <tableColumn id="1" xr3:uid="{00000000-0010-0000-0700-000001000000}" name="Name" dataDxfId="161" totalsRowDxfId="160"/>
    <tableColumn id="2" xr3:uid="{00000000-0010-0000-0700-000002000000}" name="hx" dataDxfId="159" totalsRowDxfId="158"/>
    <tableColumn id="3" xr3:uid="{00000000-0010-0000-0700-000003000000}" name="wx" dataDxfId="157" totalsRowDxfId="156"/>
    <tableColumn id="4" xr3:uid="{00000000-0010-0000-0700-000004000000}" name="wxhxk" dataDxfId="155" totalsRowDxfId="154">
      <calculatedColumnFormula>IF(OR(TIAGGTDiscreteLoads[wx]="",TIAGGTDiscreteLoads[hx]=""),"",TIAGGTDiscreteLoads[wx]*TIAGGTDiscreteLoads[hx]^k)</calculatedColumnFormula>
    </tableColumn>
    <tableColumn id="5" xr3:uid="{00000000-0010-0000-0700-000005000000}" name="Cvx" dataDxfId="153" totalsRowDxfId="152">
      <calculatedColumnFormula>IF(OR(TIAGGTDiscreteLoads[[#This Row],[wxhxk]]="",sumwxhxk=""),"",TIAGGTDiscreteLoads[[#This Row],[wxhxk]]/sumwxhxk)</calculatedColumnFormula>
    </tableColumn>
    <tableColumn id="6" xr3:uid="{00000000-0010-0000-0700-000006000000}" name="Fsz" dataDxfId="151" totalsRowDxfId="150">
      <calculatedColumnFormula>IF(OR(TIAGGTDiscreteLoads[[#This Row],[Cvx]]="",V=""),"",As*TIAGGTDiscreteLoads[[#This Row],[Cvx]]*V)</calculatedColumnFormula>
    </tableColumn>
  </tableColumns>
  <tableStyleInfo name="TableStyleMedium1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8000000}" name="TIAGGTLinearLoads" displayName="TIAGGTLinearLoads" ref="FB3:FI4" totalsRowShown="0" headerRowDxfId="149" dataDxfId="148" tableBorderDxfId="147">
  <autoFilter ref="FB3:FI4" xr:uid="{00000000-0009-0000-0100-000012000000}"/>
  <tableColumns count="8">
    <tableColumn id="1" xr3:uid="{00000000-0010-0000-0800-000001000000}" name="Name" dataDxfId="146"/>
    <tableColumn id="7" xr3:uid="{00000000-0010-0000-0800-000007000000}" name="Start Height" dataDxfId="145"/>
    <tableColumn id="8" xr3:uid="{00000000-0010-0000-0800-000008000000}" name="End Height" dataDxfId="144"/>
    <tableColumn id="2" xr3:uid="{00000000-0010-0000-0800-000002000000}" name="hx" dataDxfId="143"/>
    <tableColumn id="3" xr3:uid="{00000000-0010-0000-0800-000003000000}" name="wx" dataDxfId="142"/>
    <tableColumn id="4" xr3:uid="{00000000-0010-0000-0800-000004000000}" name="wxhxk" dataDxfId="141">
      <calculatedColumnFormula>IF(OR(TIAGGTLinearLoads[wx]="",TIAGGTLinearLoads[hx]=""),"",TIAGGTLinearLoads[wx]*TIAGGTLinearLoads[hx]^k)</calculatedColumnFormula>
    </tableColumn>
    <tableColumn id="5" xr3:uid="{00000000-0010-0000-0800-000005000000}" name="Cvx" dataDxfId="140">
      <calculatedColumnFormula>IF(OR(TIAGGTLinearLoads[[#This Row],[wxhxk]]="",sumwxhxk=""),"",TIAGGTLinearLoads[[#This Row],[wxhxk]]/sumwxhxk)</calculatedColumnFormula>
    </tableColumn>
    <tableColumn id="6" xr3:uid="{00000000-0010-0000-0800-000006000000}" name="Fsz" dataDxfId="139">
      <calculatedColumnFormula>IF(OR(TIAGGTLinearLoads[[#This Row],[Cvx]]="",V=""),"",As*TIAGGTLinearLoads[[#This Row],[Cvx]]*V)</calculatedColumnFormula>
    </tableColumn>
  </tableColumns>
  <tableStyleInfo name="TableStyleMedium1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9000000}" name="TIAGGTTowerSectionLoads" displayName="TIAGGTTowerSectionLoads" ref="CB3:CI4" totalsRowShown="0" headerRowDxfId="138" dataDxfId="137" tableBorderDxfId="136">
  <autoFilter ref="CB3:CI4" xr:uid="{00000000-0009-0000-0100-000013000000}"/>
  <tableColumns count="8">
    <tableColumn id="1" xr3:uid="{00000000-0010-0000-0900-000001000000}" name="Section Number" dataDxfId="135"/>
    <tableColumn id="2" xr3:uid="{00000000-0010-0000-0900-000002000000}" name="Length" dataDxfId="134"/>
    <tableColumn id="3" xr3:uid="{00000000-0010-0000-0900-000003000000}" name="Top Height" dataDxfId="133"/>
    <tableColumn id="4" xr3:uid="{00000000-0010-0000-0900-000004000000}" name="Mid Height, hx" dataDxfId="132"/>
    <tableColumn id="5" xr3:uid="{00000000-0010-0000-0900-000005000000}" name="Section Weight, wx" dataDxfId="131"/>
    <tableColumn id="6" xr3:uid="{00000000-0010-0000-0900-000006000000}" name="wxhxk" dataDxfId="130">
      <calculatedColumnFormula>IF(OR(TIAGGTTowerSectionLoads[[#This Row],[Section Weight, wx]]="",TIAGGTTowerSectionLoads[[#This Row],[Mid Height, hx]]=""),"",TIAGGTTowerSectionLoads[[#This Row],[Section Weight, wx]]*TIAGGTTowerSectionLoads[[#This Row],[Mid Height, hx]]^k)</calculatedColumnFormula>
    </tableColumn>
    <tableColumn id="7" xr3:uid="{00000000-0010-0000-0900-000007000000}" name="Cvx" dataDxfId="129">
      <calculatedColumnFormula>IF(OR(TIAGGTTowerSectionLoads[[#This Row],[wxhxk]]="",sumwxhxk=""),"",TIAGGTTowerSectionLoads[[#This Row],[wxhxk]]/sumwxhxk)</calculatedColumnFormula>
    </tableColumn>
    <tableColumn id="8" xr3:uid="{00000000-0010-0000-0900-000008000000}" name="Fsz" dataDxfId="128">
      <calculatedColumnFormula>IF(OR(TIAGGTTowerSectionLoads[[#This Row],[Cvx]]="",V=""),"",As*TIAGGTTowerSectionLoads[[#This Row],[Cvx]]*V)</calculatedColumnFormula>
    </tableColumn>
  </tableColumns>
  <tableStyleInfo name="TableStyleMedium1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A000000}" name="TIAGGTGuyLoads" displayName="TIAGGTGuyLoads" ref="DB3:DL4" totalsRowShown="0" headerRowDxfId="127" dataDxfId="125" headerRowBorderDxfId="126" tableBorderDxfId="124" totalsRowBorderDxfId="123">
  <autoFilter ref="DB3:DL4" xr:uid="{00000000-0009-0000-0100-000014000000}"/>
  <tableColumns count="11">
    <tableColumn id="1" xr3:uid="{00000000-0010-0000-0A00-000001000000}" name="Guy Attachment Elevation, hx" dataDxfId="122"/>
    <tableColumn id="2" xr3:uid="{00000000-0010-0000-0A00-000002000000}" name="Total Guy Weight" dataDxfId="121"/>
    <tableColumn id="15" xr3:uid="{00000000-0010-0000-0A00-00000F000000}" name="Effective Guy Weight, wx" dataDxfId="120">
      <calculatedColumnFormula>IF(TIAGGTGuyLoads[Total Guy Weight]="","",TIAGGTGuyLoads[Total Guy Weight]/2)</calculatedColumnFormula>
    </tableColumn>
    <tableColumn id="3" xr3:uid="{00000000-0010-0000-0A00-000003000000}" name="wxhxk" dataDxfId="119">
      <calculatedColumnFormula>IF(OR(TIAGGTGuyLoads[[#This Row],[Guy Attachment Elevation, hx]]="",TIAGGTGuyLoads[[#This Row],[Effective Guy Weight, wx]]=""),"",TIAGGTGuyLoads[[#This Row],[Effective Guy Weight, wx]]*TIAGGTGuyLoads[[#This Row],[Guy Attachment Elevation, hx]]^k)</calculatedColumnFormula>
    </tableColumn>
    <tableColumn id="4" xr3:uid="{00000000-0010-0000-0A00-000004000000}" name="Cvx" dataDxfId="118">
      <calculatedColumnFormula>IF(OR(TIAGGTGuyLoads[[#This Row],[wxhxk]]="",sumwxhxk=""),"",TIAGGTGuyLoads[[#This Row],[wxhxk]]/sumwxhxk)</calculatedColumnFormula>
    </tableColumn>
    <tableColumn id="5" xr3:uid="{00000000-0010-0000-0A00-000005000000}" name="Fsz" dataDxfId="117">
      <calculatedColumnFormula>IF(OR(TIAGGTGuyLoads[[#This Row],[Cvx]]="",V=""),"",As*TIAGGTGuyLoads[[#This Row],[Cvx]]*V)</calculatedColumnFormula>
    </tableColumn>
    <tableColumn id="6" xr3:uid="{00000000-0010-0000-0A00-000006000000}" name="Ni" dataDxfId="116"/>
    <tableColumn id="11" xr3:uid="{00000000-0010-0000-0A00-00000B000000}" name="Agi" dataDxfId="115"/>
    <tableColumn id="12" xr3:uid="{00000000-0010-0000-0A00-00000C000000}" name="Gri" dataDxfId="114"/>
    <tableColumn id="13" xr3:uid="{00000000-0010-0000-0A00-00000D000000}" name="Lgi" dataDxfId="113"/>
    <tableColumn id="14" xr3:uid="{00000000-0010-0000-0A00-00000E000000}" name="Kg" dataDxfId="112">
      <calculatedColumnFormula>IF(OR(TIAGGTGuyLoads[[#This Row],[Ni]]="",TIAGGTGuyLoads[[#This Row],[Agi]]="",TIAGGTGuyLoads[[#This Row],[Gri]]="",TIAGGTGuyLoads[[#This Row],[Guy Attachment Elevation, hx]]="",TIAGGTGuyLoads[[#This Row],[Lgi]]="",h=""),"",(TIAGGTGuyLoads[[#This Row],[Ni]]*TIAGGTGuyLoads[[#This Row],[Agi]]*TIAGGTGuyLoads[[#This Row],[Gri]]*TIAGGTGuyLoads[[#This Row],[Guy Attachment Elevation, hx]])/(h*TIAGGTGuyLoads[[#This Row],[Lgi]]^2))</calculatedColumnFormula>
    </tableColumn>
  </tableColumns>
  <tableStyleInfo name="TableStyleMedium1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B000000}" name="TIAHDiscreteLoads" displayName="TIAHDiscreteLoads" ref="BB3:BH4" totalsRowShown="0" headerRowDxfId="111" dataDxfId="109" headerRowBorderDxfId="110" tableBorderDxfId="108" totalsRowBorderDxfId="107">
  <autoFilter ref="BB3:BH4" xr:uid="{00000000-0009-0000-0100-000005000000}"/>
  <tableColumns count="7">
    <tableColumn id="1" xr3:uid="{00000000-0010-0000-0B00-000001000000}" name="Name" dataDxfId="106" totalsRowDxfId="105"/>
    <tableColumn id="2" xr3:uid="{00000000-0010-0000-0B00-000002000000}" name="hx" dataDxfId="104" totalsRowDxfId="103"/>
    <tableColumn id="3" xr3:uid="{00000000-0010-0000-0B00-000003000000}" name="wx" dataDxfId="102" totalsRowDxfId="101"/>
    <tableColumn id="4" xr3:uid="{00000000-0010-0000-0B00-000004000000}" name="wxhxk" dataDxfId="100" totalsRowDxfId="99">
      <calculatedColumnFormula>IF(OR(TIAHDiscreteLoads[[#This Row],[wx]]="",TIAHDiscreteLoads[[#This Row],[hx]]=""),"",TIAHDiscreteLoads[[#This Row],[wx]]*TIAHDiscreteLoads[[#This Row],[hx]]^k)</calculatedColumnFormula>
    </tableColumn>
    <tableColumn id="5" xr3:uid="{00000000-0010-0000-0B00-000005000000}" name="Cvx" dataDxfId="98" totalsRowDxfId="97">
      <calculatedColumnFormula>IF(OR(TIAHDiscreteLoads[[#This Row],[wxhxk]]="",sumwxhxk=""),"",TIAHDiscreteLoads[[#This Row],[wxhxk]]/sumwxhxk)</calculatedColumnFormula>
    </tableColumn>
    <tableColumn id="6" xr3:uid="{00000000-0010-0000-0B00-000006000000}" name="Fxh" dataDxfId="96" totalsRowDxfId="95">
      <calculatedColumnFormula>IF(OR(TIAHDiscreteLoads[[#This Row],[Cvx]]="",V=""),"",As*TIAHDiscreteLoads[[#This Row],[Cvx]]*V)</calculatedColumnFormula>
    </tableColumn>
    <tableColumn id="8" xr3:uid="{00000000-0010-0000-0B00-000008000000}" name="Fxv" dataDxfId="94" totalsRowDxfId="93">
      <calculatedColumnFormula>IF(OR(sds="",TIAHDiscreteLoads[[#This Row],[wx]]=""),"",As*0.2*sds*TIAHDiscreteLoads[[#This Row],[wx]])</calculatedColumnFormula>
    </tableColumn>
  </tableColumns>
  <tableStyleInfo name="TableStyleMedium1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C000000}" name="TIAHLinearLoads" displayName="TIAHLinearLoads" ref="CB3:CJ4" totalsRowShown="0" headerRowDxfId="92" dataDxfId="91" tableBorderDxfId="90">
  <autoFilter ref="CB3:CJ4" xr:uid="{00000000-0009-0000-0100-00000E000000}"/>
  <tableColumns count="9">
    <tableColumn id="1" xr3:uid="{00000000-0010-0000-0C00-000001000000}" name="Name" dataDxfId="89"/>
    <tableColumn id="7" xr3:uid="{00000000-0010-0000-0C00-000007000000}" name="Start Height" dataDxfId="88"/>
    <tableColumn id="8" xr3:uid="{00000000-0010-0000-0C00-000008000000}" name="End Height" dataDxfId="87"/>
    <tableColumn id="2" xr3:uid="{00000000-0010-0000-0C00-000002000000}" name="hx" dataDxfId="86"/>
    <tableColumn id="3" xr3:uid="{00000000-0010-0000-0C00-000003000000}" name="wx" dataDxfId="85"/>
    <tableColumn id="4" xr3:uid="{00000000-0010-0000-0C00-000004000000}" name="wxhxk" dataDxfId="84">
      <calculatedColumnFormula>IF(OR(TIAHLinearLoads[[#This Row],[wx]]="",TIAHLinearLoads[[#This Row],[hx]]=""),"",TIAHLinearLoads[[#This Row],[wx]]*TIAHLinearLoads[[#This Row],[hx]]^k)</calculatedColumnFormula>
    </tableColumn>
    <tableColumn id="5" xr3:uid="{00000000-0010-0000-0C00-000005000000}" name="Cvx" dataDxfId="83">
      <calculatedColumnFormula>IF(OR(TIAHLinearLoads[[#This Row],[wxhxk]]="",sumwxhxk=""),"",TIAHLinearLoads[[#This Row],[wxhxk]]/sumwxhxk)</calculatedColumnFormula>
    </tableColumn>
    <tableColumn id="6" xr3:uid="{00000000-0010-0000-0C00-000006000000}" name="Fxh" dataDxfId="82">
      <calculatedColumnFormula>IF(OR(TIAHLinearLoads[[#This Row],[Cvx]]="",V=""),"",As*TIAHLinearLoads[[#This Row],[Cvx]]*V)</calculatedColumnFormula>
    </tableColumn>
    <tableColumn id="10" xr3:uid="{00000000-0010-0000-0C00-00000A000000}" name="Fxv" dataDxfId="81">
      <calculatedColumnFormula>IF(OR(sds="",TIAHLinearLoads[[#This Row],[wx]]=""),"",As*0.2*sds*TIAHLinearLoads[[#This Row],[wx]])</calculatedColumnFormula>
    </tableColumn>
  </tableColumns>
  <tableStyleInfo name="TableStyleMedium1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D000000}" name="TIAHTowerSectionLoads" displayName="TIAHTowerSectionLoads" ref="B3:J4" totalsRowShown="0" headerRowDxfId="80" dataDxfId="79" tableBorderDxfId="78">
  <autoFilter ref="B3:J4" xr:uid="{00000000-0009-0000-0100-000010000000}"/>
  <tableColumns count="9">
    <tableColumn id="1" xr3:uid="{00000000-0010-0000-0D00-000001000000}" name="Section Number" dataDxfId="77"/>
    <tableColumn id="2" xr3:uid="{00000000-0010-0000-0D00-000002000000}" name="Length" dataDxfId="76"/>
    <tableColumn id="3" xr3:uid="{00000000-0010-0000-0D00-000003000000}" name="Top Height" dataDxfId="75"/>
    <tableColumn id="4" xr3:uid="{00000000-0010-0000-0D00-000004000000}" name="Mid Height, hx" dataDxfId="74"/>
    <tableColumn id="5" xr3:uid="{00000000-0010-0000-0D00-000005000000}" name="Section Weight, wx" dataDxfId="73"/>
    <tableColumn id="6" xr3:uid="{00000000-0010-0000-0D00-000006000000}" name="wxhxk" dataDxfId="72">
      <calculatedColumnFormula>IF(OR(TIAHTowerSectionLoads[[#This Row],[Section Weight, wx]]="",TIAHTowerSectionLoads[[#This Row],[Mid Height, hx]]=""),"",TIAHTowerSectionLoads[[#This Row],[Section Weight, wx]]*TIAHTowerSectionLoads[[#This Row],[Mid Height, hx]]^k)</calculatedColumnFormula>
    </tableColumn>
    <tableColumn id="7" xr3:uid="{00000000-0010-0000-0D00-000007000000}" name="Cvx" dataDxfId="71">
      <calculatedColumnFormula>IF(OR(TIAHTowerSectionLoads[[#This Row],[wxhxk]]="",sumwxhxk=""),"",TIAHTowerSectionLoads[[#This Row],[wxhxk]]/sumwxhxk)</calculatedColumnFormula>
    </tableColumn>
    <tableColumn id="8" xr3:uid="{00000000-0010-0000-0D00-000008000000}" name="Fxh" dataDxfId="70">
      <calculatedColumnFormula>IF(OR(TIAHTowerSectionLoads[[#This Row],[Cvx]]="",V=""),"",As*TIAHTowerSectionLoads[[#This Row],[Cvx]]*V)</calculatedColumnFormula>
    </tableColumn>
    <tableColumn id="10" xr3:uid="{00000000-0010-0000-0D00-00000A000000}" name="Fxv" dataDxfId="69">
      <calculatedColumnFormula>IF(TIAHTowerSectionLoads[[#This Row],[Section Weight, wx]]="","",As*0.2*sds*TIAHTowerSectionLoads[[#This Row],[Section Weight, wx]])</calculatedColumnFormula>
    </tableColumn>
  </tableColumns>
  <tableStyleInfo name="TableStyleMedium1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E000000}" name="TIAHGuyLoads" displayName="TIAHGuyLoads" ref="AB3:AM4" totalsRowShown="0" headerRowDxfId="68" dataDxfId="66" headerRowBorderDxfId="67" tableBorderDxfId="65" totalsRowBorderDxfId="64">
  <autoFilter ref="AB3:AM4" xr:uid="{00000000-0009-0000-0100-000011000000}"/>
  <tableColumns count="12">
    <tableColumn id="1" xr3:uid="{00000000-0010-0000-0E00-000001000000}" name="Guy Attachment Elevation, hx" dataDxfId="63"/>
    <tableColumn id="2" xr3:uid="{00000000-0010-0000-0E00-000002000000}" name="Total Guy Weight" dataDxfId="62"/>
    <tableColumn id="15" xr3:uid="{00000000-0010-0000-0E00-00000F000000}" name="Effective Guy Weight, wx" dataDxfId="61">
      <calculatedColumnFormula>IF(TIAHGuyLoads[Total Guy Weight]="","",TIAHGuyLoads[Total Guy Weight]/2)</calculatedColumnFormula>
    </tableColumn>
    <tableColumn id="3" xr3:uid="{00000000-0010-0000-0E00-000003000000}" name="wxhxk" dataDxfId="60">
      <calculatedColumnFormula>IF(OR(TIAHGuyLoads[Guy Attachment Elevation, hx]="",TIAHGuyLoads[Effective Guy Weight, wx]=""),"",TIAHGuyLoads[Effective Guy Weight, wx]*TIAHGuyLoads[Guy Attachment Elevation, hx]^k)</calculatedColumnFormula>
    </tableColumn>
    <tableColumn id="4" xr3:uid="{00000000-0010-0000-0E00-000004000000}" name="Cvx" dataDxfId="59">
      <calculatedColumnFormula>IF(OR(TIAHGuyLoads[[#This Row],[wxhxk]]="",sumwxhxk=""),"",TIAHGuyLoads[[#This Row],[wxhxk]]/sumwxhxk)</calculatedColumnFormula>
    </tableColumn>
    <tableColumn id="5" xr3:uid="{00000000-0010-0000-0E00-000005000000}" name="Fxh" dataDxfId="58">
      <calculatedColumnFormula>IF(OR(TIAHGuyLoads[[#This Row],[Cvx]]="",V=""),"",As*TIAHGuyLoads[[#This Row],[Cvx]]*V)</calculatedColumnFormula>
    </tableColumn>
    <tableColumn id="7" xr3:uid="{00000000-0010-0000-0E00-000007000000}" name="Fxv" dataDxfId="57">
      <calculatedColumnFormula>IF(OR(sds="",TIAHGuyLoads[Effective Guy Weight, wx]=""),"",As*0.2*sds*TIAHGuyLoads[Effective Guy Weight, wx])</calculatedColumnFormula>
    </tableColumn>
    <tableColumn id="6" xr3:uid="{00000000-0010-0000-0E00-000006000000}" name="Ni" dataDxfId="56"/>
    <tableColumn id="11" xr3:uid="{00000000-0010-0000-0E00-00000B000000}" name="Agi" dataDxfId="55"/>
    <tableColumn id="12" xr3:uid="{00000000-0010-0000-0E00-00000C000000}" name="Gri" dataDxfId="54"/>
    <tableColumn id="13" xr3:uid="{00000000-0010-0000-0E00-00000D000000}" name="Lgi" dataDxfId="53"/>
    <tableColumn id="14" xr3:uid="{00000000-0010-0000-0E00-00000E000000}" name="Kg" dataDxfId="52">
      <calculatedColumnFormula>IF(OR(TIAHGuyLoads[[#This Row],[Ni]]="",TIAHGuyLoads[[#This Row],[Agi]]="",TIAHGuyLoads[[#This Row],[Gri]]="",TIAHGuyLoads[[#This Row],[Guy Attachment Elevation, hx]]="",TIAHGuyLoads[[#This Row],[Lgi]]="",h=""),"",(TIAHGuyLoads[[#This Row],[Ni]]*TIAHGuyLoads[[#This Row],[Agi]]*TIAHGuyLoads[[#This Row],[Gri]]*TIAHGuyLoads[[#This Row],[Guy Attachment Elevation, hx]])/(h*TIAHGuyLoads[[#This Row],[Lgi]]^2))</calculatedColumnFormula>
    </tableColumn>
  </tableColumns>
  <tableStyleInfo name="TableStyleMedium16"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F000000}" name="MonopoleSections" displayName="MonopoleSections" ref="B3:AG4" totalsRowShown="0" headerRowDxfId="51" dataDxfId="49" headerRowBorderDxfId="50" tableBorderDxfId="48" totalsRowBorderDxfId="47">
  <autoFilter ref="B3:AG4" xr:uid="{00000000-0009-0000-0100-00000F000000}"/>
  <tableColumns count="32">
    <tableColumn id="1" xr3:uid="{00000000-0010-0000-0F00-000001000000}" name="Ht" dataDxfId="46"/>
    <tableColumn id="2" xr3:uid="{00000000-0010-0000-0F00-000002000000}" name="Htm" dataDxfId="45"/>
    <tableColumn id="3" xr3:uid="{00000000-0010-0000-0F00-000003000000}" name="L" dataDxfId="44"/>
    <tableColumn id="32" xr3:uid="{00000000-0010-0000-0F00-000020000000}" name="Weight Multiplier" dataDxfId="43"/>
    <tableColumn id="4" xr3:uid="{00000000-0010-0000-0F00-000004000000}" name="n" dataDxfId="42"/>
    <tableColumn id="5" xr3:uid="{00000000-0010-0000-0F00-000005000000}" name="Dt" dataDxfId="41"/>
    <tableColumn id="6" xr3:uid="{00000000-0010-0000-0F00-000006000000}" name="Db" dataDxfId="40"/>
    <tableColumn id="7" xr3:uid="{00000000-0010-0000-0F00-000007000000}" name="t" dataDxfId="39"/>
    <tableColumn id="8" xr3:uid="{00000000-0010-0000-0F00-000008000000}" name="Ato" dataDxfId="38">
      <calculatedColumnFormula>MonopoleSections[n]*(MonopoleSections[Dt]/2)^2*TAN(PI()/MonopoleSections[n])</calculatedColumnFormula>
    </tableColumn>
    <tableColumn id="9" xr3:uid="{00000000-0010-0000-0F00-000009000000}" name="Ati" dataDxfId="37">
      <calculatedColumnFormula>MonopoleSections[n]*(MonopoleSections[Dt]/2-MonopoleSections[t])^2*TAN(PI()/MonopoleSections[n])</calculatedColumnFormula>
    </tableColumn>
    <tableColumn id="10" xr3:uid="{00000000-0010-0000-0F00-00000A000000}" name="Abo" dataDxfId="36">
      <calculatedColumnFormula>MonopoleSections[n]*(MonopoleSections[Db]/2)^2*TAN(PI()/MonopoleSections[n])</calculatedColumnFormula>
    </tableColumn>
    <tableColumn id="11" xr3:uid="{00000000-0010-0000-0F00-00000B000000}" name="Abi" dataDxfId="35">
      <calculatedColumnFormula>MonopoleSections[n]*(MonopoleSections[Db]/2-MonopoleSections[t])^2*TAN(PI()/MonopoleSections[n])</calculatedColumnFormula>
    </tableColumn>
    <tableColumn id="12" xr3:uid="{00000000-0010-0000-0F00-00000C000000}" name="Vo" dataDxfId="34">
      <calculatedColumnFormula>(MonopoleSections[L]*12/3)*(MonopoleSections[Ato]+MonopoleSections[Abo]+SQRT(MonopoleSections[Ato]*MonopoleSections[Abo]))/1728</calculatedColumnFormula>
    </tableColumn>
    <tableColumn id="13" xr3:uid="{00000000-0010-0000-0F00-00000D000000}" name="Vi" dataDxfId="33">
      <calculatedColumnFormula>(MonopoleSections[L]*12/3)*(MonopoleSections[Ati]+MonopoleSections[Abi]+SQRT(MonopoleSections[Ati]*MonopoleSections[Abi]))/1728</calculatedColumnFormula>
    </tableColumn>
    <tableColumn id="14" xr3:uid="{00000000-0010-0000-0F00-00000E000000}" name="rto" dataDxfId="32">
      <calculatedColumnFormula>MonopoleSections[Dt]/2</calculatedColumnFormula>
    </tableColumn>
    <tableColumn id="15" xr3:uid="{00000000-0010-0000-0F00-00000F000000}" name="Sto" dataDxfId="31">
      <calculatedColumnFormula>2*MonopoleSections[rto]*TAN(PI()/MonopoleSections[n])</calculatedColumnFormula>
    </tableColumn>
    <tableColumn id="16" xr3:uid="{00000000-0010-0000-0F00-000010000000}" name="Ito" dataDxfId="30">
      <calculatedColumnFormula>IF(OR(MonopoleSections[n]=0,MonopoleSections[n]=1),PI()*(MonopoleSections[rto]^4)/4,MonopoleSections[Ato]*(12*(MonopoleSections[rto]^2)+MonopoleSections[Sto]^2)/48)</calculatedColumnFormula>
    </tableColumn>
    <tableColumn id="17" xr3:uid="{00000000-0010-0000-0F00-000011000000}" name="rti" dataDxfId="29">
      <calculatedColumnFormula>MonopoleSections[Dt]/2-MonopoleSections[t]</calculatedColumnFormula>
    </tableColumn>
    <tableColumn id="18" xr3:uid="{00000000-0010-0000-0F00-000012000000}" name="Sti" dataDxfId="28">
      <calculatedColumnFormula>2*MonopoleSections[rti]*TAN(PI()/MonopoleSections[n])</calculatedColumnFormula>
    </tableColumn>
    <tableColumn id="19" xr3:uid="{00000000-0010-0000-0F00-000013000000}" name="Iti" dataDxfId="27">
      <calculatedColumnFormula>IF(OR(MonopoleSections[n]=0,MonopoleSections[n]=1),PI()*(MonopoleSections[rti]^4)/4,MonopoleSections[Ati]*(12*(MonopoleSections[rti]^2)+MonopoleSections[Sti]^2)/48)</calculatedColumnFormula>
    </tableColumn>
    <tableColumn id="20" xr3:uid="{00000000-0010-0000-0F00-000014000000}" name="It" dataDxfId="26">
      <calculatedColumnFormula>MonopoleSections[Ito]-MonopoleSections[Iti]</calculatedColumnFormula>
    </tableColumn>
    <tableColumn id="21" xr3:uid="{00000000-0010-0000-0F00-000015000000}" name="rbo" dataDxfId="25">
      <calculatedColumnFormula>MonopoleSections[Db]/2</calculatedColumnFormula>
    </tableColumn>
    <tableColumn id="22" xr3:uid="{00000000-0010-0000-0F00-000016000000}" name="Sbo" dataDxfId="24">
      <calculatedColumnFormula>2*MonopoleSections[rbo]*TAN(PI()/MonopoleSections[n])</calculatedColumnFormula>
    </tableColumn>
    <tableColumn id="23" xr3:uid="{00000000-0010-0000-0F00-000017000000}" name="Ibo" dataDxfId="23">
      <calculatedColumnFormula>IF(OR(MonopoleSections[n]=0,MonopoleSections[n]=1),PI()*(MonopoleSections[rbo]^4)/4,MonopoleSections[Abo]*(12*(MonopoleSections[rbo]^2)+MonopoleSections[Sbo]^2)/48)</calculatedColumnFormula>
    </tableColumn>
    <tableColumn id="24" xr3:uid="{00000000-0010-0000-0F00-000018000000}" name="rbi" dataDxfId="22">
      <calculatedColumnFormula>MonopoleSections[Db]/2-MonopoleSections[t]</calculatedColumnFormula>
    </tableColumn>
    <tableColumn id="25" xr3:uid="{00000000-0010-0000-0F00-000019000000}" name="Sbi" dataDxfId="21">
      <calculatedColumnFormula>2*MonopoleSections[rbi]*TAN(PI()/MonopoleSections[n])</calculatedColumnFormula>
    </tableColumn>
    <tableColumn id="26" xr3:uid="{00000000-0010-0000-0F00-00001A000000}" name="Ibi" dataDxfId="20">
      <calculatedColumnFormula>IF(OR(MonopoleSections[n]=0,MonopoleSections[n]=1),PI()*(MonopoleSections[rbi]^4)/4,MonopoleSections[Abi]*(12*(MonopoleSections[rbi]^2)+MonopoleSections[Sbi]^2)/48)</calculatedColumnFormula>
    </tableColumn>
    <tableColumn id="27" xr3:uid="{00000000-0010-0000-0F00-00001B000000}" name="Ib" dataDxfId="19">
      <calculatedColumnFormula>MonopoleSections[Ibo]-MonopoleSections[Ibi]</calculatedColumnFormula>
    </tableColumn>
    <tableColumn id="28" xr3:uid="{00000000-0010-0000-0F00-00001C000000}" name="V" dataDxfId="18">
      <calculatedColumnFormula>IF(MonopoleSections[Ht]="","",IF(OR(MonopoleSections[n]=0,MonopoleSections[n]=1),PI()*((MonopoleSections[Dt]/2)^2-(MonopoleSections[Dt]/2-MonopoleSections[t])^2)*MonopoleSections[L]/144,MonopoleSections[Vo]-MonopoleSections[Vi]))</calculatedColumnFormula>
    </tableColumn>
    <tableColumn id="29" xr3:uid="{00000000-0010-0000-0F00-00001D000000}" name="W" dataDxfId="17">
      <calculatedColumnFormula>IF(MonopoleSections[Ht]="","",MonopoleSections[Weight Multiplier]*MonopoleSections[V]*D_mp)</calculatedColumnFormula>
    </tableColumn>
    <tableColumn id="30" xr3:uid="{00000000-0010-0000-0F00-00001E000000}" name="Iavg" dataDxfId="16">
      <calculatedColumnFormula>(MonopoleSections[[#This Row],[It]]+MonopoleSections[[#This Row],[Ib]])/2</calculatedColumnFormula>
    </tableColumn>
    <tableColumn id="31" xr3:uid="{00000000-0010-0000-0F00-00001F000000}" name="IavgL" dataDxfId="15">
      <calculatedColumnFormula>MonopoleSections[[#This Row],[Iavg]]*MonopoleSections[[#This Row],[L]]</calculatedColumnFormula>
    </tableColumn>
  </tableColumns>
  <tableStyleInfo name="TableStyleMedium1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0000000}" name="RevHistory" displayName="RevHistory" ref="A2:E31" totalsRowShown="0" headerRowDxfId="14" dataDxfId="12" headerRowBorderDxfId="13" tableBorderDxfId="11" totalsRowBorderDxfId="10">
  <autoFilter ref="A2:E31" xr:uid="{00000000-0009-0000-0100-000003000000}"/>
  <tableColumns count="5">
    <tableColumn id="1" xr3:uid="{00000000-0010-0000-1000-000001000000}" name="Revision" dataDxfId="9"/>
    <tableColumn id="4" xr3:uid="{00000000-0010-0000-1000-000004000000}" name="Date" dataDxfId="8"/>
    <tableColumn id="2" xr3:uid="{00000000-0010-0000-1000-000002000000}" name="Updates" dataDxfId="7"/>
    <tableColumn id="3" xr3:uid="{00000000-0010-0000-1000-000003000000}" name="Updated By" dataDxfId="6"/>
    <tableColumn id="5" xr3:uid="{00000000-0010-0000-1000-000005000000}" name="Review By" dataDxfId="5"/>
  </tableColumns>
  <tableStyleInfo name="TableStyleMedium1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CF62A9-C0CA-45F2-8D46-C6CAE786822A}" name="RevRanges" displayName="RevRanges" ref="A2:V27" totalsRowShown="0">
  <autoFilter ref="A2:V27" xr:uid="{C43F7D1A-64D3-4A18-9625-956AAFCD8C5B}"/>
  <tableColumns count="22">
    <tableColumn id="1" xr3:uid="{22E418C5-C943-46D1-A927-AAC1E2DDD4E2}" name="Default Sheet Name"/>
    <tableColumn id="23" xr3:uid="{E581D3A1-93DD-4AE2-8E8C-7FD2AC77E68B}" name="3.3.9"/>
    <tableColumn id="22" xr3:uid="{7361784C-126C-435C-9820-D2AAC2F084A1}" name="3.3.8"/>
    <tableColumn id="18" xr3:uid="{4CF116F7-170E-49CD-BF81-B2310D75F856}" name="3.3.7"/>
    <tableColumn id="20" xr3:uid="{DAB787D2-3FB1-466E-B3BB-218618446922}" name="3.3.6"/>
    <tableColumn id="19" xr3:uid="{403C7083-BF67-4362-8CF8-B8A827173A84}" name="3.3.5"/>
    <tableColumn id="17" xr3:uid="{F1B22A0F-27BE-4F04-85A4-54B29D51126E}" name="3.3.4"/>
    <tableColumn id="16" xr3:uid="{03E02249-0ACD-45DB-B559-6DB4F83F4022}" name="3.3.3"/>
    <tableColumn id="2" xr3:uid="{28874893-52FE-4768-AAD5-746EE42D4CC4}" name="3.3.2"/>
    <tableColumn id="3" xr3:uid="{519B5001-0286-4965-8481-957A1B28B533}" name="3.3.1"/>
    <tableColumn id="4" xr3:uid="{80D7F63A-2C8A-4355-9875-CD3D1F6B4CD0}" name="3.3.0"/>
    <tableColumn id="5" xr3:uid="{540C3E7D-89C0-49A9-99EB-93A24F32EBC5}" name="3.2.4"/>
    <tableColumn id="6" xr3:uid="{25A2E5F9-2662-475B-9CB8-F236629BD2FE}" name="3.2.3"/>
    <tableColumn id="7" xr3:uid="{D7FC9474-CE43-4D35-AF39-98E3A7B00A96}" name="3.2.2"/>
    <tableColumn id="8" xr3:uid="{4CDF0938-9FF0-4C47-9996-81A82F93DB5B}" name="3.2.1"/>
    <tableColumn id="9" xr3:uid="{3305BFD3-2C59-414A-86A5-FB9B2FFCFB1E}" name="3.2.0"/>
    <tableColumn id="10" xr3:uid="{246668E8-0359-4D56-8F71-5FEBB195C0B3}" name="3.1.3"/>
    <tableColumn id="11" xr3:uid="{F95CEB6C-3619-4E07-BD02-CB51C39110D4}" name="3.1.2"/>
    <tableColumn id="12" xr3:uid="{A1BA3AFB-AE38-4D63-A4C6-159AE2C3DFC5}" name="3.1.1"/>
    <tableColumn id="13" xr3:uid="{41EB65A5-C02B-4442-A8F7-4F8866C90F9D}" name="3.1.0"/>
    <tableColumn id="14" xr3:uid="{EEC34EE2-4856-4E85-84C6-4217B082558C}" name="3.0.1"/>
    <tableColumn id="15" xr3:uid="{E9425DAC-B699-4813-AF1D-3DE3B2DF67DC}" name="3.0.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1000000}" name="Table21" displayName="Table21" ref="A1:A44" totalsRowShown="0" headerRowDxfId="4" headerRowBorderDxfId="3" tableBorderDxfId="2" totalsRowBorderDxfId="1">
  <autoFilter ref="A1:A44" xr:uid="{00000000-0009-0000-0100-000015000000}"/>
  <tableColumns count="1">
    <tableColumn id="1" xr3:uid="{00000000-0010-0000-1100-000001000000}" name="TNX Notes" dataDxfId="0">
      <calculatedColumnFormula>CONCATENATE("Seismic loads calculated by CCISeismic  ",Revision)</calculatedColumnFormula>
    </tableColumn>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Crown 1">
      <a:dk1>
        <a:srgbClr val="4D4E53"/>
      </a:dk1>
      <a:lt1>
        <a:srgbClr val="D6D6D4"/>
      </a:lt1>
      <a:dk2>
        <a:srgbClr val="5A6771"/>
      </a:dk2>
      <a:lt2>
        <a:srgbClr val="9A9B9D"/>
      </a:lt2>
      <a:accent1>
        <a:srgbClr val="520B90"/>
      </a:accent1>
      <a:accent2>
        <a:srgbClr val="00BEB7"/>
      </a:accent2>
      <a:accent3>
        <a:srgbClr val="E30450"/>
      </a:accent3>
      <a:accent4>
        <a:srgbClr val="0085CF"/>
      </a:accent4>
      <a:accent5>
        <a:srgbClr val="E3D700"/>
      </a:accent5>
      <a:accent6>
        <a:srgbClr val="FF5113"/>
      </a:accent6>
      <a:hlink>
        <a:srgbClr val="0072B1"/>
      </a:hlink>
      <a:folHlink>
        <a:srgbClr val="5FCEEA"/>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drawing" Target="../drawings/drawing2.x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printerSettings" Target="../printerSettings/printerSettings2.bin"/><Relationship Id="rId1" Type="http://schemas.openxmlformats.org/officeDocument/2006/relationships/hyperlink" Target="https://earthquake.usgs.gov/ws/designmaps/" TargetMode="External"/><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vmlDrawing" Target="../drawings/vmlDrawing2.v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3.vml"/><Relationship Id="rId7" Type="http://schemas.openxmlformats.org/officeDocument/2006/relationships/ctrlProp" Target="../ctrlProps/ctrlProp1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 Id="rId5" Type="http://schemas.openxmlformats.org/officeDocument/2006/relationships/table" Target="../tables/table4.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table" Target="../tables/table5.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6.bin"/><Relationship Id="rId5" Type="http://schemas.openxmlformats.org/officeDocument/2006/relationships/table" Target="../tables/table15.xml"/><Relationship Id="rId4" Type="http://schemas.openxmlformats.org/officeDocument/2006/relationships/table" Target="../tables/table1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printerSettings" Target="../printerSettings/printerSettings9.bin"/><Relationship Id="rId1" Type="http://schemas.openxmlformats.org/officeDocument/2006/relationships/hyperlink" Target="mailto:Engineering.Tools@crowncastle.com" TargetMode="External"/></Relationships>
</file>

<file path=xl/worksheets/_rels/sheet19.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dimension ref="B2:C3"/>
  <sheetViews>
    <sheetView workbookViewId="0">
      <selection activeCell="C62" sqref="C62"/>
    </sheetView>
  </sheetViews>
  <sheetFormatPr defaultRowHeight="15" x14ac:dyDescent="0.25"/>
  <sheetData>
    <row r="2" spans="2:3" x14ac:dyDescent="0.25">
      <c r="B2" s="1" t="s">
        <v>254</v>
      </c>
      <c r="C2" s="102" t="b">
        <v>1</v>
      </c>
    </row>
    <row r="3" spans="2:3" x14ac:dyDescent="0.25">
      <c r="B3" s="1" t="s">
        <v>255</v>
      </c>
      <c r="C3" s="102" t="b">
        <v>1</v>
      </c>
    </row>
  </sheetData>
  <sheetProtection sheet="1" objects="1" scenarios="1"/>
  <dataValidations count="1">
    <dataValidation type="list" allowBlank="1" showInputMessage="1" showErrorMessage="1" sqref="C2:C3" xr:uid="{00000000-0002-0000-1100-000000000000}">
      <formula1>"TRUE,FALSE"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USGS">
              <controlPr defaultSize="0" autoFill="0" autoLine="0" autoPict="0" macro="[0]!HideUSGS">
                <anchor moveWithCells="1">
                  <from>
                    <xdr:col>3</xdr:col>
                    <xdr:colOff>381000</xdr:colOff>
                    <xdr:row>0</xdr:row>
                    <xdr:rowOff>180975</xdr:rowOff>
                  </from>
                  <to>
                    <xdr:col>6</xdr:col>
                    <xdr:colOff>0</xdr:colOff>
                    <xdr:row>2</xdr:row>
                    <xdr:rowOff>19050</xdr:rowOff>
                  </to>
                </anchor>
              </controlPr>
            </control>
          </mc:Choice>
        </mc:AlternateContent>
        <mc:AlternateContent xmlns:mc="http://schemas.openxmlformats.org/markup-compatibility/2006">
          <mc:Choice Requires="x14">
            <control shapeId="32772" r:id="rId5" name="Button 4">
              <controlPr defaultSize="0" print="0" autoFill="0" autoPict="0" macro="[0]!CleanUp.CleanUp">
                <anchor moveWithCells="1" sizeWithCells="1">
                  <from>
                    <xdr:col>3</xdr:col>
                    <xdr:colOff>447675</xdr:colOff>
                    <xdr:row>3</xdr:row>
                    <xdr:rowOff>19050</xdr:rowOff>
                  </from>
                  <to>
                    <xdr:col>5</xdr:col>
                    <xdr:colOff>523875</xdr:colOff>
                    <xdr:row>4</xdr:row>
                    <xdr:rowOff>180975</xdr:rowOff>
                  </to>
                </anchor>
              </controlPr>
            </control>
          </mc:Choice>
        </mc:AlternateContent>
        <mc:AlternateContent xmlns:mc="http://schemas.openxmlformats.org/markup-compatibility/2006">
          <mc:Choice Requires="x14">
            <control shapeId="32773" r:id="rId6" name="Button 5">
              <controlPr defaultSize="0" print="0" autoFill="0" autoPict="0" macro="[0]!VeryHiddenControls">
                <anchor moveWithCells="1" sizeWithCells="1">
                  <from>
                    <xdr:col>3</xdr:col>
                    <xdr:colOff>457200</xdr:colOff>
                    <xdr:row>5</xdr:row>
                    <xdr:rowOff>142875</xdr:rowOff>
                  </from>
                  <to>
                    <xdr:col>5</xdr:col>
                    <xdr:colOff>571500</xdr:colOff>
                    <xdr:row>7</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W42"/>
  <sheetViews>
    <sheetView showGridLines="0" showRowColHeaders="0" tabSelected="1" zoomScaleNormal="100" workbookViewId="0">
      <selection activeCell="H13" sqref="H13"/>
    </sheetView>
  </sheetViews>
  <sheetFormatPr defaultColWidth="0" defaultRowHeight="15" zeroHeight="1" x14ac:dyDescent="0.25"/>
  <cols>
    <col min="1" max="1" width="3.7109375" style="147" customWidth="1"/>
    <col min="2" max="2" width="3.7109375" customWidth="1"/>
    <col min="3" max="4" width="12.7109375" customWidth="1"/>
    <col min="5" max="5" width="15.7109375" customWidth="1"/>
    <col min="6" max="6" width="3.7109375" customWidth="1"/>
    <col min="7" max="7" width="3.7109375" style="1" customWidth="1"/>
    <col min="8" max="10" width="15.7109375" customWidth="1"/>
    <col min="11" max="11" width="3.7109375" customWidth="1"/>
    <col min="12" max="12" width="16.7109375" hidden="1" customWidth="1"/>
    <col min="13" max="22" width="9.140625" hidden="1" customWidth="1"/>
    <col min="23" max="23" width="10.28515625" hidden="1" customWidth="1"/>
    <col min="24" max="16384" width="9.140625" hidden="1"/>
  </cols>
  <sheetData>
    <row r="1" spans="1:14" x14ac:dyDescent="0.25"/>
    <row r="2" spans="1:14" x14ac:dyDescent="0.25">
      <c r="G2" s="1" t="s">
        <v>2</v>
      </c>
      <c r="H2" s="6"/>
      <c r="I2" s="1" t="s">
        <v>26</v>
      </c>
      <c r="J2" s="6" t="s">
        <v>15</v>
      </c>
    </row>
    <row r="3" spans="1:14" x14ac:dyDescent="0.25">
      <c r="G3" s="1" t="s">
        <v>3</v>
      </c>
      <c r="H3" s="6"/>
    </row>
    <row r="4" spans="1:14" x14ac:dyDescent="0.25">
      <c r="G4" s="1" t="s">
        <v>245</v>
      </c>
      <c r="H4" s="6"/>
      <c r="I4" s="1" t="s">
        <v>4</v>
      </c>
      <c r="J4" s="6"/>
    </row>
    <row r="5" spans="1:14" x14ac:dyDescent="0.25">
      <c r="G5"/>
    </row>
    <row r="6" spans="1:14" x14ac:dyDescent="0.25">
      <c r="A6" s="159"/>
      <c r="B6" s="160" t="s">
        <v>101</v>
      </c>
      <c r="C6" s="160"/>
      <c r="D6" s="160"/>
      <c r="E6" s="160"/>
      <c r="F6" s="160"/>
      <c r="G6" s="160"/>
      <c r="H6" s="160"/>
      <c r="I6" s="160"/>
      <c r="J6" s="160"/>
    </row>
    <row r="7" spans="1:14" x14ac:dyDescent="0.25">
      <c r="A7" s="159"/>
      <c r="B7" s="27"/>
      <c r="C7" s="28"/>
      <c r="D7" s="28"/>
      <c r="E7" s="29" t="s">
        <v>34</v>
      </c>
      <c r="F7" s="28"/>
      <c r="G7" s="30"/>
      <c r="H7" s="29" t="s">
        <v>89</v>
      </c>
      <c r="I7" s="29" t="s">
        <v>90</v>
      </c>
      <c r="J7" s="31" t="s">
        <v>91</v>
      </c>
    </row>
    <row r="8" spans="1:14" x14ac:dyDescent="0.25">
      <c r="A8" s="149" t="b">
        <v>0</v>
      </c>
      <c r="B8" s="32"/>
      <c r="C8" s="22"/>
      <c r="D8" s="33" t="s">
        <v>6</v>
      </c>
      <c r="E8" s="144" t="str">
        <f>IF(OR(latdeg="",latmin="",latsec=""),"",IF(latsign="+",latdeg+latmin/60+latsec/3600,-latdeg-latmin/60-latsec/3600))</f>
        <v/>
      </c>
      <c r="F8" s="22"/>
      <c r="G8" s="64" t="s">
        <v>32</v>
      </c>
      <c r="H8" s="64"/>
      <c r="I8" s="64"/>
      <c r="J8" s="65"/>
      <c r="M8" s="9"/>
      <c r="N8" s="9"/>
    </row>
    <row r="9" spans="1:14" x14ac:dyDescent="0.25">
      <c r="A9" s="149" t="b">
        <f>COUNTBLANK(latlongsign)=0</f>
        <v>0</v>
      </c>
      <c r="B9" s="32"/>
      <c r="C9" s="22"/>
      <c r="D9" s="33" t="s">
        <v>7</v>
      </c>
      <c r="E9" s="144" t="str">
        <f>IF(OR(longdeg="",longmin="",longsec=""),"",IF(longsign="+",longdeg+longmin/60+longsec/3600,-longdeg-longmin/60-longsec/3600))</f>
        <v/>
      </c>
      <c r="F9" s="22"/>
      <c r="G9" s="64" t="s">
        <v>33</v>
      </c>
      <c r="H9" s="64"/>
      <c r="I9" s="64"/>
      <c r="J9" s="65"/>
    </row>
    <row r="10" spans="1:14" x14ac:dyDescent="0.25">
      <c r="A10" s="159"/>
      <c r="B10" s="32"/>
      <c r="C10" s="22"/>
      <c r="D10" s="22"/>
      <c r="E10" s="22"/>
      <c r="F10" s="22"/>
      <c r="G10" s="33"/>
      <c r="H10" s="22"/>
      <c r="I10" s="22"/>
      <c r="J10" s="34"/>
    </row>
    <row r="11" spans="1:14" x14ac:dyDescent="0.25">
      <c r="A11" s="159"/>
      <c r="B11" s="160" t="s">
        <v>102</v>
      </c>
      <c r="C11" s="160"/>
      <c r="D11" s="160"/>
      <c r="E11" s="160"/>
      <c r="F11" s="160"/>
      <c r="G11" s="160"/>
      <c r="H11" s="160"/>
      <c r="I11" s="160"/>
      <c r="J11" s="160"/>
    </row>
    <row r="12" spans="1:14" x14ac:dyDescent="0.25">
      <c r="A12" s="159"/>
      <c r="B12" s="32"/>
      <c r="C12" s="22"/>
      <c r="D12" s="22"/>
      <c r="E12" s="22"/>
      <c r="F12" s="22"/>
      <c r="G12" s="33"/>
      <c r="H12" s="22"/>
      <c r="I12" s="22"/>
      <c r="J12" s="136"/>
    </row>
    <row r="13" spans="1:14" x14ac:dyDescent="0.25">
      <c r="A13" s="159"/>
      <c r="B13" s="32"/>
      <c r="C13" s="22"/>
      <c r="D13" s="22"/>
      <c r="E13" s="22"/>
      <c r="F13" s="22"/>
      <c r="G13" s="33" t="s">
        <v>40</v>
      </c>
      <c r="H13" s="6" t="s">
        <v>296</v>
      </c>
      <c r="I13" s="22" t="str">
        <f>IF(Use_ASCE,"*","")</f>
        <v/>
      </c>
      <c r="J13" s="34"/>
    </row>
    <row r="14" spans="1:14" x14ac:dyDescent="0.25">
      <c r="A14" s="149" t="b">
        <f>COUNTBLANK(siteparameterinputs)=0</f>
        <v>0</v>
      </c>
      <c r="B14" s="32"/>
      <c r="C14" s="22"/>
      <c r="D14" s="22"/>
      <c r="E14" s="22"/>
      <c r="F14" s="22"/>
      <c r="G14" s="33" t="s">
        <v>10</v>
      </c>
      <c r="H14" s="5"/>
      <c r="I14" s="67" t="str">
        <f>IF(soil="","",IF(ISNUMBER(FIND("TIA-222-H",dcode)),VLOOKUP(soil,Reference!E1:F7,2),VLOOKUP(soil,Reference!C1:D6,2)))</f>
        <v/>
      </c>
      <c r="J14" s="120"/>
    </row>
    <row r="15" spans="1:14" x14ac:dyDescent="0.25">
      <c r="A15" s="159"/>
      <c r="B15" s="32"/>
      <c r="C15" s="22"/>
      <c r="D15" s="22"/>
      <c r="E15" s="22"/>
      <c r="F15" s="22"/>
      <c r="G15" s="33" t="s">
        <v>9</v>
      </c>
      <c r="H15" s="5"/>
      <c r="I15" s="22"/>
      <c r="J15" s="34"/>
    </row>
    <row r="16" spans="1:14" x14ac:dyDescent="0.25">
      <c r="A16" s="159"/>
      <c r="B16" s="32"/>
      <c r="C16" s="22"/>
      <c r="D16" s="22"/>
      <c r="E16" s="22"/>
      <c r="F16" s="22"/>
      <c r="G16" s="33"/>
      <c r="H16" s="22"/>
      <c r="I16" s="22"/>
      <c r="J16" s="139"/>
    </row>
    <row r="17" spans="1:10" ht="15" customHeight="1" x14ac:dyDescent="0.35">
      <c r="A17" s="149" t="b">
        <v>0</v>
      </c>
      <c r="B17" s="32"/>
      <c r="C17" s="22"/>
      <c r="D17" s="22"/>
      <c r="E17" s="138" t="s">
        <v>228</v>
      </c>
      <c r="F17" s="22"/>
      <c r="G17" s="33" t="s">
        <v>80</v>
      </c>
      <c r="H17" s="66"/>
      <c r="I17" s="82" t="s">
        <v>278</v>
      </c>
      <c r="J17" s="139"/>
    </row>
    <row r="18" spans="1:10" ht="18" x14ac:dyDescent="0.35">
      <c r="A18" s="149" t="b">
        <f>IF(dcode="TIA-222-G",COUNTBLANK(usgsvaluesG)=0,COUNTBLANK(usgsvalues)=0)</f>
        <v>0</v>
      </c>
      <c r="B18" s="32"/>
      <c r="D18" s="22"/>
      <c r="E18" s="22"/>
      <c r="F18" s="22"/>
      <c r="G18" s="33" t="s">
        <v>81</v>
      </c>
      <c r="H18" s="66"/>
      <c r="I18" s="82" t="s">
        <v>278</v>
      </c>
      <c r="J18" s="120"/>
    </row>
    <row r="19" spans="1:10" ht="18" x14ac:dyDescent="0.35">
      <c r="A19" s="159"/>
      <c r="B19" s="32"/>
      <c r="C19" s="101"/>
      <c r="D19" s="22"/>
      <c r="E19" s="22"/>
      <c r="F19" s="22"/>
      <c r="G19" s="33" t="s">
        <v>82</v>
      </c>
      <c r="H19" s="64"/>
      <c r="I19" s="82" t="s">
        <v>140</v>
      </c>
      <c r="J19" s="120"/>
    </row>
    <row r="20" spans="1:10" x14ac:dyDescent="0.25">
      <c r="A20" s="159"/>
      <c r="B20" s="32"/>
      <c r="C20" s="22"/>
      <c r="D20" s="22"/>
      <c r="E20" s="22"/>
      <c r="F20" s="22"/>
      <c r="G20" s="33"/>
      <c r="H20" s="22"/>
      <c r="I20" s="22"/>
      <c r="J20" s="137"/>
    </row>
    <row r="21" spans="1:10" x14ac:dyDescent="0.25">
      <c r="A21" s="159"/>
      <c r="B21" s="160" t="s">
        <v>103</v>
      </c>
      <c r="C21" s="160"/>
      <c r="D21" s="160"/>
      <c r="E21" s="160"/>
      <c r="F21" s="160"/>
      <c r="G21" s="160"/>
      <c r="H21" s="160"/>
      <c r="I21" s="160"/>
      <c r="J21" s="160"/>
    </row>
    <row r="22" spans="1:10" x14ac:dyDescent="0.25">
      <c r="A22" s="149"/>
      <c r="B22" s="32"/>
      <c r="C22" s="22"/>
      <c r="D22" s="22"/>
      <c r="E22" s="22"/>
      <c r="F22" s="22"/>
      <c r="G22" s="33"/>
      <c r="H22" s="134" t="str">
        <f>IF(ie_override,ie_user,ie_auto)</f>
        <v/>
      </c>
      <c r="I22" s="22"/>
      <c r="J22" s="136"/>
    </row>
    <row r="23" spans="1:10" ht="18" x14ac:dyDescent="0.35">
      <c r="A23" s="159"/>
      <c r="B23" s="32"/>
      <c r="C23" s="22"/>
      <c r="D23" s="22"/>
      <c r="E23" s="22"/>
      <c r="F23" s="22"/>
      <c r="G23" s="10" t="s">
        <v>144</v>
      </c>
      <c r="H23" s="4" t="str">
        <f>IF(AND(ie_override,ie_user&lt;&gt;""),ie_user,IF(siteparameterinputs_complete,INDEX(Reference!C12:F15,MATCH(risk,risks,0),MATCH(IF(dcode="TIA-222-H-1","TIA-222-H",dcode),Reference!C11:F11,0)),""))</f>
        <v/>
      </c>
      <c r="I23" s="22"/>
      <c r="J23" s="34"/>
    </row>
    <row r="24" spans="1:10" ht="18" hidden="1" x14ac:dyDescent="0.35">
      <c r="A24" s="159"/>
      <c r="B24" s="32"/>
      <c r="C24" s="22"/>
      <c r="D24" s="22"/>
      <c r="E24" s="22"/>
      <c r="F24" s="22"/>
      <c r="G24" s="10" t="s">
        <v>144</v>
      </c>
      <c r="H24" s="6"/>
      <c r="I24" s="22"/>
      <c r="J24" s="34"/>
    </row>
    <row r="25" spans="1:10" ht="18" x14ac:dyDescent="0.35">
      <c r="A25" s="159"/>
      <c r="B25" s="32"/>
      <c r="C25" s="22"/>
      <c r="D25" s="22"/>
      <c r="E25" s="22"/>
      <c r="F25" s="22"/>
      <c r="G25" s="33" t="s">
        <v>83</v>
      </c>
      <c r="H25" s="18" t="str">
        <f>IF(OR(ss="",NOT(siteparameterinputs_complete)),"",IF(AND(OR(dcode="TIA-222-H",dcode="TIA-222-H-1"),NOT(Use_ASCE)),fa_18,fa_12))</f>
        <v/>
      </c>
      <c r="I25" s="22"/>
      <c r="J25" s="34"/>
    </row>
    <row r="26" spans="1:10" ht="18" x14ac:dyDescent="0.35">
      <c r="A26" s="159"/>
      <c r="B26" s="32"/>
      <c r="C26" s="22"/>
      <c r="D26" s="22"/>
      <c r="E26" s="22"/>
      <c r="F26" s="22"/>
      <c r="G26" s="33" t="s">
        <v>84</v>
      </c>
      <c r="H26" s="18" t="str">
        <f>IF(OR(suno="",NOT(siteparameterinputs_complete)),"",IF(AND(OR(dcode="TIA-222-H",dcode="TIA-222-H-1"),NOT(Use_ASCE)),fv_18,fv_12))</f>
        <v/>
      </c>
      <c r="I26" s="22"/>
      <c r="J26" s="34"/>
    </row>
    <row r="27" spans="1:10" x14ac:dyDescent="0.25">
      <c r="A27" s="159"/>
      <c r="B27" s="32"/>
      <c r="C27" s="22"/>
      <c r="D27" s="22"/>
      <c r="E27" s="22"/>
      <c r="F27" s="22"/>
      <c r="G27" s="33"/>
      <c r="H27" s="22"/>
      <c r="I27" s="22"/>
      <c r="J27" s="34"/>
    </row>
    <row r="28" spans="1:10" ht="18" x14ac:dyDescent="0.35">
      <c r="A28" s="159"/>
      <c r="B28" s="32"/>
      <c r="C28" s="22"/>
      <c r="D28" s="22"/>
      <c r="E28" s="22"/>
      <c r="F28" s="22"/>
      <c r="G28" s="33" t="s">
        <v>85</v>
      </c>
      <c r="H28" s="18" t="str">
        <f>IF(AND(sd_override,sds_user&lt;&gt;""),sds_user,IF(OR(ss="",NOT(siteparameterinputs_complete)),"",IF(ISTEXT(fa),fa,IF(AND(OR(dcode="TIA-222-H",dcode="TIA-222-H-1"),NOT(Use_ASCE)),MAX((2/3)*fa*ss,sduno),(2/3)*fa*ss))))</f>
        <v/>
      </c>
      <c r="I28" s="22" t="s">
        <v>278</v>
      </c>
      <c r="J28" s="34"/>
    </row>
    <row r="29" spans="1:10" ht="18" hidden="1" x14ac:dyDescent="0.35">
      <c r="A29" s="159"/>
      <c r="B29" s="32"/>
      <c r="C29" s="22"/>
      <c r="D29" s="22"/>
      <c r="E29" s="22"/>
      <c r="F29" s="22"/>
      <c r="G29" s="33" t="s">
        <v>85</v>
      </c>
      <c r="H29" s="6"/>
      <c r="I29" s="22"/>
      <c r="J29" s="34"/>
    </row>
    <row r="30" spans="1:10" ht="18" x14ac:dyDescent="0.35">
      <c r="A30" s="159"/>
      <c r="B30" s="32"/>
      <c r="C30" s="22"/>
      <c r="D30" s="22"/>
      <c r="E30" s="22"/>
      <c r="F30" s="22"/>
      <c r="G30" s="33" t="s">
        <v>86</v>
      </c>
      <c r="H30" s="18" t="str">
        <f>IF(AND(sd_override,sduno_user&lt;&gt;""),sduno_user,IF(OR(suno="",NOT(siteparameterinputs_complete)),"",IF(ISTEXT(fv),fv,(2/3)*fv*suno)))</f>
        <v/>
      </c>
      <c r="I30" s="22" t="s">
        <v>278</v>
      </c>
      <c r="J30" s="34"/>
    </row>
    <row r="31" spans="1:10" ht="18" hidden="1" x14ac:dyDescent="0.35">
      <c r="A31" s="159"/>
      <c r="B31" s="32"/>
      <c r="C31" s="22"/>
      <c r="D31" s="22"/>
      <c r="E31" s="22"/>
      <c r="F31" s="22"/>
      <c r="G31" s="33" t="s">
        <v>86</v>
      </c>
      <c r="H31" s="6"/>
      <c r="I31" s="22"/>
      <c r="J31" s="34"/>
    </row>
    <row r="32" spans="1:10" ht="18" x14ac:dyDescent="0.35">
      <c r="A32" s="159"/>
      <c r="B32" s="32"/>
      <c r="C32" s="22"/>
      <c r="D32" s="22"/>
      <c r="E32" s="22"/>
      <c r="F32" s="22"/>
      <c r="G32" s="33" t="s">
        <v>308</v>
      </c>
      <c r="H32" s="18" t="str">
        <f>IF(OR(sds="",sduno=""),"",sduno/sds)</f>
        <v/>
      </c>
      <c r="I32" s="22"/>
      <c r="J32" s="34"/>
    </row>
    <row r="33" spans="1:10" x14ac:dyDescent="0.25">
      <c r="A33" s="159"/>
      <c r="B33" s="32"/>
      <c r="C33" s="22"/>
      <c r="D33" s="22"/>
      <c r="E33" s="22"/>
      <c r="F33" s="22"/>
      <c r="G33" s="33"/>
      <c r="H33" s="22"/>
      <c r="I33" s="22"/>
      <c r="J33" s="34"/>
    </row>
    <row r="34" spans="1:10" ht="18" x14ac:dyDescent="0.35">
      <c r="A34" s="159"/>
      <c r="B34" s="32"/>
      <c r="C34" s="22"/>
      <c r="D34" s="22"/>
      <c r="E34" s="22"/>
      <c r="F34" s="22"/>
      <c r="G34" s="33" t="s">
        <v>110</v>
      </c>
      <c r="H34" s="4" t="str">
        <f>IF(OR(ss="",NOT(siteparameterinputs_complete),ISTEXT(fa)),"",sdc_sds)</f>
        <v/>
      </c>
      <c r="I34" s="22"/>
      <c r="J34" s="34"/>
    </row>
    <row r="35" spans="1:10" ht="18" x14ac:dyDescent="0.35">
      <c r="A35" s="159"/>
      <c r="B35" s="32"/>
      <c r="C35" s="22"/>
      <c r="D35" s="22"/>
      <c r="E35" s="22"/>
      <c r="F35" s="22"/>
      <c r="G35" s="33" t="s">
        <v>111</v>
      </c>
      <c r="H35" s="4" t="str">
        <f>IF(OR(suno="",NOT(siteparameterinputs_complete),ISTEXT(fv)),"",sdc_sduno)</f>
        <v/>
      </c>
      <c r="I35" s="22"/>
      <c r="J35" s="34"/>
    </row>
    <row r="36" spans="1:10" ht="18" x14ac:dyDescent="0.35">
      <c r="A36" s="159"/>
      <c r="B36" s="32"/>
      <c r="C36" s="22"/>
      <c r="D36" s="22"/>
      <c r="E36" s="22"/>
      <c r="F36" s="22"/>
      <c r="G36" s="33" t="s">
        <v>87</v>
      </c>
      <c r="H36" s="4" t="str">
        <f>IF(OR(suno="",NOT(siteparameterinputs_complete)),"",IF(suno&gt;=0.75,IF(risk="IV","F","E"),"N/A"))</f>
        <v/>
      </c>
      <c r="I36" s="22"/>
      <c r="J36" s="34"/>
    </row>
    <row r="37" spans="1:10" x14ac:dyDescent="0.25">
      <c r="A37" s="159"/>
      <c r="B37" s="32"/>
      <c r="C37" s="22"/>
      <c r="D37" s="22"/>
      <c r="E37" s="22"/>
      <c r="F37" s="22"/>
      <c r="G37" s="33"/>
      <c r="H37" s="22"/>
      <c r="I37" s="22"/>
      <c r="J37" s="34"/>
    </row>
    <row r="38" spans="1:10" x14ac:dyDescent="0.25">
      <c r="A38" s="159"/>
      <c r="B38" s="32"/>
      <c r="C38" s="22"/>
      <c r="D38" s="22"/>
      <c r="E38" s="22"/>
      <c r="F38" s="22"/>
      <c r="G38" s="33" t="s">
        <v>88</v>
      </c>
      <c r="H38" s="25" t="str">
        <f>IF(OR(sds="",sduno="",ISTEXT(fa),ISTEXT(fv)),"",IF(sdc_s1&lt;&gt;"N/A",sdc_s1,IF(OR(sdc_sds="D",sdc_sduno="D"),"D",IF(OR(sdc_sds="C",sdc_sduno="C"),"C",IF(OR(sdc_sds="B",sdc_sduno="B"),"B","A")))))</f>
        <v/>
      </c>
      <c r="I38" s="22"/>
      <c r="J38" s="34"/>
    </row>
    <row r="39" spans="1:10" x14ac:dyDescent="0.25">
      <c r="A39" s="159"/>
      <c r="B39" s="35"/>
      <c r="C39" s="36"/>
      <c r="D39" s="36"/>
      <c r="E39" s="36"/>
      <c r="F39" s="36"/>
      <c r="G39" s="37"/>
      <c r="H39" s="36"/>
      <c r="I39" s="36"/>
      <c r="J39" s="38"/>
    </row>
    <row r="40" spans="1:10" hidden="1" x14ac:dyDescent="0.25">
      <c r="B40" s="162" t="s">
        <v>266</v>
      </c>
      <c r="C40" s="162"/>
      <c r="D40" s="162"/>
      <c r="E40" s="162"/>
      <c r="F40" s="162"/>
      <c r="G40" s="162"/>
      <c r="H40" s="162"/>
      <c r="I40" s="162"/>
      <c r="J40" s="162"/>
    </row>
    <row r="41" spans="1:10" hidden="1" x14ac:dyDescent="0.25">
      <c r="B41" s="161" t="s">
        <v>267</v>
      </c>
      <c r="C41" s="161"/>
      <c r="D41" s="161"/>
      <c r="E41" s="161"/>
      <c r="F41" s="161"/>
      <c r="G41" s="161"/>
      <c r="H41" s="161"/>
      <c r="I41" s="161"/>
      <c r="J41" s="161"/>
    </row>
    <row r="42" spans="1:10" x14ac:dyDescent="0.25"/>
  </sheetData>
  <sheetProtection sheet="1" objects="1" scenarios="1" selectLockedCells="1"/>
  <mergeCells count="5">
    <mergeCell ref="B6:J6"/>
    <mergeCell ref="B11:J11"/>
    <mergeCell ref="B21:J21"/>
    <mergeCell ref="B41:J41"/>
    <mergeCell ref="B40:J40"/>
  </mergeCells>
  <dataValidations count="8">
    <dataValidation type="list" allowBlank="1" showInputMessage="1" showErrorMessage="1" sqref="H15" xr:uid="{00000000-0002-0000-0000-000000000000}">
      <formula1>IF(dcode = "","",IF(dcode="TIA-222-G",risktiaG,IF(AND(OR(dcode="TIA-222-H",dcode="TIA-222-H-1"),NOT(Use_ASCE)),risktiaH,risks)))</formula1>
    </dataValidation>
    <dataValidation type="list" allowBlank="1" showInputMessage="1" showErrorMessage="1" sqref="H14" xr:uid="{00000000-0002-0000-0000-000001000000}">
      <formula1>IF(dcode = "","",IF(AND(OR(dcode="TIA-222-H",dcode="TIA-222-H-1"),NOT(Use_ASCE)),soils2018,soils))</formula1>
    </dataValidation>
    <dataValidation type="list" allowBlank="1" showInputMessage="1" showErrorMessage="1" sqref="G8:G9" xr:uid="{00000000-0002-0000-0000-000002000000}">
      <formula1>posneg</formula1>
    </dataValidation>
    <dataValidation type="list" allowBlank="1" showInputMessage="1" showErrorMessage="1" sqref="J2" xr:uid="{00000000-0002-0000-0000-000003000000}">
      <formula1>"A,B,C,D,E,F,G,H,I,J,K,L,M,N,O,P,Q,R,S,T,U,V,W,X,Y,Z"</formula1>
    </dataValidation>
    <dataValidation type="whole" allowBlank="1" showInputMessage="1" showErrorMessage="1" errorTitle="Degree out of range." error="Must be between 0 and 180 degrees." sqref="H8:H9" xr:uid="{5F5D422E-E4AA-4BF2-8B6F-7B90CA0CCC4F}">
      <formula1>0</formula1>
      <formula2>180</formula2>
    </dataValidation>
    <dataValidation type="whole" allowBlank="1" showInputMessage="1" showErrorMessage="1" errorTitle="Minute out of range." error="Must be between 0 and 60 minutes." sqref="I8:I9" xr:uid="{7EDA72FE-909F-4BE2-ADB4-CC610B2076A8}">
      <formula1>0</formula1>
      <formula2>60</formula2>
    </dataValidation>
    <dataValidation type="decimal" allowBlank="1" showInputMessage="1" showErrorMessage="1" errorTitle="Second out of range." error="Must be between 0 and 60 seconds." sqref="J8:J9" xr:uid="{F2FD4715-466E-4665-8E79-8256B16DBBA7}">
      <formula1>0</formula1>
      <formula2>60</formula2>
    </dataValidation>
    <dataValidation type="list" allowBlank="1" showInputMessage="1" showErrorMessage="1" sqref="H13" xr:uid="{00000000-0002-0000-0000-000007000000}">
      <formula1>dcodes</formula1>
    </dataValidation>
  </dataValidations>
  <hyperlinks>
    <hyperlink ref="E17" r:id="rId1" xr:uid="{00000000-0004-0000-0000-000000000000}"/>
  </hyperlinks>
  <pageMargins left="0.7" right="0.7" top="0.75" bottom="0.75" header="0.3" footer="0.3"/>
  <pageSetup scale="84" orientation="portrait" r:id="rId2"/>
  <headerFooter scaleWithDoc="0">
    <oddFooter>&amp;LCCISeismic 3.3.9&amp;CPage &amp;P&amp;RAnalysis Date: &amp;D</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056" r:id="rId5" name="Button 8">
              <controlPr defaultSize="0" print="0" autoFill="0" autoPict="0" macro="[0]!Sitedata">
                <anchor moveWithCells="1" sizeWithCells="1">
                  <from>
                    <xdr:col>14</xdr:col>
                    <xdr:colOff>57150</xdr:colOff>
                    <xdr:row>3</xdr:row>
                    <xdr:rowOff>57150</xdr:rowOff>
                  </from>
                  <to>
                    <xdr:col>16</xdr:col>
                    <xdr:colOff>561975</xdr:colOff>
                    <xdr:row>6</xdr:row>
                    <xdr:rowOff>9525</xdr:rowOff>
                  </to>
                </anchor>
              </controlPr>
            </control>
          </mc:Choice>
        </mc:AlternateContent>
        <mc:AlternateContent xmlns:mc="http://schemas.openxmlformats.org/markup-compatibility/2006">
          <mc:Choice Requires="x14">
            <control shapeId="2066" r:id="rId6" name="Lat Long">
              <controlPr defaultSize="0" print="0" autoFill="0" autoPict="0" macro="[0]!SiteImport">
                <anchor moveWithCells="1" sizeWithCells="1">
                  <from>
                    <xdr:col>2</xdr:col>
                    <xdr:colOff>0</xdr:colOff>
                    <xdr:row>6</xdr:row>
                    <xdr:rowOff>161925</xdr:rowOff>
                  </from>
                  <to>
                    <xdr:col>3</xdr:col>
                    <xdr:colOff>9525</xdr:colOff>
                    <xdr:row>9</xdr:row>
                    <xdr:rowOff>0</xdr:rowOff>
                  </to>
                </anchor>
              </controlPr>
            </control>
          </mc:Choice>
        </mc:AlternateContent>
        <mc:AlternateContent xmlns:mc="http://schemas.openxmlformats.org/markup-compatibility/2006">
          <mc:Choice Requires="x14">
            <control shapeId="2067" r:id="rId7" name="USGS">
              <controlPr defaultSize="0" print="0" autoFill="0" autoPict="0" macro="[0]!USGSImport_JSON">
                <anchor moveWithCells="1" sizeWithCells="1">
                  <from>
                    <xdr:col>1</xdr:col>
                    <xdr:colOff>238125</xdr:colOff>
                    <xdr:row>15</xdr:row>
                    <xdr:rowOff>171450</xdr:rowOff>
                  </from>
                  <to>
                    <xdr:col>3</xdr:col>
                    <xdr:colOff>9525</xdr:colOff>
                    <xdr:row>17</xdr:row>
                    <xdr:rowOff>219075</xdr:rowOff>
                  </to>
                </anchor>
              </controlPr>
            </control>
          </mc:Choice>
        </mc:AlternateContent>
        <mc:AlternateContent xmlns:mc="http://schemas.openxmlformats.org/markup-compatibility/2006">
          <mc:Choice Requires="x14">
            <control shapeId="2072" r:id="rId8" name="Print PDF">
              <controlPr defaultSize="0" print="0" autoFill="0" autoPict="0" macro="[0]!PrintStuff">
                <anchor>
                  <from>
                    <xdr:col>8</xdr:col>
                    <xdr:colOff>1028700</xdr:colOff>
                    <xdr:row>22</xdr:row>
                    <xdr:rowOff>19050</xdr:rowOff>
                  </from>
                  <to>
                    <xdr:col>9</xdr:col>
                    <xdr:colOff>1009650</xdr:colOff>
                    <xdr:row>25</xdr:row>
                    <xdr:rowOff>19050</xdr:rowOff>
                  </to>
                </anchor>
              </controlPr>
            </control>
          </mc:Choice>
        </mc:AlternateContent>
        <mc:AlternateContent xmlns:mc="http://schemas.openxmlformats.org/markup-compatibility/2006">
          <mc:Choice Requires="x14">
            <control shapeId="2074" r:id="rId9" name="Ie Override">
              <controlPr locked="0" defaultSize="0" print="0" autoFill="0" autoLine="0" autoPict="0" macro="[0]!Importance_Factor_Override_Click" altText="Approximate Fundamental Period">
                <anchor moveWithCells="1">
                  <from>
                    <xdr:col>1</xdr:col>
                    <xdr:colOff>95250</xdr:colOff>
                    <xdr:row>20</xdr:row>
                    <xdr:rowOff>95250</xdr:rowOff>
                  </from>
                  <to>
                    <xdr:col>4</xdr:col>
                    <xdr:colOff>790575</xdr:colOff>
                    <xdr:row>22</xdr:row>
                    <xdr:rowOff>95250</xdr:rowOff>
                  </to>
                </anchor>
              </controlPr>
            </control>
          </mc:Choice>
        </mc:AlternateContent>
        <mc:AlternateContent xmlns:mc="http://schemas.openxmlformats.org/markup-compatibility/2006">
          <mc:Choice Requires="x14">
            <control shapeId="2077" r:id="rId10" name="ASCE 7-10 Override">
              <controlPr locked="0" defaultSize="0" print="0" autoFill="0" autoLine="0" autoPict="0" macro="[0]!Use_ASCE_click" altText="Approximate Fundamental Period">
                <anchor moveWithCells="1">
                  <from>
                    <xdr:col>8</xdr:col>
                    <xdr:colOff>161925</xdr:colOff>
                    <xdr:row>11</xdr:row>
                    <xdr:rowOff>95250</xdr:rowOff>
                  </from>
                  <to>
                    <xdr:col>9</xdr:col>
                    <xdr:colOff>1028700</xdr:colOff>
                    <xdr:row>13</xdr:row>
                    <xdr:rowOff>95250</xdr:rowOff>
                  </to>
                </anchor>
              </controlPr>
            </control>
          </mc:Choice>
        </mc:AlternateContent>
        <mc:AlternateContent xmlns:mc="http://schemas.openxmlformats.org/markup-compatibility/2006">
          <mc:Choice Requires="x14">
            <control shapeId="2078" r:id="rId11" name="Import Previous">
              <controlPr defaultSize="0" print="0" autoFill="0" autoPict="0" macro="[0]!Import_Previous_Version.Import_Previous_Version">
                <anchor moveWithCells="1" sizeWithCells="1">
                  <from>
                    <xdr:col>4</xdr:col>
                    <xdr:colOff>390525</xdr:colOff>
                    <xdr:row>0</xdr:row>
                    <xdr:rowOff>161925</xdr:rowOff>
                  </from>
                  <to>
                    <xdr:col>5</xdr:col>
                    <xdr:colOff>47625</xdr:colOff>
                    <xdr:row>4</xdr:row>
                    <xdr:rowOff>9525</xdr:rowOff>
                  </to>
                </anchor>
              </controlPr>
            </control>
          </mc:Choice>
        </mc:AlternateContent>
        <mc:AlternateContent xmlns:mc="http://schemas.openxmlformats.org/markup-compatibility/2006">
          <mc:Choice Requires="x14">
            <control shapeId="2079" r:id="rId12" name="Sd Override">
              <controlPr locked="0" defaultSize="0" print="0" autoFill="0" autoLine="0" autoPict="0" macro="[0]!Sd_Override_Click" altText="Approximate Fundamental Period">
                <anchor moveWithCells="1">
                  <from>
                    <xdr:col>1</xdr:col>
                    <xdr:colOff>95250</xdr:colOff>
                    <xdr:row>25</xdr:row>
                    <xdr:rowOff>133350</xdr:rowOff>
                  </from>
                  <to>
                    <xdr:col>4</xdr:col>
                    <xdr:colOff>790575</xdr:colOff>
                    <xdr:row>27</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pageSetUpPr fitToPage="1"/>
  </sheetPr>
  <dimension ref="A1:V66"/>
  <sheetViews>
    <sheetView showGridLines="0" showRowColHeaders="0" zoomScaleNormal="100" zoomScaleSheetLayoutView="100" workbookViewId="0">
      <selection activeCell="G11" sqref="G11"/>
    </sheetView>
  </sheetViews>
  <sheetFormatPr defaultColWidth="0" defaultRowHeight="15" zeroHeight="1" x14ac:dyDescent="0.25"/>
  <cols>
    <col min="1" max="1" width="3.7109375" style="147" customWidth="1"/>
    <col min="2" max="4" width="15.7109375" customWidth="1"/>
    <col min="5" max="5" width="3.7109375" customWidth="1"/>
    <col min="6" max="6" width="3.7109375" style="1" customWidth="1"/>
    <col min="7" max="7" width="18.7109375" customWidth="1"/>
    <col min="8" max="8" width="15.7109375" customWidth="1"/>
    <col min="9" max="9" width="18.7109375" customWidth="1"/>
    <col min="10" max="10" width="3.7109375" customWidth="1"/>
    <col min="11" max="11" width="16.7109375" hidden="1" customWidth="1"/>
    <col min="12" max="21" width="9.140625" hidden="1" customWidth="1"/>
    <col min="22" max="22" width="10.28515625" hidden="1" customWidth="1"/>
    <col min="23" max="16384" width="9.140625" hidden="1"/>
  </cols>
  <sheetData>
    <row r="1" spans="1:13" x14ac:dyDescent="0.25"/>
    <row r="2" spans="1:13" x14ac:dyDescent="0.25">
      <c r="F2" s="1" t="s">
        <v>2</v>
      </c>
      <c r="G2" s="8" t="str">
        <f>IF(bu="","",bu)</f>
        <v/>
      </c>
      <c r="H2" s="1" t="s">
        <v>26</v>
      </c>
      <c r="I2" s="8" t="str">
        <f>IF(strc="","",strc)</f>
        <v>A</v>
      </c>
    </row>
    <row r="3" spans="1:13" x14ac:dyDescent="0.25">
      <c r="F3" s="1" t="s">
        <v>3</v>
      </c>
      <c r="G3" s="8" t="str">
        <f>IF(wo="","",wo)</f>
        <v/>
      </c>
    </row>
    <row r="4" spans="1:13" x14ac:dyDescent="0.25">
      <c r="F4" s="1" t="s">
        <v>245</v>
      </c>
      <c r="G4" s="8" t="str">
        <f>IF(app="","",app)</f>
        <v/>
      </c>
      <c r="H4" s="1" t="s">
        <v>4</v>
      </c>
      <c r="I4" s="8" t="str">
        <f>IF(rev="","",rev)</f>
        <v/>
      </c>
    </row>
    <row r="5" spans="1:13" x14ac:dyDescent="0.25"/>
    <row r="6" spans="1:13" x14ac:dyDescent="0.25">
      <c r="B6" s="160" t="s">
        <v>104</v>
      </c>
      <c r="C6" s="160"/>
      <c r="D6" s="160"/>
      <c r="E6" s="160"/>
      <c r="F6" s="160"/>
      <c r="G6" s="160"/>
      <c r="H6" s="160"/>
      <c r="I6" s="160"/>
    </row>
    <row r="7" spans="1:13" x14ac:dyDescent="0.25">
      <c r="B7" s="32"/>
      <c r="C7" s="22"/>
      <c r="D7" s="22"/>
      <c r="E7" s="22"/>
      <c r="F7" s="33"/>
      <c r="G7" s="22"/>
      <c r="H7" s="22"/>
      <c r="I7" s="34"/>
    </row>
    <row r="8" spans="1:13" x14ac:dyDescent="0.25">
      <c r="B8" s="32"/>
      <c r="C8" s="22"/>
      <c r="D8" s="22"/>
      <c r="E8" s="22"/>
      <c r="F8" s="33" t="s">
        <v>5</v>
      </c>
      <c r="G8" s="50"/>
      <c r="H8" s="22"/>
      <c r="I8" s="34"/>
      <c r="L8" s="9"/>
      <c r="M8" s="9"/>
    </row>
    <row r="9" spans="1:13" x14ac:dyDescent="0.25">
      <c r="B9" s="32"/>
      <c r="C9" s="22"/>
      <c r="D9" s="22"/>
      <c r="E9" s="22"/>
      <c r="F9" s="33" t="s">
        <v>99</v>
      </c>
      <c r="G9" s="50"/>
      <c r="H9" s="22" t="s">
        <v>28</v>
      </c>
      <c r="I9" s="34"/>
    </row>
    <row r="10" spans="1:13" ht="15" customHeight="1" x14ac:dyDescent="0.25">
      <c r="A10" s="148" t="b">
        <v>0</v>
      </c>
      <c r="B10" s="32"/>
      <c r="C10" s="22"/>
      <c r="D10" s="22"/>
      <c r="E10" s="22"/>
      <c r="F10" s="33" t="s">
        <v>98</v>
      </c>
      <c r="G10" s="76" t="str">
        <f>IF(tnx_import,IF(LEFT(dcode,4)="ASCE", SUM(ASCEDiscreteWx,ASCESectionWx,ASCELinearWx,ASCEHalfGuyWx),IF(OR(dcode="TIA-222-H",dcode="TIA-222-H-1"),SUM(TIAHDiscreteWx,TIAHSectionWx,TIAHLinearWx,TIAHHalfGuyWx),IF(type="Guyed Tower",SUM(TIAGGTDiscreteWx,TIAGGTSectionWx,TIAGGTLinearWx,TIAGGTHalfGuyWx),SUM(TIAGDiscreteWx,TIAGSectionWx,TIAGLinearWx)))),"")</f>
        <v/>
      </c>
      <c r="H10" s="22" t="s">
        <v>100</v>
      </c>
      <c r="I10" s="34"/>
    </row>
    <row r="11" spans="1:13" ht="15" customHeight="1" x14ac:dyDescent="0.35">
      <c r="B11" s="32"/>
      <c r="C11" s="22"/>
      <c r="D11" s="22"/>
      <c r="E11" s="22"/>
      <c r="F11" s="33" t="s">
        <v>196</v>
      </c>
      <c r="G11" s="75">
        <v>1</v>
      </c>
      <c r="H11" s="22"/>
      <c r="I11" s="34" t="str">
        <f>IF(dcode="","",IF(OR(dcode="TIA-222-H",dcode="TIA-222-H-1"),"2.7.8.1",IF(dcode="TIA-222-G","2.7.12.1","")))</f>
        <v>2.7.8.1</v>
      </c>
    </row>
    <row r="12" spans="1:13" x14ac:dyDescent="0.25">
      <c r="B12" s="32"/>
      <c r="C12" s="22"/>
      <c r="D12" s="22"/>
      <c r="E12" s="22"/>
      <c r="F12" s="33"/>
      <c r="G12" s="22"/>
      <c r="H12" s="22"/>
      <c r="I12" s="34"/>
    </row>
    <row r="13" spans="1:13" x14ac:dyDescent="0.25">
      <c r="B13" s="163" t="s">
        <v>105</v>
      </c>
      <c r="C13" s="164"/>
      <c r="D13" s="164"/>
      <c r="E13" s="164"/>
      <c r="F13" s="164"/>
      <c r="G13" s="164"/>
      <c r="H13" s="164"/>
      <c r="I13" s="165"/>
    </row>
    <row r="14" spans="1:13" x14ac:dyDescent="0.25">
      <c r="B14" s="32"/>
      <c r="C14" s="22"/>
      <c r="D14" s="22"/>
      <c r="E14" s="22"/>
      <c r="F14" s="33"/>
      <c r="G14" s="22"/>
      <c r="H14" s="22"/>
      <c r="I14" s="34"/>
    </row>
    <row r="15" spans="1:13" x14ac:dyDescent="0.25">
      <c r="A15" s="147" t="b">
        <v>0</v>
      </c>
      <c r="B15" s="32"/>
      <c r="C15" s="22"/>
      <c r="D15" s="22"/>
      <c r="E15" s="22"/>
      <c r="F15" s="33" t="s">
        <v>106</v>
      </c>
      <c r="G15" s="53" t="str">
        <f>IF(AND(tnx_import,siteparameterinputs_complete),INDEX(Reference!K12:N14,MATCH(IF(OR(type="Stepped Monopole",type="Tapered Monopole"),"Monopole",type),Reference!J12:J14,0),MATCH(IF(dcode="TIA-222-H-1","TIA-222-H",dcode),Reference!K11:N11,0)),"")</f>
        <v/>
      </c>
      <c r="H15" s="22"/>
      <c r="I15" s="34"/>
    </row>
    <row r="16" spans="1:13" x14ac:dyDescent="0.25">
      <c r="A16" s="149" t="b">
        <v>1</v>
      </c>
      <c r="B16" s="32"/>
      <c r="C16" s="22"/>
      <c r="D16" s="22"/>
      <c r="E16" s="22"/>
      <c r="F16" s="33"/>
      <c r="G16" s="143" t="str">
        <f>IFERROR(IF(Period,IF(OR(type="Tapered Monopole",type="Stepped Monopole"),Ta_mp,IF(type="Self-Support",Ta_SS,Ta_GT)), t_user),0)</f>
        <v/>
      </c>
      <c r="H16" s="99"/>
      <c r="I16" s="34"/>
    </row>
    <row r="17" spans="2:9" x14ac:dyDescent="0.25">
      <c r="B17" s="32"/>
      <c r="C17" s="22"/>
      <c r="D17" s="22"/>
      <c r="E17" s="22"/>
      <c r="F17" s="33" t="s">
        <v>218</v>
      </c>
      <c r="G17" s="60"/>
      <c r="H17" s="22" t="s">
        <v>140</v>
      </c>
      <c r="I17" s="34"/>
    </row>
    <row r="18" spans="2:9" hidden="1" x14ac:dyDescent="0.25">
      <c r="B18" s="32"/>
      <c r="C18" s="22"/>
      <c r="D18" s="22"/>
      <c r="E18" s="22"/>
      <c r="I18" s="34"/>
    </row>
    <row r="19" spans="2:9" ht="17.25" hidden="1" x14ac:dyDescent="0.25">
      <c r="B19" s="32"/>
      <c r="C19" s="22"/>
      <c r="D19" s="22"/>
      <c r="E19" s="22"/>
      <c r="F19" s="104" t="s">
        <v>297</v>
      </c>
      <c r="G19" s="6">
        <v>0.49</v>
      </c>
      <c r="H19" s="106" t="s">
        <v>158</v>
      </c>
      <c r="I19" s="34"/>
    </row>
    <row r="20" spans="2:9" ht="18" hidden="1" x14ac:dyDescent="0.35">
      <c r="B20" s="32"/>
      <c r="C20" s="22"/>
      <c r="D20" s="22"/>
      <c r="E20" s="22"/>
      <c r="F20" s="33" t="s">
        <v>199</v>
      </c>
      <c r="G20" s="97"/>
      <c r="H20" s="22" t="s">
        <v>100</v>
      </c>
      <c r="I20" s="34"/>
    </row>
    <row r="21" spans="2:9" ht="18" hidden="1" x14ac:dyDescent="0.35">
      <c r="B21" s="32"/>
      <c r="C21" s="22"/>
      <c r="D21" s="22"/>
      <c r="E21" s="22"/>
      <c r="F21" s="33" t="s">
        <v>200</v>
      </c>
      <c r="G21" s="97" t="str">
        <f>IF(OR(w="",WU=""),"",w-WU)</f>
        <v/>
      </c>
      <c r="H21" s="22" t="s">
        <v>100</v>
      </c>
      <c r="I21" s="34"/>
    </row>
    <row r="22" spans="2:9" hidden="1" x14ac:dyDescent="0.25">
      <c r="B22" s="32"/>
      <c r="C22" s="22"/>
      <c r="D22" s="22"/>
      <c r="E22" s="22"/>
      <c r="F22" s="33" t="s">
        <v>221</v>
      </c>
      <c r="G22" s="75">
        <v>29000</v>
      </c>
      <c r="H22" s="22" t="s">
        <v>222</v>
      </c>
      <c r="I22" s="34"/>
    </row>
    <row r="23" spans="2:9" ht="17.25" hidden="1" x14ac:dyDescent="0.25">
      <c r="B23" s="32"/>
      <c r="C23" s="22"/>
      <c r="D23" s="22"/>
      <c r="E23" s="22"/>
      <c r="F23" s="33" t="s">
        <v>224</v>
      </c>
      <c r="G23" s="97">
        <v>386.08800000000002</v>
      </c>
      <c r="H23" s="98" t="s">
        <v>225</v>
      </c>
      <c r="I23" s="34"/>
    </row>
    <row r="24" spans="2:9" ht="18.75" hidden="1" x14ac:dyDescent="0.35">
      <c r="B24" s="32"/>
      <c r="C24" s="22"/>
      <c r="D24" s="22"/>
      <c r="E24" s="22"/>
      <c r="F24" s="33" t="s">
        <v>201</v>
      </c>
      <c r="G24" s="97" t="str">
        <f>IF(OR(MP_SumIavgL=0,MP_sumL=0),"",MP_SumIavgL/MP_sumL)</f>
        <v/>
      </c>
      <c r="H24" s="22" t="s">
        <v>223</v>
      </c>
      <c r="I24" s="34"/>
    </row>
    <row r="25" spans="2:9" ht="18" hidden="1" x14ac:dyDescent="0.35">
      <c r="B25" s="32"/>
      <c r="C25" s="22"/>
      <c r="D25" s="22"/>
      <c r="E25" s="22"/>
      <c r="F25" s="33" t="s">
        <v>206</v>
      </c>
      <c r="G25" s="97" t="str">
        <f>IF(OR(WU="",WL="",E="",g="",Iavg=""),"",(1/(2*PI()))*SQRT((3*E*Iavg*g)/((WU+0.236*WL)*(h*12)^3)))</f>
        <v/>
      </c>
      <c r="H25" s="98" t="s">
        <v>251</v>
      </c>
      <c r="I25" s="34" t="str">
        <f>IF(dcode="","",IF(dcode="TIA-222-G","2.7.11.2",""))</f>
        <v/>
      </c>
    </row>
    <row r="26" spans="2:9" ht="18" hidden="1" x14ac:dyDescent="0.35">
      <c r="B26" s="32"/>
      <c r="C26" s="22"/>
      <c r="D26" s="22"/>
      <c r="E26" s="22"/>
      <c r="F26" s="33" t="s">
        <v>219</v>
      </c>
      <c r="G26" s="18" t="str">
        <f>IF(Fa_mp="","",1/Fa_mp)</f>
        <v/>
      </c>
      <c r="H26" s="22" t="s">
        <v>140</v>
      </c>
      <c r="I26" s="34" t="str">
        <f>IF(dcode="","",IF(OR(dcode="TIA-222-H",dcode="TIA-222-H-1"),"2.7.7.1.3.3",""))</f>
        <v>2.7.7.1.3.3</v>
      </c>
    </row>
    <row r="27" spans="2:9" hidden="1" x14ac:dyDescent="0.25">
      <c r="B27" s="32"/>
      <c r="C27" s="22"/>
      <c r="D27" s="22"/>
      <c r="E27" s="22"/>
      <c r="F27" s="33"/>
      <c r="G27" s="77"/>
      <c r="H27" s="22"/>
      <c r="I27" s="34"/>
    </row>
    <row r="28" spans="2:9" ht="18" hidden="1" x14ac:dyDescent="0.35">
      <c r="B28" s="32"/>
      <c r="C28" s="22"/>
      <c r="D28" s="22"/>
      <c r="E28" s="22"/>
      <c r="F28" s="33" t="s">
        <v>203</v>
      </c>
      <c r="G28" s="18"/>
      <c r="H28" s="22" t="s">
        <v>28</v>
      </c>
      <c r="I28" s="34"/>
    </row>
    <row r="29" spans="2:9" ht="18" hidden="1" x14ac:dyDescent="0.35">
      <c r="B29" s="32"/>
      <c r="C29" s="22"/>
      <c r="D29" s="22"/>
      <c r="E29" s="22"/>
      <c r="F29" s="33" t="s">
        <v>204</v>
      </c>
      <c r="G29" s="18"/>
      <c r="H29" s="98" t="s">
        <v>28</v>
      </c>
      <c r="I29" s="34"/>
    </row>
    <row r="30" spans="2:9" ht="18" hidden="1" x14ac:dyDescent="0.35">
      <c r="B30" s="32"/>
      <c r="C30" s="22"/>
      <c r="D30" s="22"/>
      <c r="E30" s="22"/>
      <c r="F30" s="1" t="s">
        <v>227</v>
      </c>
      <c r="G30" s="18" t="str">
        <f>IF(OR(w="",SS_wa="",SS_w0=""),"",w*(((SS_wa/SS_w0)^2)+0.15))</f>
        <v/>
      </c>
      <c r="H30" s="98" t="s">
        <v>100</v>
      </c>
      <c r="I30" s="34"/>
    </row>
    <row r="31" spans="2:9" ht="18" hidden="1" x14ac:dyDescent="0.35">
      <c r="B31" s="32"/>
      <c r="C31" s="22"/>
      <c r="D31" s="22"/>
      <c r="E31" s="22"/>
      <c r="F31" s="33" t="s">
        <v>205</v>
      </c>
      <c r="G31" s="18"/>
      <c r="H31" s="22" t="s">
        <v>100</v>
      </c>
      <c r="I31" s="34"/>
    </row>
    <row r="32" spans="2:9" ht="18" hidden="1" x14ac:dyDescent="0.35">
      <c r="B32" s="32"/>
      <c r="C32" s="22"/>
      <c r="D32" s="22"/>
      <c r="E32" s="22"/>
      <c r="F32" s="33" t="s">
        <v>202</v>
      </c>
      <c r="G32" s="100">
        <v>4540</v>
      </c>
      <c r="H32" s="98" t="s">
        <v>28</v>
      </c>
      <c r="I32" s="34"/>
    </row>
    <row r="33" spans="2:9" ht="18" hidden="1" x14ac:dyDescent="0.35">
      <c r="B33" s="32"/>
      <c r="C33" s="22"/>
      <c r="D33" s="22"/>
      <c r="E33" s="22"/>
      <c r="F33" s="33" t="s">
        <v>206</v>
      </c>
      <c r="G33" s="18" t="str">
        <f>IF(OR(SS_wa="",SS_w0="",SS_W1="",SS_W2="",Kf=""),"",(Kf*SS_wa/h^2)*SQRT(SS_W1/(SS_W1+SS_W2)))</f>
        <v/>
      </c>
      <c r="H33" s="98" t="s">
        <v>251</v>
      </c>
      <c r="I33" s="34" t="str">
        <f>IF(dcode="","",IF(dcode="TIA-222-G","2.7.11.1",""))</f>
        <v/>
      </c>
    </row>
    <row r="34" spans="2:9" ht="18" hidden="1" x14ac:dyDescent="0.35">
      <c r="B34" s="32"/>
      <c r="C34" s="22"/>
      <c r="D34" s="22"/>
      <c r="E34" s="22"/>
      <c r="F34" s="33" t="s">
        <v>220</v>
      </c>
      <c r="G34" s="18" t="str">
        <f>IF(Fa_SS="","",1/Fa_SS)</f>
        <v/>
      </c>
      <c r="H34" s="98" t="s">
        <v>140</v>
      </c>
      <c r="I34" s="34" t="str">
        <f>IF(dcode="","",IF(OR(dcode="TIA-222-H",dcode="TIA-222-H-1"),"2.7.7.1.3.2",""))</f>
        <v>2.7.7.1.3.2</v>
      </c>
    </row>
    <row r="35" spans="2:9" hidden="1" x14ac:dyDescent="0.25">
      <c r="B35" s="32"/>
      <c r="C35" s="22"/>
      <c r="D35" s="22"/>
      <c r="E35" s="22"/>
      <c r="F35" s="33"/>
      <c r="G35" s="77"/>
      <c r="H35" s="22"/>
      <c r="I35" s="34"/>
    </row>
    <row r="36" spans="2:9" ht="18" hidden="1" x14ac:dyDescent="0.35">
      <c r="B36" s="32"/>
      <c r="C36" s="22"/>
      <c r="D36" s="22"/>
      <c r="E36" s="22"/>
      <c r="F36" s="33" t="s">
        <v>207</v>
      </c>
      <c r="G36" s="119">
        <v>176.5</v>
      </c>
      <c r="H36" s="22"/>
      <c r="I36" s="34"/>
    </row>
    <row r="37" spans="2:9" ht="18" hidden="1" x14ac:dyDescent="0.35">
      <c r="B37" s="32"/>
      <c r="C37" s="22"/>
      <c r="D37" s="22"/>
      <c r="E37" s="22"/>
      <c r="F37" s="33" t="s">
        <v>208</v>
      </c>
      <c r="G37" s="18" t="str">
        <f>IF(NOT(tnx_import),"",IF(dcode = "ASCE 7-10", ASCEGuyKg, IF(OR(dcode="TIA-222-H",dcode="TIA-222-H-1"),TIAHGuyKg,IF(dcode="TIA-222-G",TIAGGTGuyKg,""))))</f>
        <v/>
      </c>
      <c r="H37" s="22"/>
      <c r="I37" s="34"/>
    </row>
    <row r="38" spans="2:9" ht="18" hidden="1" x14ac:dyDescent="0.35">
      <c r="B38" s="32"/>
      <c r="C38" s="22"/>
      <c r="D38" s="22"/>
      <c r="E38" s="22"/>
      <c r="F38" s="33" t="s">
        <v>206</v>
      </c>
      <c r="G38" s="18" t="str">
        <f>IF(NOT(tnx_import),"",IF(dcode="TIA-222-G",Cg*SQRT(Kg/(SUM(TIAGGTDiscreteWx,TIAGGTSectionWx,TIAGGTLinearWx,TIAGGTGuyWx))),IF(dcode="ASCE 7-10",Cg*SQRT(Kg/(SUM(ASCEDiscreteWx,ASCESectionWx,ASCELinearWx,ASCEGuyWx))),IF(OR(dcode="TIA-222-H",dcode="TIA-222-H-1"),Cg*SQRT(Kg/(SUM(TIAHDiscreteWx,TIAHSectionWx,TIAHLinearWx,TIAHGuyWx)))))))</f>
        <v/>
      </c>
      <c r="H38" s="22" t="s">
        <v>251</v>
      </c>
      <c r="I38" s="34" t="str">
        <f>IF(dcode="","",IF(dcode="TIA-222-G","2.7.11.3",""))</f>
        <v/>
      </c>
    </row>
    <row r="39" spans="2:9" ht="18" hidden="1" x14ac:dyDescent="0.35">
      <c r="B39" s="32"/>
      <c r="C39" s="22"/>
      <c r="D39" s="22"/>
      <c r="E39" s="22"/>
      <c r="F39" s="33" t="s">
        <v>214</v>
      </c>
      <c r="G39" s="18" t="str">
        <f>IF(Fa_GT="","",1/Fa_GT)</f>
        <v/>
      </c>
      <c r="H39" s="22" t="s">
        <v>140</v>
      </c>
      <c r="I39" s="34" t="str">
        <f>IF(dcode="","",IF(OR(dcode="TIA-222-H",dcode="TIA-222-H-1"),"2.7.7.1.3.4",""))</f>
        <v>2.7.7.1.3.4</v>
      </c>
    </row>
    <row r="40" spans="2:9" x14ac:dyDescent="0.25">
      <c r="B40" s="32"/>
      <c r="C40" s="22"/>
      <c r="D40" s="22"/>
      <c r="E40" s="22"/>
      <c r="F40" s="33"/>
      <c r="G40" s="77"/>
      <c r="H40" s="22"/>
      <c r="I40" s="34"/>
    </row>
    <row r="41" spans="2:9" ht="18" hidden="1" x14ac:dyDescent="0.35">
      <c r="B41" s="32"/>
      <c r="C41" s="22"/>
      <c r="D41" s="22"/>
      <c r="E41" s="22"/>
      <c r="F41" s="33" t="s">
        <v>273</v>
      </c>
      <c r="G41" s="18" t="str">
        <f>IF(OR(T="",sds="",sduno=""),"",IF((1/T)&lt;=(sds/sduno),sduno*(1/T),sds))</f>
        <v/>
      </c>
      <c r="H41" s="22"/>
      <c r="I41" s="34" t="s">
        <v>217</v>
      </c>
    </row>
    <row r="42" spans="2:9" hidden="1" x14ac:dyDescent="0.25">
      <c r="B42" s="32"/>
      <c r="C42" s="22"/>
      <c r="D42" s="22"/>
      <c r="E42" s="22"/>
      <c r="F42" s="33"/>
      <c r="G42" s="22"/>
      <c r="H42" s="22"/>
      <c r="I42" s="34"/>
    </row>
    <row r="43" spans="2:9" ht="18" hidden="1" x14ac:dyDescent="0.35">
      <c r="B43" s="32"/>
      <c r="C43" s="22"/>
      <c r="D43" s="22"/>
      <c r="E43" s="22"/>
      <c r="F43" s="33" t="s">
        <v>279</v>
      </c>
      <c r="G43" s="57" t="str">
        <f>IF(AND(tnx_import,siteparameterinputs_complete),(w*sds*ie)/re,"")</f>
        <v/>
      </c>
      <c r="H43" s="22" t="s">
        <v>100</v>
      </c>
      <c r="I43" s="34" t="s">
        <v>283</v>
      </c>
    </row>
    <row r="44" spans="2:9" ht="18" hidden="1" x14ac:dyDescent="0.35">
      <c r="B44" s="32"/>
      <c r="C44" s="22"/>
      <c r="D44" s="22"/>
      <c r="E44" s="22"/>
      <c r="F44" s="33" t="s">
        <v>280</v>
      </c>
      <c r="G44" s="57" t="str">
        <f>IF(AND(tnx_import,siteparameterinputs_complete,T&lt;&gt;0),((1/T)*sduno*w*ie)/re,"")</f>
        <v/>
      </c>
      <c r="H44" s="22" t="s">
        <v>100</v>
      </c>
      <c r="I44" s="34" t="s">
        <v>283</v>
      </c>
    </row>
    <row r="45" spans="2:9" ht="18" hidden="1" x14ac:dyDescent="0.35">
      <c r="B45" s="32"/>
      <c r="C45" s="22"/>
      <c r="D45" s="22"/>
      <c r="E45" s="22"/>
      <c r="F45" s="33" t="s">
        <v>281</v>
      </c>
      <c r="G45" s="57" t="str">
        <f>IF(AND(tnx_import,siteparameterinputs_complete,T&lt;&gt;0),0.044*sds*w*ie,"")</f>
        <v/>
      </c>
      <c r="H45" s="22" t="s">
        <v>100</v>
      </c>
      <c r="I45" s="34" t="s">
        <v>283</v>
      </c>
    </row>
    <row r="46" spans="2:9" ht="18" hidden="1" x14ac:dyDescent="0.35">
      <c r="B46" s="32"/>
      <c r="C46" s="22"/>
      <c r="D46" s="22"/>
      <c r="E46" s="22"/>
      <c r="F46" s="33" t="s">
        <v>282</v>
      </c>
      <c r="G46" s="57" t="str">
        <f>IF(AND(tnx_import,siteparameterinputs_complete,T&lt;&gt;0),IF(suno&gt;=0.75,(0.5*suno*w*ie)/re,"N/A"),"")</f>
        <v/>
      </c>
      <c r="H46" s="22" t="s">
        <v>100</v>
      </c>
      <c r="I46" s="34" t="s">
        <v>283</v>
      </c>
    </row>
    <row r="47" spans="2:9" hidden="1" x14ac:dyDescent="0.25">
      <c r="B47" s="32"/>
      <c r="C47" s="22"/>
      <c r="D47" s="22"/>
      <c r="E47" s="22"/>
      <c r="F47" s="33"/>
      <c r="G47" s="22"/>
      <c r="H47" s="22"/>
      <c r="I47" s="34"/>
    </row>
    <row r="48" spans="2:9" ht="18" x14ac:dyDescent="0.35">
      <c r="B48" s="32"/>
      <c r="C48" s="22"/>
      <c r="D48" s="22"/>
      <c r="E48" s="22"/>
      <c r="F48" s="33" t="s">
        <v>141</v>
      </c>
      <c r="G48" s="18" t="str">
        <f>IF(AND(tnx_import,siteparameterinputs_complete),IF(AND(dcode="TIA-222-H-1",LEFT(soil,1)="D",suno&gt;=0.2,T&gt;1.5*ts),IF(T&lt;=tl,1.5*sduno/(T*re/ie),1.5*sduno*tl/((T^2)*(re/ie))),sds/(re/ie)),"")</f>
        <v/>
      </c>
      <c r="H48" s="22"/>
      <c r="I48" s="34" t="str">
        <f>IF(dcode="","",IF(dcode="TIA-222-H-1",IF(AND(LEFT(soil,1)="D",suno&gt;=0.2),"Table 2-12 Note 3","2.7.7.1.1"),IF(dcode="TIA-222-H","2.7.7.1.1",IF(dcode="ASCE 7-10","12.8-2",""))))</f>
        <v>2.7.7.1.1</v>
      </c>
    </row>
    <row r="49" spans="1:9" ht="18" x14ac:dyDescent="0.35">
      <c r="B49" s="32"/>
      <c r="C49" s="22"/>
      <c r="D49" s="22"/>
      <c r="E49" s="22"/>
      <c r="F49" s="33" t="s">
        <v>145</v>
      </c>
      <c r="G49" s="18" t="str">
        <f>IF(AND(tnx_import,siteparameterinputs_complete,T&lt;&gt;0),IF(AND(T&lt;=tl,NOT(AND(dcode="TIA-222-H-1",LEFT(soil,1)="D",suno&gt;=0.2))),sduno/(T*re/ie),"N/A"),"")</f>
        <v/>
      </c>
      <c r="H49" s="22"/>
      <c r="I49" s="34" t="str">
        <f>IF(dcode="","",IF(dcode="TIA-222-H-1",IF(AND(LEFT(soil,1)="D",suno&gt;=0.2),"","2.7.7.1.1"),IF(dcode="TIA-222-H","2.7.7.1.1",IF(dcode="ASCE 7-10","12.8-3",""))))</f>
        <v>2.7.7.1.1</v>
      </c>
    </row>
    <row r="50" spans="1:9" ht="18" x14ac:dyDescent="0.35">
      <c r="B50" s="32"/>
      <c r="C50" s="22"/>
      <c r="D50" s="22"/>
      <c r="E50" s="22"/>
      <c r="F50" s="33" t="s">
        <v>146</v>
      </c>
      <c r="G50" s="53" t="str">
        <f>IF(AND(tnx_import,siteparameterinputs_complete,T&lt;&gt;0),IF(AND(T&gt;tl,NOT(AND(dcode="TIA-222-H-1",LEFT(soil,1)="D",suno&gt;=0.2))),sduno*tl/((T^2)*(re/ie)),"N/A"),"")</f>
        <v/>
      </c>
      <c r="H50" s="22"/>
      <c r="I50" s="34" t="str">
        <f>IF(dcode="","",IF(dcode="TIA-222-H-1",IF(AND(LEFT(soil,1)="D",suno&gt;=0.2),"","2.7.7.1.1"),IF(dcode="TIA-222-H","2.7.7.1.1",IF(dcode="ASCE 7-10","12.8-4",""))))</f>
        <v>2.7.7.1.1</v>
      </c>
    </row>
    <row r="51" spans="1:9" hidden="1" x14ac:dyDescent="0.25">
      <c r="B51" s="32"/>
      <c r="C51" s="22"/>
      <c r="D51" s="22"/>
      <c r="E51" s="22"/>
      <c r="F51" s="33"/>
      <c r="G51" s="117" t="str">
        <f>IF(T&lt;=tl,csmax1,csmax2)</f>
        <v/>
      </c>
      <c r="H51" s="22"/>
      <c r="I51" s="34"/>
    </row>
    <row r="52" spans="1:9" ht="18" x14ac:dyDescent="0.35">
      <c r="B52" s="32"/>
      <c r="C52" s="22"/>
      <c r="D52" s="22"/>
      <c r="E52" s="22"/>
      <c r="F52" s="33" t="s">
        <v>142</v>
      </c>
      <c r="G52" s="18" t="str">
        <f>IF(AND(tnx_import,siteparameterinputs_complete),MAX(0.044*sds*ie,0.03),"")</f>
        <v/>
      </c>
      <c r="H52" s="22"/>
      <c r="I52" s="34" t="str">
        <f>IF(dcode="","",IF(OR(dcode="TIA-222-H-1",dcode="TIA-222-H"),"2.7.7.1.1",IF(dcode="ASCE 7-10","15.4-1","")))</f>
        <v>2.7.7.1.1</v>
      </c>
    </row>
    <row r="53" spans="1:9" ht="18" x14ac:dyDescent="0.35">
      <c r="B53" s="32"/>
      <c r="C53" s="22"/>
      <c r="D53" s="22"/>
      <c r="E53" s="22"/>
      <c r="F53" s="33" t="s">
        <v>143</v>
      </c>
      <c r="G53" s="18" t="str">
        <f>IF(AND(tnx_import,siteparameterinputs_complete),IF(suno&gt;=0.6,0.8*suno/(re/ie),"N/A"),"")</f>
        <v/>
      </c>
      <c r="H53" s="22"/>
      <c r="I53" s="34" t="str">
        <f>IF(dcode="","",IF(OR(dcode="TIA-222-H-1",dcode="TIA-222-H"),"2.7.7.1.1",IF(dcode="ASCE 7-10","15.4-2","")))</f>
        <v>2.7.7.1.1</v>
      </c>
    </row>
    <row r="54" spans="1:9" hidden="1" x14ac:dyDescent="0.25">
      <c r="B54" s="32"/>
      <c r="C54" s="22"/>
      <c r="D54" s="22"/>
      <c r="E54" s="22"/>
      <c r="F54" s="33"/>
      <c r="G54" s="18" t="str">
        <f>IF(AND(suno&gt;=0.6,OR(csmin1&lt;&gt;"N/A",csmin2&lt;&gt;"N/A")),MAX(csmin1,csmin2),csmin1)</f>
        <v/>
      </c>
      <c r="H54" s="22"/>
      <c r="I54" s="34"/>
    </row>
    <row r="55" spans="1:9" ht="18" x14ac:dyDescent="0.35">
      <c r="B55" s="32"/>
      <c r="C55" s="22"/>
      <c r="D55" s="22"/>
      <c r="E55" s="22"/>
      <c r="F55" s="33" t="s">
        <v>147</v>
      </c>
      <c r="G55" s="18" t="str">
        <f>IF(AND(tnx_import,siteparameterinputs_complete,T&lt;&gt;0),IF(AND(csmax="N/A",csmin="N/A"),cs,IF(OR(cs&lt;csmin,csmax&lt;csmin),csmin,IF(cs&gt;csmax,csmax,cs))),"")</f>
        <v/>
      </c>
      <c r="H55" s="22"/>
      <c r="I55" s="34"/>
    </row>
    <row r="56" spans="1:9" x14ac:dyDescent="0.25">
      <c r="B56" s="32"/>
      <c r="C56" s="22"/>
      <c r="D56" s="22"/>
      <c r="E56" s="22"/>
      <c r="F56" s="33"/>
      <c r="G56" s="22"/>
      <c r="H56" s="22"/>
      <c r="I56" s="34"/>
    </row>
    <row r="57" spans="1:9" x14ac:dyDescent="0.25">
      <c r="B57" s="32"/>
      <c r="C57" s="22"/>
      <c r="D57" s="22"/>
      <c r="E57" s="22"/>
      <c r="F57" s="33" t="s">
        <v>148</v>
      </c>
      <c r="G57" s="142" t="str">
        <f>IF(AND(dcode&lt;&gt;"",tnx_import,siteparameterinputs_complete,T&lt;&gt;0),IF(dcode="TIA-222-G",IF(suno&lt;0.75,MIN(Vs,MAX(Vsa,Vsamin1)),MIN(G43,MAX(Vsa,Vsamin1,Vsamin2))),IF(dcode="ASCE 7-10",IF(T&lt;0.06,0.3*sds*w*ie,csc*w),csc*w)),"")</f>
        <v/>
      </c>
      <c r="H57" s="22" t="str">
        <f>IF(Note_2,"* kips","kips")</f>
        <v>kips</v>
      </c>
      <c r="I57" s="34" t="str">
        <f>IF(dcode="","",IF(OR(dcode="TIA-222-H",dcode="TIA-222-H-1"),"2.7.7.1.1",IF(dcode="ASCE 7-10",IF(T&lt;0.06,"15.4-5","12.8-1"),IF(dcode="TIA-222-G","2.7.7.1",""))))</f>
        <v>2.7.7.1.1</v>
      </c>
    </row>
    <row r="58" spans="1:9" x14ac:dyDescent="0.25">
      <c r="B58" s="35"/>
      <c r="C58" s="36"/>
      <c r="D58" s="36"/>
      <c r="E58" s="36"/>
      <c r="F58" s="37"/>
      <c r="G58" s="36"/>
      <c r="H58" s="36"/>
      <c r="I58" s="38"/>
    </row>
    <row r="59" spans="1:9" x14ac:dyDescent="0.25">
      <c r="B59" s="163" t="s">
        <v>149</v>
      </c>
      <c r="C59" s="164"/>
      <c r="D59" s="164"/>
      <c r="E59" s="164"/>
      <c r="F59" s="164"/>
      <c r="G59" s="164"/>
      <c r="H59" s="164"/>
      <c r="I59" s="165"/>
    </row>
    <row r="60" spans="1:9" x14ac:dyDescent="0.25">
      <c r="B60" s="32"/>
      <c r="C60" s="22"/>
      <c r="D60" s="22"/>
      <c r="E60" s="22"/>
      <c r="F60" s="33"/>
      <c r="G60" s="22"/>
      <c r="H60" s="22"/>
      <c r="I60" s="34"/>
    </row>
    <row r="61" spans="1:9" x14ac:dyDescent="0.25">
      <c r="B61" s="32"/>
      <c r="C61" s="22"/>
      <c r="D61" s="22"/>
      <c r="E61" s="22"/>
      <c r="F61" s="33" t="s">
        <v>151</v>
      </c>
      <c r="G61" s="57" t="str">
        <f>IF(T="","",IF(T&lt;=0.5,1,IF(T&gt;=2.5,2,0.75+T/2)))</f>
        <v/>
      </c>
      <c r="H61" s="22"/>
      <c r="I61" s="34" t="str">
        <f>IF(dcode="","",IF(dcode="TIA-222-H","2.7.7.1.2",IF(dcode="ASCE 7-10","12.8-12","")))</f>
        <v/>
      </c>
    </row>
    <row r="62" spans="1:9" ht="18.75" x14ac:dyDescent="0.35">
      <c r="B62" s="32"/>
      <c r="C62" s="22"/>
      <c r="D62" s="22"/>
      <c r="E62" s="22"/>
      <c r="F62" s="33" t="s">
        <v>150</v>
      </c>
      <c r="G62" s="7" t="str">
        <f>IF(tnx_import,IF(k="","",IF(LEFT(dcode,4)="ASCE", SUM(ASCEDiscreteWxHxk,ASCESectionWxHxk,ASCELinearWxHxk,ASCEGuyWxHxk),IF(OR(dcode="TIA-222-H",dcode="TIA-222-H-1"),SUM(TIAHDiscreteWxHxk,TIAHSectionWxHxk,TIAHLinearWxHxk,TIAHGuyWxHxk),IF(dcode="TIA-222-G",SUM(TIAGGTDiscreteWxHXk,TIAGGTSectionWxHxk,TIAGGTLinearWxHxk,TIAGGTGuyWxHxk))))),"")</f>
        <v/>
      </c>
      <c r="H62" s="22"/>
      <c r="I62" s="34" t="str">
        <f>IF(dcode="","",IF(dcode="TIA-222-H","2.7.7.1.2",IF(dcode="ASCE 7-10","12.8-12","")))</f>
        <v/>
      </c>
    </row>
    <row r="63" spans="1:9" x14ac:dyDescent="0.25">
      <c r="B63" s="35"/>
      <c r="C63" s="36"/>
      <c r="D63" s="36"/>
      <c r="E63" s="36"/>
      <c r="F63" s="37"/>
      <c r="G63" s="59"/>
      <c r="H63" s="36"/>
      <c r="I63" s="38"/>
    </row>
    <row r="64" spans="1:9" x14ac:dyDescent="0.25">
      <c r="A64" s="147" t="b">
        <f>IF(AND(siteparameterinputs_complete,usgs_complete,T&lt;&gt;""),AND(dcode="TIA-222-H-1",soil="E",suno&gt;=0.2,T&gt;ts),FALSE)</f>
        <v>0</v>
      </c>
      <c r="B64" s="157"/>
      <c r="C64" s="157"/>
      <c r="D64" s="157"/>
      <c r="E64" s="157"/>
      <c r="F64" s="157"/>
      <c r="G64" s="157"/>
      <c r="H64" s="157"/>
      <c r="I64" s="157"/>
    </row>
    <row r="65" spans="5:5" hidden="1" x14ac:dyDescent="0.25">
      <c r="E65" s="3"/>
    </row>
    <row r="66" spans="5:5" ht="14.25" hidden="1" customHeight="1" x14ac:dyDescent="0.25"/>
  </sheetData>
  <sheetProtection sheet="1" objects="1" scenarios="1" selectLockedCells="1"/>
  <mergeCells count="3">
    <mergeCell ref="B6:I6"/>
    <mergeCell ref="B13:I13"/>
    <mergeCell ref="B59:I59"/>
  </mergeCells>
  <pageMargins left="0.7" right="0.7" top="0.75" bottom="0.75" header="0.3" footer="0.3"/>
  <pageSetup scale="78" fitToHeight="0" orientation="portrait" r:id="rId1"/>
  <headerFooter scaleWithDoc="0">
    <oddFooter>&amp;LCCISeismic 3.3.9&amp;CPage &amp;P&amp;RAnalysis Date: &amp;D</oddFooter>
  </headerFooter>
  <colBreaks count="1" manualBreakCount="1">
    <brk id="10" max="53" man="1"/>
  </colBreaks>
  <drawing r:id="rId2"/>
  <legacyDrawing r:id="rId3"/>
  <mc:AlternateContent xmlns:mc="http://schemas.openxmlformats.org/markup-compatibility/2006">
    <mc:Choice Requires="x14">
      <controls>
        <mc:AlternateContent xmlns:mc="http://schemas.openxmlformats.org/markup-compatibility/2006">
          <mc:Choice Requires="x14">
            <control shapeId="10247" r:id="rId4" name="Approx Period">
              <controlPr locked="0" defaultSize="0" print="0" autoFill="0" autoLine="0" autoPict="0" macro="[0]!Approx_Period_Click" altText="Approximate Fundamental Period">
                <anchor moveWithCells="1">
                  <from>
                    <xdr:col>1</xdr:col>
                    <xdr:colOff>28575</xdr:colOff>
                    <xdr:row>14</xdr:row>
                    <xdr:rowOff>180975</xdr:rowOff>
                  </from>
                  <to>
                    <xdr:col>3</xdr:col>
                    <xdr:colOff>571500</xdr:colOff>
                    <xdr:row>16</xdr:row>
                    <xdr:rowOff>19050</xdr:rowOff>
                  </to>
                </anchor>
              </controlPr>
            </control>
          </mc:Choice>
        </mc:AlternateContent>
        <mc:AlternateContent xmlns:mc="http://schemas.openxmlformats.org/markup-compatibility/2006">
          <mc:Choice Requires="x14">
            <control shapeId="10248" r:id="rId5" name="Import">
              <controlPr defaultSize="0" print="0" autoFill="0" autoPict="0" macro="[0]!ImportTNX">
                <anchor moveWithCells="1" sizeWithCells="1">
                  <from>
                    <xdr:col>1</xdr:col>
                    <xdr:colOff>238125</xdr:colOff>
                    <xdr:row>6</xdr:row>
                    <xdr:rowOff>171450</xdr:rowOff>
                  </from>
                  <to>
                    <xdr:col>2</xdr:col>
                    <xdr:colOff>228600</xdr:colOff>
                    <xdr:row>9</xdr:row>
                    <xdr:rowOff>57150</xdr:rowOff>
                  </to>
                </anchor>
              </controlPr>
            </control>
          </mc:Choice>
        </mc:AlternateContent>
        <mc:AlternateContent xmlns:mc="http://schemas.openxmlformats.org/markup-compatibility/2006">
          <mc:Choice Requires="x14">
            <control shapeId="10249" r:id="rId6" name="Export">
              <controlPr defaultSize="0" print="0" autoFill="0" autoPict="0" macro="[0]!ExportTNX">
                <anchor moveWithCells="1" sizeWithCells="1">
                  <from>
                    <xdr:col>7</xdr:col>
                    <xdr:colOff>819150</xdr:colOff>
                    <xdr:row>6</xdr:row>
                    <xdr:rowOff>171450</xdr:rowOff>
                  </from>
                  <to>
                    <xdr:col>8</xdr:col>
                    <xdr:colOff>809625</xdr:colOff>
                    <xdr:row>9</xdr:row>
                    <xdr:rowOff>57150</xdr:rowOff>
                  </to>
                </anchor>
              </controlPr>
            </control>
          </mc:Choice>
        </mc:AlternateContent>
        <mc:AlternateContent xmlns:mc="http://schemas.openxmlformats.org/markup-compatibility/2006">
          <mc:Choice Requires="x14">
            <control shapeId="10257" r:id="rId7" name="Print PDF">
              <controlPr defaultSize="0" print="0" autoFill="0" autoPict="0" macro="[0]!PrintStuff">
                <anchor moveWithCells="1" sizeWithCells="1">
                  <from>
                    <xdr:col>7</xdr:col>
                    <xdr:colOff>819150</xdr:colOff>
                    <xdr:row>13</xdr:row>
                    <xdr:rowOff>152400</xdr:rowOff>
                  </from>
                  <to>
                    <xdr:col>8</xdr:col>
                    <xdr:colOff>800100</xdr:colOff>
                    <xdr:row>16</xdr:row>
                    <xdr:rowOff>0</xdr:rowOff>
                  </to>
                </anchor>
              </controlPr>
            </control>
          </mc:Choice>
        </mc:AlternateContent>
        <mc:AlternateContent xmlns:mc="http://schemas.openxmlformats.org/markup-compatibility/2006">
          <mc:Choice Requires="x14">
            <control shapeId="10259" r:id="rId8" name="MP_Density">
              <controlPr locked="0" defaultSize="0" print="0" autoFill="0" autoLine="0" autoPict="0" macro="[0]!MP_Density_Override" altText="Approximate Fundamental Period">
                <anchor moveWithCells="1">
                  <from>
                    <xdr:col>1</xdr:col>
                    <xdr:colOff>38100</xdr:colOff>
                    <xdr:row>13</xdr:row>
                    <xdr:rowOff>190500</xdr:rowOff>
                  </from>
                  <to>
                    <xdr:col>3</xdr:col>
                    <xdr:colOff>581025</xdr:colOff>
                    <xdr:row>14</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3">
    <pageSetUpPr fitToPage="1"/>
  </sheetPr>
  <dimension ref="A1:CY5"/>
  <sheetViews>
    <sheetView topLeftCell="CA1" zoomScaleNormal="100" workbookViewId="0">
      <selection sqref="A1:XFD1048576"/>
    </sheetView>
  </sheetViews>
  <sheetFormatPr defaultColWidth="0" defaultRowHeight="15" x14ac:dyDescent="0.25"/>
  <cols>
    <col min="1" max="1" width="6.7109375" customWidth="1"/>
    <col min="2" max="10" width="12.7109375" customWidth="1"/>
    <col min="11" max="26" width="9.140625" customWidth="1"/>
    <col min="27" max="27" width="6.7109375" customWidth="1"/>
    <col min="28" max="28" width="15.7109375" customWidth="1"/>
    <col min="29" max="34" width="12.7109375" customWidth="1"/>
    <col min="35" max="39" width="9.7109375" customWidth="1"/>
    <col min="40" max="52" width="9.140625" customWidth="1"/>
    <col min="53" max="53" width="6.7109375" customWidth="1"/>
    <col min="54" max="54" width="60.7109375" customWidth="1"/>
    <col min="55" max="60" width="12.7109375" customWidth="1"/>
    <col min="61" max="78" width="9.140625" customWidth="1"/>
    <col min="79" max="79" width="6.7109375" customWidth="1"/>
    <col min="80" max="80" width="60.7109375" customWidth="1"/>
    <col min="81" max="88" width="12.7109375" customWidth="1"/>
    <col min="89" max="89" width="6.7109375" customWidth="1"/>
    <col min="90" max="103" width="0" hidden="1" customWidth="1"/>
    <col min="104" max="16384" width="9.140625" hidden="1"/>
  </cols>
  <sheetData>
    <row r="1" spans="2:88" ht="15" customHeight="1" x14ac:dyDescent="0.25"/>
    <row r="2" spans="2:88" ht="20.100000000000001" customHeight="1" x14ac:dyDescent="0.25">
      <c r="B2" s="166" t="s">
        <v>134</v>
      </c>
      <c r="C2" s="167"/>
      <c r="D2" s="167"/>
      <c r="E2" s="167"/>
      <c r="F2" s="167"/>
      <c r="G2" s="167"/>
      <c r="H2" s="167"/>
      <c r="I2" s="167"/>
      <c r="J2" s="167"/>
      <c r="AB2" s="168" t="s">
        <v>133</v>
      </c>
      <c r="AC2" s="168"/>
      <c r="AD2" s="168"/>
      <c r="AE2" s="168"/>
      <c r="AF2" s="168"/>
      <c r="AG2" s="168"/>
      <c r="AH2" s="168"/>
      <c r="AI2" s="169" t="s">
        <v>243</v>
      </c>
      <c r="AJ2" s="170"/>
      <c r="AK2" s="170"/>
      <c r="AL2" s="170"/>
      <c r="AM2" s="171"/>
      <c r="BB2" s="166" t="s">
        <v>0</v>
      </c>
      <c r="BC2" s="167"/>
      <c r="BD2" s="167"/>
      <c r="BE2" s="167"/>
      <c r="BF2" s="167"/>
      <c r="BG2" s="167"/>
      <c r="BH2" s="167"/>
      <c r="CB2" s="166" t="s">
        <v>97</v>
      </c>
      <c r="CC2" s="167"/>
      <c r="CD2" s="167"/>
      <c r="CE2" s="167"/>
      <c r="CF2" s="167"/>
      <c r="CG2" s="167"/>
      <c r="CH2" s="167"/>
      <c r="CI2" s="167"/>
      <c r="CJ2" s="167"/>
    </row>
    <row r="3" spans="2:88" s="45" customFormat="1" ht="39.950000000000003" customHeight="1" x14ac:dyDescent="0.25">
      <c r="B3" s="46" t="s">
        <v>128</v>
      </c>
      <c r="C3" s="49" t="s">
        <v>27</v>
      </c>
      <c r="D3" s="47" t="s">
        <v>125</v>
      </c>
      <c r="E3" s="47" t="s">
        <v>126</v>
      </c>
      <c r="F3" s="47" t="s">
        <v>127</v>
      </c>
      <c r="G3" s="47" t="s">
        <v>95</v>
      </c>
      <c r="H3" s="47" t="s">
        <v>96</v>
      </c>
      <c r="I3" s="48" t="s">
        <v>188</v>
      </c>
      <c r="J3" s="70" t="s">
        <v>189</v>
      </c>
      <c r="AB3" s="71" t="s">
        <v>135</v>
      </c>
      <c r="AC3" s="71" t="s">
        <v>130</v>
      </c>
      <c r="AD3" s="71" t="s">
        <v>247</v>
      </c>
      <c r="AE3" s="71" t="s">
        <v>95</v>
      </c>
      <c r="AF3" s="71" t="s">
        <v>96</v>
      </c>
      <c r="AG3" s="72" t="s">
        <v>188</v>
      </c>
      <c r="AH3" s="71" t="s">
        <v>189</v>
      </c>
      <c r="AI3" s="70" t="s">
        <v>210</v>
      </c>
      <c r="AJ3" s="70" t="s">
        <v>209</v>
      </c>
      <c r="AK3" s="70" t="s">
        <v>211</v>
      </c>
      <c r="AL3" s="70" t="s">
        <v>212</v>
      </c>
      <c r="AM3" s="70" t="s">
        <v>213</v>
      </c>
      <c r="BB3" s="46" t="s">
        <v>1</v>
      </c>
      <c r="BC3" s="47" t="s">
        <v>93</v>
      </c>
      <c r="BD3" s="47" t="s">
        <v>94</v>
      </c>
      <c r="BE3" s="47" t="s">
        <v>95</v>
      </c>
      <c r="BF3" s="47" t="s">
        <v>96</v>
      </c>
      <c r="BG3" s="48" t="s">
        <v>188</v>
      </c>
      <c r="BH3" s="47" t="s">
        <v>189</v>
      </c>
      <c r="CB3" s="73" t="s">
        <v>1</v>
      </c>
      <c r="CC3" s="73" t="s">
        <v>136</v>
      </c>
      <c r="CD3" s="73" t="s">
        <v>137</v>
      </c>
      <c r="CE3" s="55" t="s">
        <v>121</v>
      </c>
      <c r="CF3" s="55" t="s">
        <v>122</v>
      </c>
      <c r="CG3" s="55" t="s">
        <v>123</v>
      </c>
      <c r="CH3" s="55" t="s">
        <v>124</v>
      </c>
      <c r="CI3" s="73" t="s">
        <v>191</v>
      </c>
      <c r="CJ3" s="73" t="s">
        <v>190</v>
      </c>
    </row>
    <row r="4" spans="2:88" ht="15" customHeight="1" x14ac:dyDescent="0.25">
      <c r="B4" s="68"/>
      <c r="C4" s="76"/>
      <c r="D4" s="76"/>
      <c r="E4" s="76"/>
      <c r="F4" s="86"/>
      <c r="G4" s="76" t="str">
        <f>IF(OR(ASCETowerSectionLoads[Section Weight, wx]="",ASCETowerSectionLoads[Mid Height, hx]=""),"",ASCETowerSectionLoads[Section Weight, wx]*ASCETowerSectionLoads[Mid Height, hx]^k)</f>
        <v/>
      </c>
      <c r="H4" s="86" t="str">
        <f>IF(OR(ASCETowerSectionLoads[[#This Row],[wxhxk]]="",sumwxhxk=""),"",ASCETowerSectionLoads[[#This Row],[wxhxk]]/sumwxhxk)</f>
        <v/>
      </c>
      <c r="I4" s="87" t="str">
        <f>IF(OR(ASCETowerSectionLoads[[#This Row],[Cvx]]="",V=""),"",ASCETowerSectionLoads[[#This Row],[Cvx]]*V)</f>
        <v/>
      </c>
      <c r="J4" s="86" t="str">
        <f>IF(ASCETowerSectionLoads[Section Weight, wx]="","",0.2*sds*ASCETowerSectionLoads[[#This Row],[Section Weight, wx]])</f>
        <v/>
      </c>
      <c r="AB4" s="76"/>
      <c r="AC4" s="86"/>
      <c r="AD4" s="86" t="str">
        <f>IF(ASCEGuyLoads[Total Guy Weight]="","",ASCEGuyLoads[Total Guy Weight]/2)</f>
        <v/>
      </c>
      <c r="AE4" s="76" t="str">
        <f>IF(OR(ASCEGuyLoads[Guy Attachment Elevation, hx]="",ASCEGuyLoads[Effective Guy Weight, wx]=""),"",ASCEGuyLoads[Effective Guy Weight, wx]*ASCEGuyLoads[Guy Attachment Elevation, hx]^k)</f>
        <v/>
      </c>
      <c r="AF4" s="86" t="str">
        <f>IF(OR(ASCEGuyLoads[[#This Row],[wxhxk]]="",sumwxhxk=""),"",ASCEGuyLoads[[#This Row],[wxhxk]]/sumwxhxk)</f>
        <v/>
      </c>
      <c r="AG4" s="87" t="str">
        <f>IF(OR(ASCEGuyLoads[[#This Row],[Cvx]]="",V=""),"",ASCEGuyLoads[[#This Row],[Cvx]]*V)</f>
        <v/>
      </c>
      <c r="AH4" s="87" t="str">
        <f>IF(OR(sds="",ASCEGuyLoads[Effective Guy Weight, wx]=""),"",0.2*sds*ASCEGuyLoads[Effective Guy Weight, wx])</f>
        <v/>
      </c>
      <c r="AI4" s="50"/>
      <c r="AJ4" s="50"/>
      <c r="AK4" s="50"/>
      <c r="AL4" s="50"/>
      <c r="AM4" s="50" t="str">
        <f>IF(OR(ASCEGuyLoads[[#This Row],[Ni]]="",ASCEGuyLoads[[#This Row],[Agi]]="",ASCEGuyLoads[[#This Row],[Gri]]="",ASCEGuyLoads[[#This Row],[Guy Attachment Elevation, hx]]="",ASCEGuyLoads[[#This Row],[Lgi]]="",h=""),"",(ASCEGuyLoads[[#This Row],[Ni]]*ASCEGuyLoads[[#This Row],[Agi]]*ASCEGuyLoads[[#This Row],[Gri]]*ASCEGuyLoads[[#This Row],[Guy Attachment Elevation, hx]])/(h*ASCEGuyLoads[[#This Row],[Lgi]]^2))</f>
        <v/>
      </c>
      <c r="BB4" s="40"/>
      <c r="BC4" s="89"/>
      <c r="BD4" s="90"/>
      <c r="BE4" s="89" t="str">
        <f>IF(OR(ASCEDiscreteLoads[wx]="",ASCEDiscreteLoads[hx]=""),"",ASCEDiscreteLoads[wx]*ASCEDiscreteLoads[hx]^k)</f>
        <v/>
      </c>
      <c r="BF4" s="86" t="str">
        <f>IF(OR(ASCEDiscreteLoads[[#This Row],[wxhxk]]="",sumwxhxk=""),"",ASCEDiscreteLoads[[#This Row],[wxhxk]]/sumwxhxk)</f>
        <v/>
      </c>
      <c r="BG4" s="91" t="str">
        <f>IF(OR(ASCEDiscreteLoads[[#This Row],[Cvx]]="",V=""),"",ASCEDiscreteLoads[[#This Row],[Cvx]]*V)</f>
        <v/>
      </c>
      <c r="BH4" s="87" t="str">
        <f>IF(OR(sds="",ASCEDiscreteLoads[[#This Row],[wx]]=""),"",0.2*sds*ASCEDiscreteLoads[[#This Row],[wx]])</f>
        <v/>
      </c>
      <c r="CB4" s="61"/>
      <c r="CC4" s="83"/>
      <c r="CD4" s="83"/>
      <c r="CE4" s="84"/>
      <c r="CF4" s="85"/>
      <c r="CG4" s="84" t="str">
        <f>IF(OR(ASCELinearLoads[wx]="",ASCELinearLoads[hx]=""),"",ASCELinearLoads[wx]*ASCELinearLoads[hx]^k)</f>
        <v/>
      </c>
      <c r="CH4" s="86" t="str">
        <f>IF(OR(ASCELinearLoads[[#This Row],[wxhxk]]="",sumwxhxk=""),"",ASCELinearLoads[[#This Row],[wxhxk]]/sumwxhxk)</f>
        <v/>
      </c>
      <c r="CI4" s="87" t="str">
        <f>IF(OR(ASCELinearLoads[[#This Row],[Cvx]]="",V=""),"",ASCELinearLoads[[#This Row],[Cvx]]*V)</f>
        <v/>
      </c>
      <c r="CJ4" s="88" t="str">
        <f>IF(OR(sds="",ASCELinearLoads[[#This Row],[wx]]=""),"",0.2*sds*ASCELinearLoads[[#This Row],[wx]])</f>
        <v/>
      </c>
    </row>
    <row r="5" spans="2:88" x14ac:dyDescent="0.25">
      <c r="E5" s="1" t="s">
        <v>120</v>
      </c>
      <c r="F5" s="94">
        <f>SUM(ASCETowerSectionLoads[Section Weight, wx])</f>
        <v>0</v>
      </c>
      <c r="G5" s="95">
        <f>SUM(ASCETowerSectionLoads[wxhxk])</f>
        <v>0</v>
      </c>
      <c r="AB5" s="1" t="s">
        <v>120</v>
      </c>
      <c r="AC5" s="94">
        <f>SUM(ASCEGuyLoads[Total Guy Weight])</f>
        <v>0</v>
      </c>
      <c r="AD5" s="94">
        <f>SUM(ASCEGuyLoads[Effective Guy Weight, wx])</f>
        <v>0</v>
      </c>
      <c r="AE5" s="95">
        <f>SUM(ASCEGuyLoads[wxhxk])</f>
        <v>0</v>
      </c>
      <c r="AM5" s="56">
        <f>SUM(ASCEGuyLoads[Kg])</f>
        <v>0</v>
      </c>
      <c r="BC5" s="1" t="s">
        <v>120</v>
      </c>
      <c r="BD5" s="58">
        <f>SUM(ASCEDiscreteLoads[wx])</f>
        <v>0</v>
      </c>
      <c r="BE5" s="96">
        <f>SUM(ASCEDiscreteLoads[wxhxk])</f>
        <v>0</v>
      </c>
      <c r="CB5" s="43"/>
      <c r="CC5" s="43"/>
      <c r="CD5" s="43"/>
      <c r="CE5" s="44" t="s">
        <v>120</v>
      </c>
      <c r="CF5" s="92">
        <f>SUM(ASCELinearLoads[wx])</f>
        <v>0</v>
      </c>
      <c r="CG5" s="93">
        <f>SUM(ASCELinearLoads[wxhxk])</f>
        <v>0</v>
      </c>
      <c r="CH5" s="43"/>
      <c r="CI5" s="43"/>
    </row>
  </sheetData>
  <sheetProtection sheet="1" objects="1" scenarios="1"/>
  <mergeCells count="5">
    <mergeCell ref="B2:J2"/>
    <mergeCell ref="AB2:AH2"/>
    <mergeCell ref="AI2:AM2"/>
    <mergeCell ref="BB2:BH2"/>
    <mergeCell ref="CB2:CJ2"/>
  </mergeCells>
  <pageMargins left="0.7" right="0.7" top="0.75" bottom="0.75" header="0.3" footer="0.3"/>
  <pageSetup scale="20" fitToHeight="0" orientation="portrait" r:id="rId1"/>
  <headerFooter scaleWithDoc="0">
    <oddFooter>&amp;LCCISeismic 3.0&amp;CPage &amp;P&amp;RAnalysis Date: &amp;D</oddFooter>
  </headerFooter>
  <tableParts count="4">
    <tablePart r:id="rId2"/>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GA5"/>
  <sheetViews>
    <sheetView topLeftCell="GA1" workbookViewId="0">
      <selection activeCell="CH8" sqref="CH8"/>
    </sheetView>
  </sheetViews>
  <sheetFormatPr defaultColWidth="0" defaultRowHeight="15" x14ac:dyDescent="0.25"/>
  <cols>
    <col min="1" max="1" width="6.7109375" customWidth="1"/>
    <col min="2" max="11" width="12.7109375" customWidth="1"/>
    <col min="12" max="26" width="12.7109375" hidden="1" customWidth="1"/>
    <col min="27" max="27" width="6.7109375" customWidth="1"/>
    <col min="28" max="28" width="60.7109375" customWidth="1"/>
    <col min="29" max="35" width="12.7109375" customWidth="1"/>
    <col min="36" max="52" width="12.7109375" hidden="1" customWidth="1"/>
    <col min="53" max="53" width="6.7109375" customWidth="1"/>
    <col min="54" max="54" width="60.7109375" customWidth="1"/>
    <col min="55" max="63" width="12.7109375" customWidth="1"/>
    <col min="64" max="64" width="6.7109375" hidden="1" customWidth="1"/>
    <col min="65" max="78" width="12.7109375" hidden="1" customWidth="1"/>
    <col min="79" max="79" width="6.7109375" hidden="1" customWidth="1"/>
    <col min="80" max="87" width="12.7109375" hidden="1" customWidth="1"/>
    <col min="88" max="104" width="9.140625" hidden="1" customWidth="1"/>
    <col min="105" max="105" width="6.7109375" hidden="1" customWidth="1"/>
    <col min="106" max="106" width="15.7109375" hidden="1" customWidth="1"/>
    <col min="107" max="130" width="9.140625" hidden="1" customWidth="1"/>
    <col min="131" max="131" width="6.7109375" hidden="1" customWidth="1"/>
    <col min="132" max="132" width="60.7109375" hidden="1" customWidth="1"/>
    <col min="133" max="137" width="12.7109375" hidden="1" customWidth="1"/>
    <col min="138" max="156" width="9.140625" hidden="1" customWidth="1"/>
    <col min="157" max="157" width="6.7109375" hidden="1" customWidth="1"/>
    <col min="158" max="158" width="60.7109375" hidden="1" customWidth="1"/>
    <col min="159" max="165" width="12.7109375" hidden="1" customWidth="1"/>
    <col min="166" max="167" width="6.7109375" hidden="1" customWidth="1"/>
    <col min="168" max="182" width="12.7109375" hidden="1" customWidth="1"/>
    <col min="183" max="183" width="12.7109375" customWidth="1"/>
    <col min="184" max="16384" width="12.7109375" hidden="1"/>
  </cols>
  <sheetData>
    <row r="1" spans="2:165" ht="15" customHeight="1" x14ac:dyDescent="0.25"/>
    <row r="2" spans="2:165" ht="20.100000000000001" customHeight="1" x14ac:dyDescent="0.25">
      <c r="B2" s="166" t="s">
        <v>134</v>
      </c>
      <c r="C2" s="167"/>
      <c r="D2" s="167"/>
      <c r="E2" s="167"/>
      <c r="F2" s="167"/>
      <c r="G2" s="167"/>
      <c r="H2" s="167"/>
      <c r="I2" s="167"/>
      <c r="J2" s="167"/>
      <c r="K2" s="167"/>
      <c r="AB2" s="166" t="s">
        <v>0</v>
      </c>
      <c r="AC2" s="167"/>
      <c r="AD2" s="167"/>
      <c r="AE2" s="167"/>
      <c r="AF2" s="167"/>
      <c r="AG2" s="167"/>
      <c r="AH2" s="167"/>
      <c r="AI2" s="167"/>
      <c r="BB2" s="166" t="s">
        <v>97</v>
      </c>
      <c r="BC2" s="167"/>
      <c r="BD2" s="167"/>
      <c r="BE2" s="167"/>
      <c r="BF2" s="167"/>
      <c r="BG2" s="167"/>
      <c r="BH2" s="167"/>
      <c r="BI2" s="167"/>
      <c r="BJ2" s="167"/>
      <c r="BK2" s="167"/>
      <c r="CB2" s="166" t="s">
        <v>134</v>
      </c>
      <c r="CC2" s="167"/>
      <c r="CD2" s="167"/>
      <c r="CE2" s="167"/>
      <c r="CF2" s="167"/>
      <c r="CG2" s="167"/>
      <c r="CH2" s="167"/>
      <c r="CI2" s="167"/>
      <c r="DB2" s="168" t="s">
        <v>133</v>
      </c>
      <c r="DC2" s="168"/>
      <c r="DD2" s="168"/>
      <c r="DE2" s="168"/>
      <c r="DF2" s="168"/>
      <c r="DG2" s="168"/>
      <c r="DH2" s="169" t="s">
        <v>243</v>
      </c>
      <c r="DI2" s="170"/>
      <c r="DJ2" s="170"/>
      <c r="DK2" s="170"/>
      <c r="DL2" s="171"/>
      <c r="EB2" s="166" t="s">
        <v>0</v>
      </c>
      <c r="EC2" s="167"/>
      <c r="ED2" s="167"/>
      <c r="EE2" s="167"/>
      <c r="EF2" s="167"/>
      <c r="EG2" s="167"/>
      <c r="FB2" s="168" t="s">
        <v>97</v>
      </c>
      <c r="FC2" s="168"/>
      <c r="FD2" s="168"/>
      <c r="FE2" s="168"/>
      <c r="FF2" s="168"/>
      <c r="FG2" s="168"/>
      <c r="FH2" s="168"/>
      <c r="FI2" s="168"/>
    </row>
    <row r="3" spans="2:165" ht="39.950000000000003" customHeight="1" x14ac:dyDescent="0.25">
      <c r="B3" s="46" t="s">
        <v>128</v>
      </c>
      <c r="C3" s="49" t="s">
        <v>27</v>
      </c>
      <c r="D3" s="47" t="s">
        <v>125</v>
      </c>
      <c r="E3" s="47" t="s">
        <v>126</v>
      </c>
      <c r="F3" s="47" t="s">
        <v>127</v>
      </c>
      <c r="G3" s="47" t="s">
        <v>268</v>
      </c>
      <c r="H3" s="47" t="s">
        <v>269</v>
      </c>
      <c r="I3" s="47" t="s">
        <v>270</v>
      </c>
      <c r="J3" s="47" t="s">
        <v>271</v>
      </c>
      <c r="K3" s="48" t="s">
        <v>272</v>
      </c>
      <c r="AB3" s="46" t="s">
        <v>1</v>
      </c>
      <c r="AC3" s="47" t="s">
        <v>93</v>
      </c>
      <c r="AD3" s="47" t="s">
        <v>94</v>
      </c>
      <c r="AE3" s="47" t="s">
        <v>268</v>
      </c>
      <c r="AF3" s="47" t="s">
        <v>269</v>
      </c>
      <c r="AG3" s="47" t="s">
        <v>270</v>
      </c>
      <c r="AH3" s="47" t="s">
        <v>271</v>
      </c>
      <c r="AI3" s="47" t="s">
        <v>272</v>
      </c>
      <c r="BB3" s="54" t="s">
        <v>1</v>
      </c>
      <c r="BC3" s="54" t="s">
        <v>136</v>
      </c>
      <c r="BD3" s="54" t="s">
        <v>137</v>
      </c>
      <c r="BE3" s="55" t="s">
        <v>121</v>
      </c>
      <c r="BF3" s="55" t="s">
        <v>122</v>
      </c>
      <c r="BG3" s="47" t="s">
        <v>268</v>
      </c>
      <c r="BH3" s="47" t="s">
        <v>269</v>
      </c>
      <c r="BI3" s="47" t="s">
        <v>270</v>
      </c>
      <c r="BJ3" s="47" t="s">
        <v>271</v>
      </c>
      <c r="BK3" s="47" t="s">
        <v>272</v>
      </c>
      <c r="CB3" s="46" t="s">
        <v>128</v>
      </c>
      <c r="CC3" s="49" t="s">
        <v>27</v>
      </c>
      <c r="CD3" s="47" t="s">
        <v>125</v>
      </c>
      <c r="CE3" s="47" t="s">
        <v>126</v>
      </c>
      <c r="CF3" s="47" t="s">
        <v>127</v>
      </c>
      <c r="CG3" s="47" t="s">
        <v>95</v>
      </c>
      <c r="CH3" s="71" t="s">
        <v>96</v>
      </c>
      <c r="CI3" s="47" t="s">
        <v>272</v>
      </c>
      <c r="CJ3" s="45"/>
      <c r="CK3" s="45"/>
      <c r="CL3" s="45"/>
      <c r="CM3" s="45"/>
      <c r="CN3" s="45"/>
      <c r="CO3" s="45"/>
      <c r="CP3" s="45"/>
      <c r="CQ3" s="45"/>
      <c r="CR3" s="45"/>
      <c r="CS3" s="45"/>
      <c r="CT3" s="45"/>
      <c r="CU3" s="45"/>
      <c r="CV3" s="45"/>
      <c r="CW3" s="45"/>
      <c r="CX3" s="45"/>
      <c r="CY3" s="45"/>
      <c r="CZ3" s="45"/>
      <c r="DA3" s="45"/>
      <c r="DB3" s="71" t="s">
        <v>135</v>
      </c>
      <c r="DC3" s="71" t="s">
        <v>130</v>
      </c>
      <c r="DD3" s="71" t="s">
        <v>247</v>
      </c>
      <c r="DE3" s="71" t="s">
        <v>95</v>
      </c>
      <c r="DF3" s="71" t="s">
        <v>96</v>
      </c>
      <c r="DG3" s="47" t="s">
        <v>272</v>
      </c>
      <c r="DH3" s="70" t="s">
        <v>210</v>
      </c>
      <c r="DI3" s="70" t="s">
        <v>209</v>
      </c>
      <c r="DJ3" s="70" t="s">
        <v>211</v>
      </c>
      <c r="DK3" s="70" t="s">
        <v>212</v>
      </c>
      <c r="DL3" s="70" t="s">
        <v>213</v>
      </c>
      <c r="DM3" s="45"/>
      <c r="DN3" s="45"/>
      <c r="DO3" s="45"/>
      <c r="DP3" s="45"/>
      <c r="DQ3" s="45"/>
      <c r="DR3" s="45"/>
      <c r="DS3" s="45"/>
      <c r="DT3" s="45"/>
      <c r="DU3" s="45"/>
      <c r="DV3" s="45"/>
      <c r="DW3" s="45"/>
      <c r="DX3" s="45"/>
      <c r="DY3" s="45"/>
      <c r="DZ3" s="45"/>
      <c r="EA3" s="45"/>
      <c r="EB3" s="46" t="s">
        <v>1</v>
      </c>
      <c r="EC3" s="47" t="s">
        <v>93</v>
      </c>
      <c r="ED3" s="47" t="s">
        <v>94</v>
      </c>
      <c r="EE3" s="47" t="s">
        <v>95</v>
      </c>
      <c r="EF3" s="71" t="s">
        <v>96</v>
      </c>
      <c r="EG3" s="47" t="s">
        <v>272</v>
      </c>
      <c r="EH3" s="45"/>
      <c r="EI3" s="45"/>
      <c r="EJ3" s="45"/>
      <c r="EK3" s="45"/>
      <c r="EL3" s="45"/>
      <c r="EM3" s="45"/>
      <c r="EN3" s="45"/>
      <c r="EO3" s="45"/>
      <c r="EP3" s="45"/>
      <c r="EQ3" s="45"/>
      <c r="ER3" s="45"/>
      <c r="ES3" s="45"/>
      <c r="ET3" s="45"/>
      <c r="EU3" s="45"/>
      <c r="EV3" s="45"/>
      <c r="EW3" s="45"/>
      <c r="EX3" s="45"/>
      <c r="EY3" s="45"/>
      <c r="EZ3" s="45"/>
      <c r="FA3" s="45"/>
      <c r="FB3" s="54" t="s">
        <v>1</v>
      </c>
      <c r="FC3" s="141" t="s">
        <v>136</v>
      </c>
      <c r="FD3" s="54" t="s">
        <v>137</v>
      </c>
      <c r="FE3" s="55" t="s">
        <v>121</v>
      </c>
      <c r="FF3" s="55" t="s">
        <v>122</v>
      </c>
      <c r="FG3" s="55" t="s">
        <v>123</v>
      </c>
      <c r="FH3" s="71" t="s">
        <v>96</v>
      </c>
      <c r="FI3" s="47" t="s">
        <v>272</v>
      </c>
    </row>
    <row r="4" spans="2:165" ht="15" customHeight="1" x14ac:dyDescent="0.25">
      <c r="B4" s="68"/>
      <c r="C4" s="76"/>
      <c r="D4" s="76"/>
      <c r="E4" s="76"/>
      <c r="F4" s="86" t="e">
        <f>MonopoleSections[[#This Row],[Weight Multiplier]]*MonopoleSections[[#This Row],[V]]*D_mp</f>
        <v>#VALUE!</v>
      </c>
      <c r="G4" s="86" t="str">
        <f>IF(OR(TIAGTowerSectionLoads[[#This Row],[Mid Height, hx]]="",h=""),"",1.89*(MIN(TIAGTowerSectionLoads[[#This Row],[Mid Height, hx]],h)/h)^2)</f>
        <v/>
      </c>
      <c r="H4" s="86" t="str">
        <f>IF(OR(TIAGTowerSectionLoads[[#This Row],[Mid Height, hx]]="",h=""),"",26.4*(MIN(TIAGTowerSectionLoads[[#This Row],[Mid Height, hx]],h)/h)^5-44.5*(MIN(TIAGTowerSectionLoads[[#This Row],[Mid Height, hx]],h)/h)^4+27*(MIN(TIAGTowerSectionLoads[[#This Row],[Mid Height, hx]],h)/h)^3-8.14*(MIN(TIAGTowerSectionLoads[[#This Row],[Mid Height, hx]],h)/h)^2+1.22*(MIN(TIAGTowerSectionLoads[[#This Row],[Mid Height, hx]],h)/h))</f>
        <v/>
      </c>
      <c r="I4" s="86" t="str">
        <f>IF(OR(TIAGTowerSectionLoads[[#This Row],[Mid Height, hx]]="",h=""),"",4.48*(MIN(TIAGTowerSectionLoads[[#This Row],[Mid Height, hx]],h)/h)^5-7.16*(MIN(TIAGTowerSectionLoads[[#This Row],[Mid Height, hx]],h)/h)^4+6.41*(MIN(TIAGTowerSectionLoads[[#This Row],[Mid Height, hx]],h)/h)^3-3.23*(MIN(TIAGTowerSectionLoads[[#This Row],[Mid Height, hx]],h)/h)^2+0.64*(MIN(TIAGTowerSectionLoads[[#This Row],[Mid Height, hx]],h)/h))</f>
        <v/>
      </c>
      <c r="J4" s="86" t="str">
        <f>IF(OR(TIAGTowerSectionLoads[[#This Row],[a]]="",TIAGTowerSectionLoads[[#This Row],[b]]="",TIAGTowerSectionLoads[[#This Row],[c]]="",sa="",sds=""),"",((TIAGTowerSectionLoads[[#This Row],[a]]*sa^2)+(TIAGTowerSectionLoads[[#This Row],[b]]*sds^2))/SQRT(sa^2+(TIAGTowerSectionLoads[[#This Row],[c]]*sds^2)))</f>
        <v/>
      </c>
      <c r="K4" s="87" t="e">
        <f>IF(OR(TIAGTowerSectionLoads[[#This Row],[Saz]]="",TIAGTowerSectionLoads[[#This Row],[Section Weight, wx]]="",ie="",re=""),"",As*TIAGTowerSectionLoads[[#This Row],[Saz]]*TIAGTowerSectionLoads[[#This Row],[Section Weight, wx]]*ie/re)</f>
        <v>#VALUE!</v>
      </c>
      <c r="AB4" s="40"/>
      <c r="AC4" s="89"/>
      <c r="AD4" s="90"/>
      <c r="AE4" s="86" t="str">
        <f>IF(OR(TIAGDiscreteLoads[[#This Row],[hx]]="",h=""),"",1.89*(MIN(TIAGDiscreteLoads[[#This Row],[hx]],h)/h)^2)</f>
        <v/>
      </c>
      <c r="AF4" s="86" t="str">
        <f>IF(OR(TIAGDiscreteLoads[[#This Row],[hx]]="",h=""),"",26.4*(MIN(TIAGDiscreteLoads[[#This Row],[hx]],h)/h)^5-44.5*(MIN(TIAGDiscreteLoads[[#This Row],[hx]],h)/h)^4+27*(MIN(TIAGDiscreteLoads[[#This Row],[hx]],h)/h)^3-8.14*(MIN(TIAGDiscreteLoads[[#This Row],[hx]],h)/h)^2+1.22*(MIN(TIAGDiscreteLoads[[#This Row],[hx]],h)/h))</f>
        <v/>
      </c>
      <c r="AG4" s="86" t="str">
        <f>IF(OR(TIAGDiscreteLoads[[#This Row],[hx]]="",h=""),"",4.48*(MIN(TIAGDiscreteLoads[[#This Row],[hx]],h)/h)^5-7.16*(MIN(TIAGDiscreteLoads[[#This Row],[hx]],h)/h)^4+6.41*(MIN(TIAGDiscreteLoads[[#This Row],[hx]],h)/h)^3-3.23*(MIN(TIAGDiscreteLoads[[#This Row],[hx]],h)/h)^2+0.64*(MIN(TIAGDiscreteLoads[[#This Row],[hx]],h)/h))</f>
        <v/>
      </c>
      <c r="AH4" s="86" t="str">
        <f>IF(OR(TIAGDiscreteLoads[[#This Row],[a]]="",TIAGDiscreteLoads[[#This Row],[b]]="",TIAGDiscreteLoads[[#This Row],[c]]="",sa="",sds=""),"",((TIAGDiscreteLoads[[#This Row],[a]]*sa^2)+(TIAGDiscreteLoads[[#This Row],[b]]*sds^2))/SQRT(sa^2+(TIAGDiscreteLoads[[#This Row],[c]]*sds^2)))</f>
        <v/>
      </c>
      <c r="AI4" s="87" t="str">
        <f>IF(OR(TIAGDiscreteLoads[[#This Row],[Saz]]="",TIAGDiscreteLoads[[#This Row],[wx]]="",ie="",re=""),"",As*TIAGDiscreteLoads[[#This Row],[Saz]]*TIAGDiscreteLoads[[#This Row],[wx]]*ie/re)</f>
        <v/>
      </c>
      <c r="BB4" s="61"/>
      <c r="BC4" s="83"/>
      <c r="BD4" s="83"/>
      <c r="BE4" s="84"/>
      <c r="BF4" s="85"/>
      <c r="BG4" s="84" t="str">
        <f>IF(OR(TIAGLinearLoads[[#This Row],[hx]]="",h=""),"",1.89*(MIN(TIAGLinearLoads[[#This Row],[hx]],h)/h)^2)</f>
        <v/>
      </c>
      <c r="BH4" s="86" t="str">
        <f>IF(OR(TIAGLinearLoads[[#This Row],[hx]]="",h=""),"",26.4*(MIN(TIAGLinearLoads[[#This Row],[hx]],h)/h)^5-44.5*(MIN(TIAGLinearLoads[[#This Row],[hx]],h)/h)^4+27*(MIN(TIAGLinearLoads[[#This Row],[hx]],h)/h)^3-8.14*(MIN(TIAGLinearLoads[[#This Row],[hx]],h)/h)^2+1.22*(MIN(TIAGLinearLoads[[#This Row],[hx]],h)/h))</f>
        <v/>
      </c>
      <c r="BI4" s="86" t="str">
        <f>IF(OR(TIAGLinearLoads[[#This Row],[hx]]="",h=""),"",4.48*(MIN(TIAGLinearLoads[[#This Row],[hx]],h)/h)^5-7.16*(MIN(TIAGLinearLoads[[#This Row],[hx]],h)/h)^4+6.41*(MIN(TIAGLinearLoads[[#This Row],[hx]],h)/h)^3-3.23*(MIN(TIAGLinearLoads[[#This Row],[hx]],h)/h)^2+0.64*(MIN(TIAGLinearLoads[[#This Row],[hx]],h)/h))</f>
        <v/>
      </c>
      <c r="BJ4" s="87" t="str">
        <f>IF(OR(TIAGLinearLoads[[#This Row],[a]]="",TIAGLinearLoads[[#This Row],[b]]="",TIAGLinearLoads[[#This Row],[c]]="",sa="",sds=""),"",((TIAGLinearLoads[[#This Row],[a]]*sa^2)+(TIAGLinearLoads[[#This Row],[b]]*sds^2))/SQRT(sa^2+(TIAGLinearLoads[[#This Row],[c]]*sds^2)))</f>
        <v/>
      </c>
      <c r="BK4" s="88" t="str">
        <f>IF(OR(TIAGLinearLoads[[#This Row],[Saz]]="",TIAGLinearLoads[[#This Row],[wx]]="",ie="",re=""),"",As*TIAGLinearLoads[[#This Row],[Saz]]*TIAGLinearLoads[[#This Row],[wx]]*ie/re)</f>
        <v/>
      </c>
      <c r="CB4" s="68"/>
      <c r="CC4" s="76"/>
      <c r="CD4" s="76"/>
      <c r="CE4" s="76"/>
      <c r="CF4" s="86"/>
      <c r="CG4" s="76" t="str">
        <f>IF(OR(TIAGGTTowerSectionLoads[[#This Row],[Section Weight, wx]]="",TIAGGTTowerSectionLoads[[#This Row],[Mid Height, hx]]=""),"",TIAGGTTowerSectionLoads[[#This Row],[Section Weight, wx]]*TIAGGTTowerSectionLoads[[#This Row],[Mid Height, hx]]^k)</f>
        <v/>
      </c>
      <c r="CH4" s="86" t="str">
        <f>IF(OR(TIAGGTTowerSectionLoads[[#This Row],[wxhxk]]="",sumwxhxk=""),"",TIAGGTTowerSectionLoads[[#This Row],[wxhxk]]/sumwxhxk)</f>
        <v/>
      </c>
      <c r="CI4" s="87" t="str">
        <f>IF(OR(TIAGGTTowerSectionLoads[[#This Row],[Cvx]]="",V=""),"",As*TIAGGTTowerSectionLoads[[#This Row],[Cvx]]*V)</f>
        <v/>
      </c>
      <c r="DB4" s="76"/>
      <c r="DC4" s="86"/>
      <c r="DD4" s="86" t="str">
        <f>IF(TIAGGTGuyLoads[Total Guy Weight]="","",TIAGGTGuyLoads[Total Guy Weight]/2)</f>
        <v/>
      </c>
      <c r="DE4" s="76" t="str">
        <f>IF(OR(TIAGGTGuyLoads[[#This Row],[Guy Attachment Elevation, hx]]="",TIAGGTGuyLoads[[#This Row],[Effective Guy Weight, wx]]=""),"",TIAGGTGuyLoads[[#This Row],[Effective Guy Weight, wx]]*TIAGGTGuyLoads[[#This Row],[Guy Attachment Elevation, hx]]^k)</f>
        <v/>
      </c>
      <c r="DF4" s="86" t="str">
        <f>IF(OR(TIAGGTGuyLoads[[#This Row],[wxhxk]]="",sumwxhxk=""),"",TIAGGTGuyLoads[[#This Row],[wxhxk]]/sumwxhxk)</f>
        <v/>
      </c>
      <c r="DG4" s="87" t="str">
        <f>IF(OR(TIAGGTGuyLoads[[#This Row],[Cvx]]="",V=""),"",As*TIAGGTGuyLoads[[#This Row],[Cvx]]*V)</f>
        <v/>
      </c>
      <c r="DH4" s="50"/>
      <c r="DI4" s="50"/>
      <c r="DJ4" s="50"/>
      <c r="DK4" s="50"/>
      <c r="DL4" s="50" t="str">
        <f>IF(OR(TIAGGTGuyLoads[[#This Row],[Ni]]="",TIAGGTGuyLoads[[#This Row],[Agi]]="",TIAGGTGuyLoads[[#This Row],[Gri]]="",TIAGGTGuyLoads[[#This Row],[Guy Attachment Elevation, hx]]="",TIAGGTGuyLoads[[#This Row],[Lgi]]="",h=""),"",(TIAGGTGuyLoads[[#This Row],[Ni]]*TIAGGTGuyLoads[[#This Row],[Agi]]*TIAGGTGuyLoads[[#This Row],[Gri]]*TIAGGTGuyLoads[[#This Row],[Guy Attachment Elevation, hx]])/(h*TIAGGTGuyLoads[[#This Row],[Lgi]]^2))</f>
        <v/>
      </c>
      <c r="EB4" s="40"/>
      <c r="EC4" s="89"/>
      <c r="ED4" s="90"/>
      <c r="EE4" s="89" t="str">
        <f>IF(OR(TIAGGTDiscreteLoads[wx]="",TIAGGTDiscreteLoads[hx]=""),"",TIAGGTDiscreteLoads[wx]*TIAGGTDiscreteLoads[hx]^k)</f>
        <v/>
      </c>
      <c r="EF4" s="86" t="str">
        <f>IF(OR(TIAGGTDiscreteLoads[[#This Row],[wxhxk]]="",sumwxhxk=""),"",TIAGGTDiscreteLoads[[#This Row],[wxhxk]]/sumwxhxk)</f>
        <v/>
      </c>
      <c r="EG4" s="91" t="str">
        <f>IF(OR(TIAGGTDiscreteLoads[[#This Row],[Cvx]]="",V=""),"",As*TIAGGTDiscreteLoads[[#This Row],[Cvx]]*V)</f>
        <v/>
      </c>
      <c r="FB4" s="61"/>
      <c r="FC4" s="140"/>
      <c r="FD4" s="83"/>
      <c r="FE4" s="84"/>
      <c r="FF4" s="85"/>
      <c r="FG4" s="84" t="str">
        <f>IF(OR(TIAGGTLinearLoads[wx]="",TIAGGTLinearLoads[hx]=""),"",TIAGGTLinearLoads[wx]*TIAGGTLinearLoads[hx]^k)</f>
        <v/>
      </c>
      <c r="FH4" s="86" t="str">
        <f>IF(OR(TIAGGTLinearLoads[[#This Row],[wxhxk]]="",sumwxhxk=""),"",TIAGGTLinearLoads[[#This Row],[wxhxk]]/sumwxhxk)</f>
        <v/>
      </c>
      <c r="FI4" s="87" t="str">
        <f>IF(OR(TIAGGTLinearLoads[[#This Row],[Cvx]]="",V=""),"",As*TIAGGTLinearLoads[[#This Row],[Cvx]]*V)</f>
        <v/>
      </c>
    </row>
    <row r="5" spans="2:165" x14ac:dyDescent="0.25">
      <c r="E5" s="1" t="s">
        <v>120</v>
      </c>
      <c r="F5" s="94" t="e">
        <f>SUM(TIAGTowerSectionLoads[Section Weight, wx])</f>
        <v>#VALUE!</v>
      </c>
      <c r="AC5" s="1" t="s">
        <v>120</v>
      </c>
      <c r="AD5" s="58">
        <f>SUM(TIAGDiscreteLoads[wx])</f>
        <v>0</v>
      </c>
      <c r="BB5" s="43"/>
      <c r="BC5" s="43"/>
      <c r="BD5" s="43"/>
      <c r="BE5" s="44" t="s">
        <v>120</v>
      </c>
      <c r="BF5" s="92">
        <f>SUM(TIAGLinearLoads[wx])</f>
        <v>0</v>
      </c>
      <c r="BH5" s="43"/>
      <c r="BI5" s="43"/>
      <c r="BJ5" s="43"/>
      <c r="CE5" s="1" t="s">
        <v>120</v>
      </c>
      <c r="CF5" s="94">
        <f>SUM(TIAGGTTowerSectionLoads[Section Weight, wx])</f>
        <v>0</v>
      </c>
      <c r="CG5" s="95">
        <f>SUM(TIAGGTTowerSectionLoads[wxhxk])</f>
        <v>0</v>
      </c>
      <c r="DB5" s="1" t="s">
        <v>120</v>
      </c>
      <c r="DC5" s="94">
        <f>SUM(TIAGGTGuyLoads[Total Guy Weight])</f>
        <v>0</v>
      </c>
      <c r="DD5" s="94">
        <f>SUM(TIAGGTGuyLoads[Effective Guy Weight, wx])</f>
        <v>0</v>
      </c>
      <c r="DE5" s="95">
        <f>SUM(TIAGGTGuyLoads[wxhxk])</f>
        <v>0</v>
      </c>
      <c r="DL5" s="56">
        <f>SUM(TIAGGTGuyLoads[Kg])</f>
        <v>0</v>
      </c>
      <c r="EC5" s="1" t="s">
        <v>120</v>
      </c>
      <c r="ED5" s="58">
        <f>SUM(TIAGGTDiscreteLoads[wx])</f>
        <v>0</v>
      </c>
      <c r="EE5" s="96">
        <f>SUM(TIAGGTDiscreteLoads[wxhxk])</f>
        <v>0</v>
      </c>
      <c r="FB5" s="43"/>
      <c r="FC5" s="43"/>
      <c r="FD5" s="43"/>
      <c r="FE5" s="44" t="s">
        <v>120</v>
      </c>
      <c r="FF5" s="92">
        <f>SUM(TIAGGTLinearLoads[wx])</f>
        <v>0</v>
      </c>
      <c r="FG5" s="93">
        <f>SUM(TIAGGTLinearLoads[wxhxk])</f>
        <v>0</v>
      </c>
      <c r="FH5" s="43"/>
      <c r="FI5" s="43"/>
    </row>
  </sheetData>
  <sheetProtection sheet="1" objects="1" scenarios="1"/>
  <mergeCells count="8">
    <mergeCell ref="DH2:DL2"/>
    <mergeCell ref="EB2:EG2"/>
    <mergeCell ref="FB2:FI2"/>
    <mergeCell ref="B2:K2"/>
    <mergeCell ref="AB2:AI2"/>
    <mergeCell ref="BB2:BK2"/>
    <mergeCell ref="CB2:CI2"/>
    <mergeCell ref="DB2:DG2"/>
  </mergeCells>
  <pageMargins left="0.7" right="0.7" top="0.75" bottom="0.75" header="0.3" footer="0.3"/>
  <pageSetup orientation="portrait" horizontalDpi="1200" verticalDpi="1200" r:id="rId1"/>
  <tableParts count="7">
    <tablePart r:id="rId2"/>
    <tablePart r:id="rId3"/>
    <tablePart r:id="rId4"/>
    <tablePart r:id="rId5"/>
    <tablePart r:id="rId6"/>
    <tablePart r:id="rId7"/>
    <tablePart r:id="rId8"/>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DA5"/>
  <sheetViews>
    <sheetView zoomScaleNormal="100" workbookViewId="0">
      <selection activeCell="I8" sqref="I8"/>
    </sheetView>
  </sheetViews>
  <sheetFormatPr defaultColWidth="0" defaultRowHeight="15" x14ac:dyDescent="0.25"/>
  <cols>
    <col min="1" max="1" width="6.7109375" customWidth="1"/>
    <col min="2" max="10" width="12.7109375" customWidth="1"/>
    <col min="11" max="26" width="9.140625" hidden="1" customWidth="1"/>
    <col min="27" max="27" width="6.7109375" hidden="1" customWidth="1"/>
    <col min="28" max="28" width="15.7109375" hidden="1" customWidth="1"/>
    <col min="29" max="34" width="12.7109375" hidden="1" customWidth="1"/>
    <col min="35" max="39" width="9.7109375" hidden="1" customWidth="1"/>
    <col min="40" max="40" width="6.7109375" hidden="1" customWidth="1"/>
    <col min="41" max="52" width="9.140625" hidden="1" customWidth="1"/>
    <col min="53" max="53" width="6.7109375" customWidth="1"/>
    <col min="54" max="54" width="60.7109375" customWidth="1"/>
    <col min="55" max="60" width="12.7109375" customWidth="1"/>
    <col min="61" max="78" width="9.140625" hidden="1" customWidth="1"/>
    <col min="79" max="79" width="6.7109375" customWidth="1"/>
    <col min="80" max="80" width="60.7109375" customWidth="1"/>
    <col min="81" max="88" width="12.7109375" customWidth="1"/>
    <col min="89" max="89" width="6.7109375" customWidth="1"/>
    <col min="90" max="105" width="0" hidden="1" customWidth="1"/>
    <col min="106" max="16384" width="9.140625" hidden="1"/>
  </cols>
  <sheetData>
    <row r="1" spans="2:88" ht="15" customHeight="1" x14ac:dyDescent="0.25"/>
    <row r="2" spans="2:88" ht="20.100000000000001" customHeight="1" x14ac:dyDescent="0.25">
      <c r="B2" s="166" t="s">
        <v>134</v>
      </c>
      <c r="C2" s="167"/>
      <c r="D2" s="167"/>
      <c r="E2" s="167"/>
      <c r="F2" s="167"/>
      <c r="G2" s="167"/>
      <c r="H2" s="167"/>
      <c r="I2" s="167"/>
      <c r="J2" s="167"/>
      <c r="AB2" s="168" t="s">
        <v>133</v>
      </c>
      <c r="AC2" s="168"/>
      <c r="AD2" s="168"/>
      <c r="AE2" s="168"/>
      <c r="AF2" s="168"/>
      <c r="AG2" s="168"/>
      <c r="AH2" s="168"/>
      <c r="AI2" s="169" t="s">
        <v>243</v>
      </c>
      <c r="AJ2" s="170"/>
      <c r="AK2" s="170"/>
      <c r="AL2" s="170"/>
      <c r="AM2" s="171"/>
      <c r="BB2" s="166" t="s">
        <v>0</v>
      </c>
      <c r="BC2" s="167"/>
      <c r="BD2" s="167"/>
      <c r="BE2" s="167"/>
      <c r="BF2" s="167"/>
      <c r="BG2" s="167"/>
      <c r="BH2" s="167"/>
      <c r="CB2" s="166" t="s">
        <v>97</v>
      </c>
      <c r="CC2" s="167"/>
      <c r="CD2" s="167"/>
      <c r="CE2" s="167"/>
      <c r="CF2" s="167"/>
      <c r="CG2" s="167"/>
      <c r="CH2" s="167"/>
      <c r="CI2" s="167"/>
      <c r="CJ2" s="167"/>
    </row>
    <row r="3" spans="2:88" s="45" customFormat="1" ht="39.950000000000003" customHeight="1" x14ac:dyDescent="0.25">
      <c r="B3" s="46" t="s">
        <v>128</v>
      </c>
      <c r="C3" s="49" t="s">
        <v>27</v>
      </c>
      <c r="D3" s="47" t="s">
        <v>125</v>
      </c>
      <c r="E3" s="47" t="s">
        <v>126</v>
      </c>
      <c r="F3" s="47" t="s">
        <v>127</v>
      </c>
      <c r="G3" s="47" t="s">
        <v>95</v>
      </c>
      <c r="H3" s="47" t="s">
        <v>96</v>
      </c>
      <c r="I3" s="48" t="s">
        <v>188</v>
      </c>
      <c r="J3" s="70" t="s">
        <v>189</v>
      </c>
      <c r="AB3" s="71" t="s">
        <v>135</v>
      </c>
      <c r="AC3" s="71" t="s">
        <v>130</v>
      </c>
      <c r="AD3" s="71" t="s">
        <v>247</v>
      </c>
      <c r="AE3" s="71" t="s">
        <v>95</v>
      </c>
      <c r="AF3" s="71" t="s">
        <v>96</v>
      </c>
      <c r="AG3" s="72" t="s">
        <v>188</v>
      </c>
      <c r="AH3" s="71" t="s">
        <v>189</v>
      </c>
      <c r="AI3" s="70" t="s">
        <v>210</v>
      </c>
      <c r="AJ3" s="70" t="s">
        <v>209</v>
      </c>
      <c r="AK3" s="70" t="s">
        <v>211</v>
      </c>
      <c r="AL3" s="70" t="s">
        <v>212</v>
      </c>
      <c r="AM3" s="70" t="s">
        <v>213</v>
      </c>
      <c r="BB3" s="46" t="s">
        <v>1</v>
      </c>
      <c r="BC3" s="47" t="s">
        <v>93</v>
      </c>
      <c r="BD3" s="47" t="s">
        <v>94</v>
      </c>
      <c r="BE3" s="47" t="s">
        <v>95</v>
      </c>
      <c r="BF3" s="47" t="s">
        <v>96</v>
      </c>
      <c r="BG3" s="48" t="s">
        <v>188</v>
      </c>
      <c r="BH3" s="47" t="s">
        <v>189</v>
      </c>
      <c r="CB3" s="73" t="s">
        <v>1</v>
      </c>
      <c r="CC3" s="54" t="s">
        <v>136</v>
      </c>
      <c r="CD3" s="54" t="s">
        <v>137</v>
      </c>
      <c r="CE3" s="55" t="s">
        <v>121</v>
      </c>
      <c r="CF3" s="55" t="s">
        <v>122</v>
      </c>
      <c r="CG3" s="55" t="s">
        <v>123</v>
      </c>
      <c r="CH3" s="55" t="s">
        <v>124</v>
      </c>
      <c r="CI3" s="73" t="s">
        <v>191</v>
      </c>
      <c r="CJ3" s="73" t="s">
        <v>190</v>
      </c>
    </row>
    <row r="4" spans="2:88" ht="15" customHeight="1" x14ac:dyDescent="0.25">
      <c r="B4" s="68"/>
      <c r="C4" s="76"/>
      <c r="D4" s="76"/>
      <c r="E4" s="76"/>
      <c r="F4" s="86"/>
      <c r="G4" s="76" t="str">
        <f>IF(OR(TIAHTowerSectionLoads[[#This Row],[Section Weight, wx]]="",TIAHTowerSectionLoads[[#This Row],[Mid Height, hx]]=""),"",TIAHTowerSectionLoads[[#This Row],[Section Weight, wx]]*TIAHTowerSectionLoads[[#This Row],[Mid Height, hx]]^k)</f>
        <v/>
      </c>
      <c r="H4" s="86" t="str">
        <f>IF(OR(TIAHTowerSectionLoads[[#This Row],[wxhxk]]="",sumwxhxk=""),"",TIAHTowerSectionLoads[[#This Row],[wxhxk]]/sumwxhxk)</f>
        <v/>
      </c>
      <c r="I4" s="87" t="str">
        <f>IF(OR(TIAHTowerSectionLoads[[#This Row],[Cvx]]="",V=""),"",As*TIAHTowerSectionLoads[[#This Row],[Cvx]]*V)</f>
        <v/>
      </c>
      <c r="J4" s="86" t="str">
        <f>IF(TIAHTowerSectionLoads[[#This Row],[Section Weight, wx]]="","",As*0.2*sds*TIAHTowerSectionLoads[[#This Row],[Section Weight, wx]])</f>
        <v/>
      </c>
      <c r="AB4" s="76"/>
      <c r="AC4" s="86"/>
      <c r="AD4" s="86" t="str">
        <f>IF(TIAHGuyLoads[Total Guy Weight]="","",TIAHGuyLoads[Total Guy Weight]/2)</f>
        <v/>
      </c>
      <c r="AE4" s="76" t="str">
        <f>IF(OR(TIAHGuyLoads[Guy Attachment Elevation, hx]="",TIAHGuyLoads[Effective Guy Weight, wx]=""),"",TIAHGuyLoads[Effective Guy Weight, wx]*TIAHGuyLoads[Guy Attachment Elevation, hx]^k)</f>
        <v/>
      </c>
      <c r="AF4" s="86" t="str">
        <f>IF(OR(TIAHGuyLoads[[#This Row],[wxhxk]]="",sumwxhxk=""),"",TIAHGuyLoads[[#This Row],[wxhxk]]/sumwxhxk)</f>
        <v/>
      </c>
      <c r="AG4" s="87" t="str">
        <f>IF(OR(TIAHGuyLoads[[#This Row],[Cvx]]="",V=""),"",As*TIAHGuyLoads[[#This Row],[Cvx]]*V)</f>
        <v/>
      </c>
      <c r="AH4" s="87" t="str">
        <f>IF(OR(sds="",TIAHGuyLoads[Effective Guy Weight, wx]=""),"",As*0.2*sds*TIAHGuyLoads[Effective Guy Weight, wx])</f>
        <v/>
      </c>
      <c r="AI4" s="50"/>
      <c r="AJ4" s="50"/>
      <c r="AK4" s="50"/>
      <c r="AL4" s="50"/>
      <c r="AM4" s="50" t="str">
        <f>IF(OR(TIAHGuyLoads[[#This Row],[Ni]]="",TIAHGuyLoads[[#This Row],[Agi]]="",TIAHGuyLoads[[#This Row],[Gri]]="",TIAHGuyLoads[[#This Row],[Guy Attachment Elevation, hx]]="",TIAHGuyLoads[[#This Row],[Lgi]]="",h=""),"",(TIAHGuyLoads[[#This Row],[Ni]]*TIAHGuyLoads[[#This Row],[Agi]]*TIAHGuyLoads[[#This Row],[Gri]]*TIAHGuyLoads[[#This Row],[Guy Attachment Elevation, hx]])/(h*TIAHGuyLoads[[#This Row],[Lgi]]^2))</f>
        <v/>
      </c>
      <c r="BB4" s="40"/>
      <c r="BC4" s="89"/>
      <c r="BD4" s="90"/>
      <c r="BE4" s="89" t="str">
        <f>IF(OR(TIAHDiscreteLoads[[#This Row],[wx]]="",TIAHDiscreteLoads[[#This Row],[hx]]=""),"",TIAHDiscreteLoads[[#This Row],[wx]]*TIAHDiscreteLoads[[#This Row],[hx]]^k)</f>
        <v/>
      </c>
      <c r="BF4" s="86" t="str">
        <f>IF(OR(TIAHDiscreteLoads[[#This Row],[wxhxk]]="",sumwxhxk=""),"",TIAHDiscreteLoads[[#This Row],[wxhxk]]/sumwxhxk)</f>
        <v/>
      </c>
      <c r="BG4" s="91" t="str">
        <f>IF(OR(TIAHDiscreteLoads[[#This Row],[Cvx]]="",V=""),"",As*TIAHDiscreteLoads[[#This Row],[Cvx]]*V)</f>
        <v/>
      </c>
      <c r="BH4" s="87" t="str">
        <f>IF(OR(sds="",TIAHDiscreteLoads[[#This Row],[wx]]=""),"",As*0.2*sds*TIAHDiscreteLoads[[#This Row],[wx]])</f>
        <v/>
      </c>
      <c r="CB4" s="61"/>
      <c r="CC4" s="83"/>
      <c r="CD4" s="83"/>
      <c r="CE4" s="84"/>
      <c r="CF4" s="85"/>
      <c r="CG4" s="84" t="str">
        <f>IF(OR(TIAHLinearLoads[[#This Row],[wx]]="",TIAHLinearLoads[[#This Row],[hx]]=""),"",TIAHLinearLoads[[#This Row],[wx]]*TIAHLinearLoads[[#This Row],[hx]]^k)</f>
        <v/>
      </c>
      <c r="CH4" s="86" t="str">
        <f>IF(OR(TIAHLinearLoads[[#This Row],[wxhxk]]="",sumwxhxk=""),"",TIAHLinearLoads[[#This Row],[wxhxk]]/sumwxhxk)</f>
        <v/>
      </c>
      <c r="CI4" s="87" t="str">
        <f>IF(OR(TIAHLinearLoads[[#This Row],[Cvx]]="",V=""),"",As*TIAHLinearLoads[[#This Row],[Cvx]]*V)</f>
        <v/>
      </c>
      <c r="CJ4" s="88" t="str">
        <f>IF(OR(sds="",TIAHLinearLoads[[#This Row],[wx]]=""),"",As*0.2*sds*TIAHLinearLoads[[#This Row],[wx]])</f>
        <v/>
      </c>
    </row>
    <row r="5" spans="2:88" x14ac:dyDescent="0.25">
      <c r="E5" s="1" t="s">
        <v>120</v>
      </c>
      <c r="F5" s="94">
        <f>SUM(TIAHTowerSectionLoads[Section Weight, wx])</f>
        <v>0</v>
      </c>
      <c r="G5" s="95">
        <f>SUM(TIAHTowerSectionLoads[wxhxk])</f>
        <v>0</v>
      </c>
      <c r="AB5" s="1" t="s">
        <v>120</v>
      </c>
      <c r="AC5" s="94">
        <f>SUM(TIAHGuyLoads[Total Guy Weight])</f>
        <v>0</v>
      </c>
      <c r="AD5" s="94">
        <f>SUM(TIAHGuyLoads[Effective Guy Weight, wx])</f>
        <v>0</v>
      </c>
      <c r="AE5" s="95">
        <f>SUM(TIAHGuyLoads[wxhxk])</f>
        <v>0</v>
      </c>
      <c r="AM5" s="56">
        <f>SUM(TIAHGuyLoads[Kg])</f>
        <v>0</v>
      </c>
      <c r="BC5" s="1" t="s">
        <v>120</v>
      </c>
      <c r="BD5" s="58">
        <f>SUM(TIAHDiscreteLoads[wx])</f>
        <v>0</v>
      </c>
      <c r="BE5" s="96">
        <f>SUM(TIAHDiscreteLoads[wxhxk])</f>
        <v>0</v>
      </c>
      <c r="CB5" s="43"/>
      <c r="CC5" s="43"/>
      <c r="CD5" s="43"/>
      <c r="CE5" s="44" t="s">
        <v>120</v>
      </c>
      <c r="CF5" s="92">
        <f>SUM(TIAHLinearLoads[wx])</f>
        <v>0</v>
      </c>
      <c r="CG5" s="93">
        <f>SUM(TIAHLinearLoads[wxhxk])</f>
        <v>0</v>
      </c>
      <c r="CH5" s="43"/>
      <c r="CI5" s="43"/>
    </row>
  </sheetData>
  <sheetProtection sheet="1" objects="1" scenarios="1"/>
  <mergeCells count="5">
    <mergeCell ref="CB2:CJ2"/>
    <mergeCell ref="AI2:AM2"/>
    <mergeCell ref="B2:J2"/>
    <mergeCell ref="AB2:AH2"/>
    <mergeCell ref="BB2:BH2"/>
  </mergeCells>
  <pageMargins left="0.7" right="0.7" top="0.75" bottom="0.75" header="0.3" footer="0.3"/>
  <pageSetup scale="55" fitToHeight="0" orientation="portrait" r:id="rId1"/>
  <headerFooter scaleWithDoc="0">
    <oddFooter>&amp;LCCISeismic 3.3.9&amp;CPage &amp;P&amp;RAnalysis Date: &amp;D</oddFooter>
  </headerFooter>
  <tableParts count="4">
    <tablePart r:id="rId2"/>
    <tablePart r:id="rId3"/>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V52"/>
  <sheetViews>
    <sheetView topLeftCell="A9" workbookViewId="0">
      <selection activeCell="A8" sqref="A1:XFD8"/>
    </sheetView>
  </sheetViews>
  <sheetFormatPr defaultRowHeight="15" x14ac:dyDescent="0.25"/>
  <cols>
    <col min="1" max="1" width="4.28515625" customWidth="1"/>
    <col min="2" max="9" width="9.7109375" customWidth="1"/>
    <col min="10" max="10" width="15.7109375" customWidth="1"/>
    <col min="11" max="12" width="9.7109375" customWidth="1"/>
    <col min="13" max="13" width="15.7109375" customWidth="1"/>
    <col min="14" max="22" width="9.7109375" customWidth="1"/>
    <col min="23" max="23" width="9.5703125" bestFit="1" customWidth="1"/>
  </cols>
  <sheetData>
    <row r="1" spans="2:21" hidden="1" x14ac:dyDescent="0.25">
      <c r="B1" s="3" t="s">
        <v>38</v>
      </c>
      <c r="C1" s="2" t="s">
        <v>15</v>
      </c>
      <c r="D1" s="2" t="s">
        <v>20</v>
      </c>
      <c r="E1" s="2" t="s">
        <v>15</v>
      </c>
      <c r="F1" s="2" t="s">
        <v>20</v>
      </c>
      <c r="G1" t="s">
        <v>32</v>
      </c>
      <c r="H1" s="3" t="s">
        <v>12</v>
      </c>
      <c r="J1" t="s">
        <v>41</v>
      </c>
      <c r="K1" t="s">
        <v>38</v>
      </c>
      <c r="M1" t="s">
        <v>38</v>
      </c>
      <c r="O1" s="1" t="s">
        <v>253</v>
      </c>
      <c r="P1" s="150"/>
    </row>
    <row r="2" spans="2:21" hidden="1" x14ac:dyDescent="0.25">
      <c r="B2" s="3" t="s">
        <v>36</v>
      </c>
      <c r="C2" s="2" t="s">
        <v>8</v>
      </c>
      <c r="D2" s="2" t="s">
        <v>21</v>
      </c>
      <c r="E2" s="2" t="s">
        <v>8</v>
      </c>
      <c r="F2" s="2" t="s">
        <v>21</v>
      </c>
      <c r="G2" t="s">
        <v>33</v>
      </c>
      <c r="H2" s="3" t="s">
        <v>13</v>
      </c>
      <c r="J2" t="s">
        <v>42</v>
      </c>
      <c r="K2" t="s">
        <v>38</v>
      </c>
      <c r="L2" t="s">
        <v>29</v>
      </c>
      <c r="M2" t="s">
        <v>29</v>
      </c>
      <c r="O2" s="1" t="s">
        <v>92</v>
      </c>
    </row>
    <row r="3" spans="2:21" hidden="1" x14ac:dyDescent="0.25">
      <c r="B3" s="3" t="s">
        <v>29</v>
      </c>
      <c r="C3" s="2" t="s">
        <v>16</v>
      </c>
      <c r="D3" s="2" t="s">
        <v>22</v>
      </c>
      <c r="E3" s="2" t="s">
        <v>16</v>
      </c>
      <c r="F3" s="2" t="s">
        <v>22</v>
      </c>
      <c r="H3" s="3" t="s">
        <v>11</v>
      </c>
      <c r="J3" t="s">
        <v>43</v>
      </c>
      <c r="K3" s="74" t="s">
        <v>36</v>
      </c>
      <c r="L3" t="s">
        <v>29</v>
      </c>
      <c r="M3" t="s">
        <v>36</v>
      </c>
      <c r="O3" s="1" t="s">
        <v>240</v>
      </c>
      <c r="P3" s="150"/>
    </row>
    <row r="4" spans="2:21" hidden="1" x14ac:dyDescent="0.25">
      <c r="B4" s="3" t="s">
        <v>37</v>
      </c>
      <c r="C4" s="2" t="s">
        <v>17</v>
      </c>
      <c r="D4" s="2" t="s">
        <v>23</v>
      </c>
      <c r="E4" s="2" t="s">
        <v>197</v>
      </c>
      <c r="F4" s="2" t="s">
        <v>215</v>
      </c>
      <c r="H4" s="3" t="s">
        <v>14</v>
      </c>
      <c r="J4" t="s">
        <v>44</v>
      </c>
      <c r="K4" s="74" t="s">
        <v>36</v>
      </c>
      <c r="L4" t="s">
        <v>29</v>
      </c>
      <c r="M4" t="s">
        <v>37</v>
      </c>
      <c r="P4" s="150"/>
    </row>
    <row r="5" spans="2:21" hidden="1" x14ac:dyDescent="0.25">
      <c r="B5" s="3"/>
      <c r="C5" s="2" t="s">
        <v>18</v>
      </c>
      <c r="D5" s="2" t="s">
        <v>24</v>
      </c>
      <c r="E5" s="2" t="s">
        <v>198</v>
      </c>
      <c r="F5" s="2" t="s">
        <v>216</v>
      </c>
      <c r="J5" t="s">
        <v>45</v>
      </c>
      <c r="K5" t="s">
        <v>39</v>
      </c>
      <c r="L5" s="74" t="s">
        <v>37</v>
      </c>
      <c r="M5" t="s">
        <v>296</v>
      </c>
      <c r="O5" s="118"/>
      <c r="P5" s="118"/>
      <c r="Q5" s="118"/>
      <c r="S5" s="158" t="b">
        <v>0</v>
      </c>
      <c r="T5" s="158" t="b">
        <v>1</v>
      </c>
    </row>
    <row r="6" spans="2:21" hidden="1" x14ac:dyDescent="0.25">
      <c r="C6" s="2" t="s">
        <v>19</v>
      </c>
      <c r="D6" s="2" t="s">
        <v>25</v>
      </c>
      <c r="E6" s="2" t="s">
        <v>18</v>
      </c>
      <c r="F6" s="2" t="s">
        <v>24</v>
      </c>
      <c r="O6" s="118"/>
      <c r="P6" s="118"/>
      <c r="Q6" s="118"/>
      <c r="S6" s="158" t="b">
        <v>0</v>
      </c>
    </row>
    <row r="7" spans="2:21" ht="15" hidden="1" customHeight="1" x14ac:dyDescent="0.25">
      <c r="E7" s="2" t="s">
        <v>19</v>
      </c>
      <c r="F7" s="2" t="s">
        <v>25</v>
      </c>
      <c r="P7" s="118"/>
      <c r="S7" s="158" t="b">
        <v>0</v>
      </c>
    </row>
    <row r="8" spans="2:21" hidden="1" x14ac:dyDescent="0.25"/>
    <row r="10" spans="2:21" x14ac:dyDescent="0.25">
      <c r="C10" s="172" t="s">
        <v>35</v>
      </c>
      <c r="D10" s="172"/>
      <c r="E10" s="172"/>
      <c r="F10" s="172"/>
      <c r="K10" s="172" t="s">
        <v>107</v>
      </c>
      <c r="L10" s="172"/>
      <c r="M10" s="172"/>
      <c r="N10" s="172"/>
      <c r="S10" s="1" t="s">
        <v>236</v>
      </c>
      <c r="T10" s="102" t="b">
        <v>1</v>
      </c>
    </row>
    <row r="11" spans="2:21" x14ac:dyDescent="0.25">
      <c r="C11" s="4" t="s">
        <v>38</v>
      </c>
      <c r="D11" s="4" t="s">
        <v>36</v>
      </c>
      <c r="E11" s="4" t="s">
        <v>29</v>
      </c>
      <c r="F11" s="4" t="s">
        <v>37</v>
      </c>
      <c r="K11" s="4" t="s">
        <v>38</v>
      </c>
      <c r="L11" s="4" t="s">
        <v>36</v>
      </c>
      <c r="M11" s="4" t="s">
        <v>29</v>
      </c>
      <c r="N11" s="4" t="s">
        <v>37</v>
      </c>
      <c r="S11" s="1" t="s">
        <v>242</v>
      </c>
      <c r="T11" s="102" t="b">
        <v>0</v>
      </c>
    </row>
    <row r="12" spans="2:21" x14ac:dyDescent="0.25">
      <c r="B12" s="4" t="s">
        <v>12</v>
      </c>
      <c r="C12" s="135">
        <v>1</v>
      </c>
      <c r="D12" s="4">
        <v>1</v>
      </c>
      <c r="E12" s="4" t="s">
        <v>30</v>
      </c>
      <c r="F12" s="4" t="s">
        <v>30</v>
      </c>
      <c r="J12" s="4" t="s">
        <v>108</v>
      </c>
      <c r="K12" s="135">
        <v>1.5</v>
      </c>
      <c r="L12" s="4">
        <v>1.5</v>
      </c>
      <c r="M12" s="4">
        <v>1.5</v>
      </c>
      <c r="N12" s="69">
        <v>1.5</v>
      </c>
      <c r="S12" s="1" t="s">
        <v>304</v>
      </c>
      <c r="T12" s="102" t="b">
        <v>0</v>
      </c>
    </row>
    <row r="13" spans="2:21" x14ac:dyDescent="0.25">
      <c r="B13" s="4" t="s">
        <v>13</v>
      </c>
      <c r="C13" s="135">
        <v>1</v>
      </c>
      <c r="D13" s="4">
        <v>1</v>
      </c>
      <c r="E13" s="4">
        <v>1</v>
      </c>
      <c r="F13" s="4">
        <v>1</v>
      </c>
      <c r="J13" s="4" t="s">
        <v>31</v>
      </c>
      <c r="K13" s="135">
        <v>3</v>
      </c>
      <c r="L13" s="4">
        <v>3</v>
      </c>
      <c r="M13" s="4">
        <v>3</v>
      </c>
      <c r="N13" s="69">
        <v>3</v>
      </c>
      <c r="S13" s="10" t="s">
        <v>305</v>
      </c>
      <c r="T13" s="102" t="b">
        <v>1</v>
      </c>
      <c r="U13" t="s">
        <v>306</v>
      </c>
    </row>
    <row r="14" spans="2:21" x14ac:dyDescent="0.25">
      <c r="B14" s="4" t="s">
        <v>11</v>
      </c>
      <c r="C14" s="135">
        <v>1.25</v>
      </c>
      <c r="D14" s="4">
        <v>1.25</v>
      </c>
      <c r="E14" s="4">
        <v>1.5</v>
      </c>
      <c r="F14" s="4">
        <v>1.25</v>
      </c>
      <c r="J14" s="4" t="s">
        <v>109</v>
      </c>
      <c r="K14" s="135">
        <v>3</v>
      </c>
      <c r="L14" s="4">
        <v>3</v>
      </c>
      <c r="M14" s="4">
        <v>2.5</v>
      </c>
      <c r="N14" s="69">
        <v>3</v>
      </c>
      <c r="S14" s="10" t="s">
        <v>307</v>
      </c>
      <c r="T14" s="102" t="b">
        <v>1</v>
      </c>
    </row>
    <row r="15" spans="2:21" x14ac:dyDescent="0.25">
      <c r="B15" s="4" t="s">
        <v>14</v>
      </c>
      <c r="C15" s="135">
        <v>1.5</v>
      </c>
      <c r="D15" s="4">
        <v>1.5</v>
      </c>
      <c r="E15" s="4" t="s">
        <v>30</v>
      </c>
      <c r="F15" s="4">
        <v>1.5</v>
      </c>
      <c r="K15" s="3"/>
      <c r="L15" s="3"/>
      <c r="M15" s="3"/>
      <c r="N15" s="3"/>
    </row>
    <row r="16" spans="2:21" x14ac:dyDescent="0.25">
      <c r="R16" s="1"/>
      <c r="S16" s="1"/>
      <c r="T16" s="3"/>
    </row>
    <row r="17" spans="2:22" x14ac:dyDescent="0.25">
      <c r="C17" s="3"/>
      <c r="D17" s="3"/>
      <c r="E17" s="3"/>
      <c r="F17" s="3"/>
      <c r="R17" s="1"/>
      <c r="S17" s="1"/>
      <c r="T17" s="3"/>
    </row>
    <row r="18" spans="2:22" x14ac:dyDescent="0.25">
      <c r="D18" s="1"/>
    </row>
    <row r="19" spans="2:22" ht="15.75" x14ac:dyDescent="0.25">
      <c r="B19" s="17" t="s">
        <v>275</v>
      </c>
      <c r="C19" s="17"/>
      <c r="D19" s="17"/>
      <c r="E19" s="17"/>
      <c r="F19" s="17"/>
      <c r="G19" s="17"/>
      <c r="H19" s="3"/>
      <c r="M19" s="17" t="s">
        <v>276</v>
      </c>
      <c r="N19" s="17"/>
      <c r="O19" s="17"/>
      <c r="P19" s="17"/>
      <c r="Q19" s="17"/>
      <c r="R19" s="17"/>
      <c r="S19" s="17"/>
      <c r="T19" s="3"/>
    </row>
    <row r="20" spans="2:22" ht="18" x14ac:dyDescent="0.35">
      <c r="B20" s="11" t="s">
        <v>46</v>
      </c>
      <c r="C20" s="11" t="s">
        <v>47</v>
      </c>
      <c r="D20" s="11" t="s">
        <v>48</v>
      </c>
      <c r="E20" s="11" t="s">
        <v>49</v>
      </c>
      <c r="F20" s="11" t="s">
        <v>50</v>
      </c>
      <c r="G20" s="11" t="s">
        <v>51</v>
      </c>
      <c r="H20" s="3"/>
      <c r="I20" s="21" t="s">
        <v>59</v>
      </c>
      <c r="J20" s="4">
        <f>ss</f>
        <v>0</v>
      </c>
      <c r="M20" s="11" t="s">
        <v>46</v>
      </c>
      <c r="N20" s="11" t="s">
        <v>47</v>
      </c>
      <c r="O20" s="11" t="s">
        <v>48</v>
      </c>
      <c r="P20" s="11" t="s">
        <v>49</v>
      </c>
      <c r="Q20" s="11" t="s">
        <v>50</v>
      </c>
      <c r="R20" s="11" t="s">
        <v>192</v>
      </c>
      <c r="S20" s="11" t="s">
        <v>193</v>
      </c>
      <c r="T20" s="3"/>
      <c r="U20" s="21" t="s">
        <v>59</v>
      </c>
      <c r="V20" s="69">
        <f>ss</f>
        <v>0</v>
      </c>
    </row>
    <row r="21" spans="2:22" ht="18" x14ac:dyDescent="0.35">
      <c r="B21" s="12" t="s">
        <v>52</v>
      </c>
      <c r="C21" s="13">
        <v>0.25</v>
      </c>
      <c r="D21" s="13">
        <v>0.5</v>
      </c>
      <c r="E21" s="13">
        <v>0.75</v>
      </c>
      <c r="F21" s="13">
        <v>1</v>
      </c>
      <c r="G21" s="13">
        <v>1.25</v>
      </c>
      <c r="H21" s="3"/>
      <c r="I21" s="19" t="s">
        <v>60</v>
      </c>
      <c r="J21" s="4" t="str">
        <f>LEFT(soil,1)</f>
        <v/>
      </c>
      <c r="M21" s="12" t="s">
        <v>52</v>
      </c>
      <c r="N21" s="13">
        <v>0.25</v>
      </c>
      <c r="O21" s="13">
        <v>0.5</v>
      </c>
      <c r="P21" s="13">
        <v>0.75</v>
      </c>
      <c r="Q21" s="13">
        <v>1</v>
      </c>
      <c r="R21" s="13">
        <v>1.25</v>
      </c>
      <c r="S21" s="13">
        <v>1.5</v>
      </c>
      <c r="T21" s="3"/>
      <c r="U21" s="19" t="s">
        <v>60</v>
      </c>
      <c r="V21" s="78">
        <f>soil</f>
        <v>0</v>
      </c>
    </row>
    <row r="22" spans="2:22" x14ac:dyDescent="0.25">
      <c r="B22" s="11" t="s">
        <v>15</v>
      </c>
      <c r="C22" s="4">
        <v>0.8</v>
      </c>
      <c r="D22" s="4">
        <v>0.8</v>
      </c>
      <c r="E22" s="4">
        <v>0.8</v>
      </c>
      <c r="F22" s="4">
        <v>0.8</v>
      </c>
      <c r="G22" s="4">
        <v>0.8</v>
      </c>
      <c r="H22" s="3"/>
      <c r="I22" s="1" t="s">
        <v>309</v>
      </c>
      <c r="J22" s="4" t="b">
        <f>IF(ss&lt;0.25,FALSE,IF(ss&lt;0.5,0.25,IF(ss&lt;0.75,0.5,IF(ss&lt;1,0.75,IF(ss&lt;1.25,1,1.25)))))</f>
        <v>0</v>
      </c>
      <c r="M22" s="11" t="s">
        <v>15</v>
      </c>
      <c r="N22" s="69">
        <v>0.8</v>
      </c>
      <c r="O22" s="69">
        <v>0.8</v>
      </c>
      <c r="P22" s="69">
        <v>0.8</v>
      </c>
      <c r="Q22" s="69">
        <v>0.8</v>
      </c>
      <c r="R22" s="69">
        <v>0.8</v>
      </c>
      <c r="S22" s="69">
        <v>0.8</v>
      </c>
      <c r="T22" s="3"/>
      <c r="U22" s="1" t="s">
        <v>309</v>
      </c>
      <c r="V22" s="69" t="b">
        <f>IF(ss&lt;0.25,FALSE,IF(ss&lt;0.5,0.25,IF(ss&lt;0.75,0.5,IF(ss&lt;1,0.75,IF(ss&lt;1.25,1,IF(ss&lt;1.5,1.25,1.5))))))</f>
        <v>0</v>
      </c>
    </row>
    <row r="23" spans="2:22" x14ac:dyDescent="0.25">
      <c r="B23" s="11" t="s">
        <v>8</v>
      </c>
      <c r="C23" s="4">
        <v>1</v>
      </c>
      <c r="D23" s="4">
        <v>1</v>
      </c>
      <c r="E23" s="4">
        <v>1</v>
      </c>
      <c r="F23" s="4">
        <v>1</v>
      </c>
      <c r="G23" s="4">
        <v>1</v>
      </c>
      <c r="H23" s="3"/>
      <c r="I23" s="1" t="s">
        <v>311</v>
      </c>
      <c r="J23" s="4">
        <f>IF(ss&gt;1.25,FALSE,IF(ss&gt;1,1.25,IF(ss&gt;0.75,1,IF(ss&gt;0.5,0.75,IF(ss&gt;0.25,0.5,0.25)))))</f>
        <v>0.25</v>
      </c>
      <c r="M23" s="11" t="s">
        <v>8</v>
      </c>
      <c r="N23" s="69">
        <v>0.9</v>
      </c>
      <c r="O23" s="69">
        <v>0.9</v>
      </c>
      <c r="P23" s="69">
        <v>0.9</v>
      </c>
      <c r="Q23" s="69">
        <v>0.9</v>
      </c>
      <c r="R23" s="69">
        <v>0.9</v>
      </c>
      <c r="S23" s="69">
        <v>0.9</v>
      </c>
      <c r="T23" s="3"/>
      <c r="U23" s="1" t="s">
        <v>311</v>
      </c>
      <c r="V23" s="69">
        <f>IF(ss&gt;1.5,FALSE,IF(ss&gt;1.25,1.5,IF(ss&gt;1,1.25,IF(ss&gt;0.75,1,IF(ss&gt;0.5,0.75,IF(ss&gt;0.25,0.5,0.25))))))</f>
        <v>0.25</v>
      </c>
    </row>
    <row r="24" spans="2:22" x14ac:dyDescent="0.25">
      <c r="B24" s="11" t="s">
        <v>16</v>
      </c>
      <c r="C24" s="4">
        <v>1.2</v>
      </c>
      <c r="D24" s="4">
        <v>1.2</v>
      </c>
      <c r="E24" s="4">
        <v>1.1000000000000001</v>
      </c>
      <c r="F24" s="4">
        <v>1</v>
      </c>
      <c r="G24" s="4">
        <v>1</v>
      </c>
      <c r="H24" s="3"/>
      <c r="I24" s="10" t="s">
        <v>310</v>
      </c>
      <c r="J24" s="4" t="b">
        <f>IF(J22=FALSE,J22,INDEX(B21:G27,MATCH(J21,B21:B27,0),MATCH(J22,B21:G21,0)))</f>
        <v>0</v>
      </c>
      <c r="M24" s="11" t="s">
        <v>16</v>
      </c>
      <c r="N24" s="69">
        <v>1.3</v>
      </c>
      <c r="O24" s="69">
        <v>1.3</v>
      </c>
      <c r="P24" s="69">
        <v>1.2</v>
      </c>
      <c r="Q24" s="69">
        <v>1.2</v>
      </c>
      <c r="R24" s="69">
        <v>1.2</v>
      </c>
      <c r="S24" s="69">
        <v>1.2</v>
      </c>
      <c r="T24" s="3"/>
      <c r="U24" s="10" t="s">
        <v>310</v>
      </c>
      <c r="V24" s="69" t="b">
        <f>IF(V22=FALSE,V22,INDEX(M21:S28,MATCH(soil,M21:M28,0),MATCH(V22,M21:S21,0)))</f>
        <v>0</v>
      </c>
    </row>
    <row r="25" spans="2:22" x14ac:dyDescent="0.25">
      <c r="B25" s="11" t="s">
        <v>17</v>
      </c>
      <c r="C25" s="4">
        <v>1.6</v>
      </c>
      <c r="D25" s="4">
        <v>1.4</v>
      </c>
      <c r="E25" s="4">
        <v>1.2</v>
      </c>
      <c r="F25" s="4">
        <v>1.1000000000000001</v>
      </c>
      <c r="G25" s="4">
        <v>1</v>
      </c>
      <c r="H25" s="3"/>
      <c r="I25" s="10" t="s">
        <v>312</v>
      </c>
      <c r="J25" s="4" t="e">
        <f>IF(J23=FALSE,J23,INDEX(B21:G27,MATCH(J21,B21:B27,0),MATCH(J23,B21:G21,0)))</f>
        <v>#N/A</v>
      </c>
      <c r="M25" s="11" t="s">
        <v>198</v>
      </c>
      <c r="N25" s="69">
        <v>1.6</v>
      </c>
      <c r="O25" s="69">
        <v>1.4</v>
      </c>
      <c r="P25" s="69">
        <v>1.2</v>
      </c>
      <c r="Q25" s="69">
        <v>1.1000000000000001</v>
      </c>
      <c r="R25" s="69">
        <v>1</v>
      </c>
      <c r="S25" s="69">
        <v>1</v>
      </c>
      <c r="T25" s="3"/>
      <c r="U25" s="10" t="s">
        <v>312</v>
      </c>
      <c r="V25" s="69" t="e">
        <f>IF(V23=FALSE,V23,INDEX(M21:S28,MATCH(soil,M21:M28,0),MATCH(V23,M21:S21,0)))</f>
        <v>#N/A</v>
      </c>
    </row>
    <row r="26" spans="2:22" x14ac:dyDescent="0.25">
      <c r="B26" s="11" t="s">
        <v>18</v>
      </c>
      <c r="C26" s="14">
        <v>2.5</v>
      </c>
      <c r="D26" s="14">
        <v>1.7</v>
      </c>
      <c r="E26" s="14">
        <v>1.2</v>
      </c>
      <c r="F26" s="14">
        <v>0.9</v>
      </c>
      <c r="G26" s="14">
        <v>0.9</v>
      </c>
      <c r="H26" s="3"/>
      <c r="I26" s="10" t="s">
        <v>61</v>
      </c>
      <c r="J26" s="7" t="e">
        <f>IF(OR(ISTEXT(J24),J25=FALSE),J24,IF(OR(ISTEXT(J25),J24=FALSE),J25,IF(J24=J25,J24,FORECAST(ss,J24:J25,J22:J23))))</f>
        <v>#N/A</v>
      </c>
      <c r="M26" s="11" t="s">
        <v>197</v>
      </c>
      <c r="N26" s="14">
        <v>1.6</v>
      </c>
      <c r="O26" s="14">
        <v>1.4</v>
      </c>
      <c r="P26" s="78">
        <v>1.2</v>
      </c>
      <c r="Q26" s="78">
        <v>1.2</v>
      </c>
      <c r="R26" s="78">
        <v>1.2</v>
      </c>
      <c r="S26" s="78">
        <v>1.2</v>
      </c>
      <c r="T26" s="3"/>
      <c r="U26" s="10" t="s">
        <v>61</v>
      </c>
      <c r="V26" s="7" t="e">
        <f>IF(OR(ISTEXT(V24),V25=FALSE),V24,IF(OR(ISTEXT(V25),V24=FALSE),V25,IF(V24=V25,V24,FORECAST(ss,V24:V25,V22:V23))))</f>
        <v>#N/A</v>
      </c>
    </row>
    <row r="27" spans="2:22" x14ac:dyDescent="0.25">
      <c r="B27" s="15" t="s">
        <v>19</v>
      </c>
      <c r="C27" s="152" t="str">
        <f>IF(dcode="ASCE 7-10","See Section 11.4.7", IF(dcode="TIA-222-G","See Section 2.7.5.1",IF(Use_ASCE,"See ASCE 7-10 Section 11.4.7","")))</f>
        <v/>
      </c>
      <c r="D27" s="152" t="str">
        <f>IF(dcode="ASCE 7-10","See Section 11.4.7", IF(dcode="TIA-222-G","See Section 2.7.5.1",IF(Use_ASCE,"See ASCE 7-10 Section 11.4.7","")))</f>
        <v/>
      </c>
      <c r="E27" s="152" t="str">
        <f>IF(dcode="ASCE 7-10","See Section 11.4.7", IF(dcode="TIA-222-G","See Section 2.7.5.1",IF(Use_ASCE,"See ASCE 7-10 Section 11.4.7","")))</f>
        <v/>
      </c>
      <c r="F27" s="152" t="str">
        <f>IF(dcode="ASCE 7-10","See Section 11.4.7", IF(dcode="TIA-222-G","See Section 2.7.5.1",IF(Use_ASCE,"See ASCE 7-10 Section 11.4.7","")))</f>
        <v/>
      </c>
      <c r="G27" s="24" t="str">
        <f>IF(dcode="ASCE 7-10","See Section 11.4.7", IF(dcode="TIA-222-G","See Section 2.7.5.1",IF(Use_ASCE,"See ASCE 7-10 Section 11.4.7","")))</f>
        <v/>
      </c>
      <c r="H27" s="3"/>
      <c r="M27" s="11" t="s">
        <v>18</v>
      </c>
      <c r="N27" s="14">
        <v>2.4</v>
      </c>
      <c r="O27" s="14">
        <v>1.7</v>
      </c>
      <c r="P27" s="14">
        <v>1.3</v>
      </c>
      <c r="Q27" s="151">
        <f>IF(dcode="TIA-222-H","See Section 2.7.4.1",1.2)</f>
        <v>1.2</v>
      </c>
      <c r="R27" s="151">
        <f>IF(dcode="TIA-222-H","See Section 2.7.4.1",1.2)</f>
        <v>1.2</v>
      </c>
      <c r="S27" s="151">
        <f>IF(dcode="TIA-222-H","See Section 2.7.4.1",1.2)</f>
        <v>1.2</v>
      </c>
      <c r="T27" s="3"/>
    </row>
    <row r="28" spans="2:22" x14ac:dyDescent="0.25">
      <c r="B28" s="81"/>
      <c r="C28" s="82"/>
      <c r="D28" s="16"/>
      <c r="E28" s="16"/>
      <c r="F28" s="16"/>
      <c r="G28" s="16"/>
      <c r="H28" s="3"/>
      <c r="M28" s="15" t="s">
        <v>19</v>
      </c>
      <c r="N28" s="24" t="str">
        <f t="shared" ref="N28:S28" si="0">IF(OR(dcode="TIA-222-H",dcode="TIA-222-H-1"),"See Section 2.7.4.1","")</f>
        <v>See Section 2.7.4.1</v>
      </c>
      <c r="O28" s="24" t="str">
        <f t="shared" si="0"/>
        <v>See Section 2.7.4.1</v>
      </c>
      <c r="P28" s="24" t="str">
        <f t="shared" si="0"/>
        <v>See Section 2.7.4.1</v>
      </c>
      <c r="Q28" s="24" t="str">
        <f t="shared" si="0"/>
        <v>See Section 2.7.4.1</v>
      </c>
      <c r="R28" s="24" t="str">
        <f t="shared" si="0"/>
        <v>See Section 2.7.4.1</v>
      </c>
      <c r="S28" s="24" t="str">
        <f t="shared" si="0"/>
        <v>See Section 2.7.4.1</v>
      </c>
      <c r="T28" s="3"/>
    </row>
    <row r="29" spans="2:22" x14ac:dyDescent="0.25">
      <c r="B29" s="3"/>
      <c r="C29" s="3"/>
      <c r="D29" s="3"/>
      <c r="E29" s="3"/>
      <c r="F29" s="3"/>
      <c r="G29" s="3"/>
      <c r="H29" s="3"/>
      <c r="M29" s="3"/>
      <c r="N29" s="3"/>
      <c r="O29" s="3"/>
      <c r="P29" s="3"/>
      <c r="Q29" s="3"/>
      <c r="R29" s="3"/>
      <c r="S29" s="3"/>
      <c r="T29" s="3"/>
    </row>
    <row r="30" spans="2:22" ht="15.75" x14ac:dyDescent="0.25">
      <c r="B30" s="17" t="s">
        <v>274</v>
      </c>
      <c r="C30" s="17"/>
      <c r="D30" s="17"/>
      <c r="E30" s="17"/>
      <c r="F30" s="17"/>
      <c r="G30" s="17"/>
      <c r="H30" s="3"/>
      <c r="M30" s="17" t="s">
        <v>277</v>
      </c>
      <c r="N30" s="17"/>
      <c r="O30" s="17"/>
      <c r="P30" s="17"/>
      <c r="Q30" s="17"/>
      <c r="R30" s="17"/>
      <c r="S30" s="17"/>
      <c r="T30" s="3"/>
    </row>
    <row r="31" spans="2:22" ht="18" x14ac:dyDescent="0.35">
      <c r="B31" s="11" t="s">
        <v>46</v>
      </c>
      <c r="C31" s="11" t="s">
        <v>53</v>
      </c>
      <c r="D31" s="11" t="s">
        <v>54</v>
      </c>
      <c r="E31" s="11" t="s">
        <v>55</v>
      </c>
      <c r="F31" s="11" t="s">
        <v>56</v>
      </c>
      <c r="G31" s="11" t="s">
        <v>57</v>
      </c>
      <c r="H31" s="3"/>
      <c r="I31" s="21" t="s">
        <v>62</v>
      </c>
      <c r="J31" s="4">
        <f>suno</f>
        <v>0</v>
      </c>
      <c r="M31" s="11" t="s">
        <v>46</v>
      </c>
      <c r="N31" s="11" t="s">
        <v>53</v>
      </c>
      <c r="O31" s="11" t="s">
        <v>54</v>
      </c>
      <c r="P31" s="11" t="s">
        <v>55</v>
      </c>
      <c r="Q31" s="11" t="s">
        <v>56</v>
      </c>
      <c r="R31" s="11" t="s">
        <v>195</v>
      </c>
      <c r="S31" s="11" t="s">
        <v>194</v>
      </c>
      <c r="T31" s="3"/>
      <c r="U31" s="21" t="s">
        <v>62</v>
      </c>
      <c r="V31" s="69">
        <f>suno</f>
        <v>0</v>
      </c>
    </row>
    <row r="32" spans="2:22" ht="18" x14ac:dyDescent="0.35">
      <c r="B32" s="12" t="s">
        <v>58</v>
      </c>
      <c r="C32" s="13">
        <v>0.1</v>
      </c>
      <c r="D32" s="13">
        <v>0.2</v>
      </c>
      <c r="E32" s="13">
        <v>0.3</v>
      </c>
      <c r="F32" s="13">
        <v>0.4</v>
      </c>
      <c r="G32" s="13">
        <v>0.5</v>
      </c>
      <c r="H32" s="3"/>
      <c r="I32" s="19" t="s">
        <v>60</v>
      </c>
      <c r="J32" s="4" t="str">
        <f>LEFT(soil,1)</f>
        <v/>
      </c>
      <c r="M32" s="12" t="s">
        <v>58</v>
      </c>
      <c r="N32" s="13">
        <v>0.1</v>
      </c>
      <c r="O32" s="13">
        <v>0.2</v>
      </c>
      <c r="P32" s="13">
        <v>0.3</v>
      </c>
      <c r="Q32" s="13">
        <v>0.4</v>
      </c>
      <c r="R32" s="13">
        <v>0.5</v>
      </c>
      <c r="S32" s="13">
        <v>0.6</v>
      </c>
      <c r="T32" s="3"/>
      <c r="U32" s="19" t="s">
        <v>60</v>
      </c>
      <c r="V32" s="78" t="str">
        <f>LEFT(soil,1)</f>
        <v/>
      </c>
    </row>
    <row r="33" spans="2:22" x14ac:dyDescent="0.25">
      <c r="B33" s="11" t="s">
        <v>15</v>
      </c>
      <c r="C33" s="4">
        <v>0.8</v>
      </c>
      <c r="D33" s="4">
        <v>0.8</v>
      </c>
      <c r="E33" s="4">
        <v>0.8</v>
      </c>
      <c r="F33" s="4">
        <v>0.8</v>
      </c>
      <c r="G33" s="4">
        <v>0.8</v>
      </c>
      <c r="H33" s="3"/>
      <c r="I33" s="1" t="s">
        <v>309</v>
      </c>
      <c r="J33" s="4" t="b">
        <f>IF(suno&lt;0.1,FALSE,IF(suno&lt;0.2,0.1,IF(suno&lt;0.3,0.2,IF(suno&lt;0.4,0.3,IF(suno&lt;0.5,0.4,0.5)))))</f>
        <v>0</v>
      </c>
      <c r="M33" s="11" t="s">
        <v>15</v>
      </c>
      <c r="N33" s="69">
        <v>0.8</v>
      </c>
      <c r="O33" s="69">
        <v>0.8</v>
      </c>
      <c r="P33" s="69">
        <v>0.8</v>
      </c>
      <c r="Q33" s="69">
        <v>0.8</v>
      </c>
      <c r="R33" s="69">
        <v>0.8</v>
      </c>
      <c r="S33" s="69">
        <v>0.8</v>
      </c>
      <c r="T33" s="3"/>
      <c r="U33" s="1" t="s">
        <v>309</v>
      </c>
      <c r="V33" s="69" t="b">
        <f>IF(suno&lt;0.1,FALSE,IF(suno&lt;0.2,0.1,IF(suno&lt;0.3,0.2,IF(suno&lt;0.4,0.3,IF(suno&lt;0.5,0.4,IF(suno&lt;0.6,0.5,0.6))))))</f>
        <v>0</v>
      </c>
    </row>
    <row r="34" spans="2:22" x14ac:dyDescent="0.25">
      <c r="B34" s="11" t="s">
        <v>8</v>
      </c>
      <c r="C34" s="4">
        <v>1</v>
      </c>
      <c r="D34" s="4">
        <v>1</v>
      </c>
      <c r="E34" s="4">
        <v>1</v>
      </c>
      <c r="F34" s="4">
        <v>1</v>
      </c>
      <c r="G34" s="4">
        <v>1</v>
      </c>
      <c r="H34" s="3"/>
      <c r="I34" s="1" t="s">
        <v>311</v>
      </c>
      <c r="J34" s="4">
        <f>IF(suno&gt;0.5,FALSE,IF(suno&gt;0.4,0.5,IF(suno&gt;0.3,0.4,IF(suno&gt;0.2,0.3,IF(suno&gt;0.1,0.2,0.1)))))</f>
        <v>0.1</v>
      </c>
      <c r="M34" s="11" t="s">
        <v>8</v>
      </c>
      <c r="N34" s="69">
        <v>0.8</v>
      </c>
      <c r="O34" s="69">
        <v>0.8</v>
      </c>
      <c r="P34" s="69">
        <v>0.8</v>
      </c>
      <c r="Q34" s="69">
        <v>0.8</v>
      </c>
      <c r="R34" s="69">
        <v>0.8</v>
      </c>
      <c r="S34" s="69">
        <v>0.8</v>
      </c>
      <c r="T34" s="3"/>
      <c r="U34" s="1" t="s">
        <v>311</v>
      </c>
      <c r="V34" s="69">
        <f>IF(suno&gt;0.6,FALSE,IF(suno&gt;0.5,0.6,IF(suno&gt;0.4,0.5,IF(suno&gt;0.3,0.4,IF(suno&gt;0.2,0.3,IF(suno&gt;0.1,0.2,0.1))))))</f>
        <v>0.1</v>
      </c>
    </row>
    <row r="35" spans="2:22" x14ac:dyDescent="0.25">
      <c r="B35" s="11" t="s">
        <v>16</v>
      </c>
      <c r="C35" s="4">
        <v>1.7</v>
      </c>
      <c r="D35" s="4">
        <v>1.6</v>
      </c>
      <c r="E35" s="4">
        <v>1.5</v>
      </c>
      <c r="F35" s="4">
        <v>1.4</v>
      </c>
      <c r="G35" s="4">
        <v>1.3</v>
      </c>
      <c r="H35" s="16"/>
      <c r="I35" s="10" t="s">
        <v>313</v>
      </c>
      <c r="J35" s="4" t="b">
        <f>IF(J33=FALSE,J33,INDEX(B32:G38,MATCH(J32,B32:B38,0),MATCH(J33,B32:G32,0)))</f>
        <v>0</v>
      </c>
      <c r="M35" s="11" t="s">
        <v>16</v>
      </c>
      <c r="N35" s="69">
        <v>1.5</v>
      </c>
      <c r="O35" s="69">
        <v>1.5</v>
      </c>
      <c r="P35" s="69">
        <v>1.5</v>
      </c>
      <c r="Q35" s="69">
        <v>1.5</v>
      </c>
      <c r="R35" s="69">
        <v>1.5</v>
      </c>
      <c r="S35" s="69">
        <v>1.4</v>
      </c>
      <c r="T35" s="16"/>
      <c r="U35" s="10" t="s">
        <v>313</v>
      </c>
      <c r="V35" s="69" t="b">
        <f>IF(V33=FALSE,V33,INDEX(M32:S38,MATCH(V32,M32:M38,0),MATCH(V33,M32:S32,0)))</f>
        <v>0</v>
      </c>
    </row>
    <row r="36" spans="2:22" x14ac:dyDescent="0.25">
      <c r="B36" s="11" t="s">
        <v>17</v>
      </c>
      <c r="C36" s="4">
        <v>2.4</v>
      </c>
      <c r="D36" s="4">
        <v>2</v>
      </c>
      <c r="E36" s="4">
        <v>1.8</v>
      </c>
      <c r="F36" s="4">
        <v>1.6</v>
      </c>
      <c r="G36" s="4">
        <v>1.5</v>
      </c>
      <c r="H36" s="3"/>
      <c r="I36" s="10" t="s">
        <v>314</v>
      </c>
      <c r="J36" s="4" t="e">
        <f>IF(J34=FALSE,J34,INDEX(B32:G38,MATCH(J32,B32:B38,0),MATCH(J34,B32:G32,0)))</f>
        <v>#N/A</v>
      </c>
      <c r="M36" s="11" t="s">
        <v>17</v>
      </c>
      <c r="N36" s="69">
        <v>2.4</v>
      </c>
      <c r="O36" s="69">
        <v>2.2000000000000002</v>
      </c>
      <c r="P36" s="69">
        <v>2</v>
      </c>
      <c r="Q36" s="69">
        <v>1.9</v>
      </c>
      <c r="R36" s="69">
        <v>1.8</v>
      </c>
      <c r="S36" s="69">
        <v>1.7</v>
      </c>
      <c r="T36" s="3"/>
      <c r="U36" s="10" t="s">
        <v>314</v>
      </c>
      <c r="V36" s="69" t="e">
        <f>IF(V34=FALSE,V34,INDEX(M32:S38,MATCH(V32,M32:M38,0),MATCH(V34,M32:S32,0)))</f>
        <v>#N/A</v>
      </c>
    </row>
    <row r="37" spans="2:22" x14ac:dyDescent="0.25">
      <c r="B37" s="11" t="s">
        <v>18</v>
      </c>
      <c r="C37" s="4">
        <v>3.5</v>
      </c>
      <c r="D37" s="4">
        <v>3.2</v>
      </c>
      <c r="E37" s="4">
        <v>2.8</v>
      </c>
      <c r="F37" s="4">
        <v>2.4</v>
      </c>
      <c r="G37" s="4">
        <v>2.4</v>
      </c>
      <c r="H37" s="3"/>
      <c r="I37" s="10" t="s">
        <v>63</v>
      </c>
      <c r="J37" s="7" t="e">
        <f>IF(OR(ISTEXT(J35),J36=FALSE),J35,IF(OR(ISTEXT(J36),J35=FALSE),J36,IF(J35=J36,J35,FORECAST(suno,J35:J36,J33:J34))))</f>
        <v>#N/A</v>
      </c>
      <c r="M37" s="11" t="s">
        <v>18</v>
      </c>
      <c r="N37" s="69">
        <v>4.2</v>
      </c>
      <c r="O37" s="69">
        <v>3.3</v>
      </c>
      <c r="P37" s="69">
        <v>2.8</v>
      </c>
      <c r="Q37" s="69">
        <v>2.4</v>
      </c>
      <c r="R37" s="69">
        <v>2.2000000000000002</v>
      </c>
      <c r="S37" s="69">
        <v>2</v>
      </c>
      <c r="T37" s="3"/>
      <c r="U37" s="10" t="s">
        <v>63</v>
      </c>
      <c r="V37" s="7" t="e">
        <f>IF(OR(ISTEXT(V35),V36=FALSE),V35,IF(OR(ISTEXT(V36),V35=FALSE),V36,IF(V35=V36,V35,FORECAST(suno,V35:V36,V33:V34))))</f>
        <v>#N/A</v>
      </c>
    </row>
    <row r="38" spans="2:22" x14ac:dyDescent="0.25">
      <c r="B38" s="15" t="s">
        <v>19</v>
      </c>
      <c r="C38" s="152" t="str">
        <f>IF(dcode="ASCE 7-10","See Section 11.4.7", IF(dcode="TIA-222-G","See Section 2.7.5.1",IF(Use_ASCE,"See ASCE 7-10 Section 11.4.7","")))</f>
        <v/>
      </c>
      <c r="D38" s="152" t="str">
        <f>IF(dcode="ASCE 7-10","See Section 11.4.7", IF(dcode="TIA-222-G","See Section 2.7.5.1",IF(Use_ASCE,"See ASCE 7-10 Section 11.4.7","")))</f>
        <v/>
      </c>
      <c r="E38" s="152" t="str">
        <f>IF(dcode="ASCE 7-10","See Section 11.4.7", IF(dcode="TIA-222-G","See Section 2.7.5.1",IF(Use_ASCE,"See ASCE 7-10 Section 11.4.7","")))</f>
        <v/>
      </c>
      <c r="F38" s="152" t="str">
        <f>IF(dcode="ASCE 7-10","See Section 11.4.7", IF(dcode="TIA-222-G","See Section 2.7.5.1",IF(Use_ASCE,"See ASCE 7-10 Section 11.4.7","")))</f>
        <v/>
      </c>
      <c r="G38" s="24" t="str">
        <f>IF(dcode="ASCE 7-10","See Section 11.4.7", IF(dcode="TIA-222-G","See Section 2.7.5.1",IF(Use_ASCE,"See ASCE 7-10 Section 11.4.7","")))</f>
        <v/>
      </c>
      <c r="M38" s="11" t="s">
        <v>19</v>
      </c>
      <c r="N38" s="24" t="str">
        <f t="shared" ref="N38:S38" si="1">IF(OR(dcode="TIA-222-H",dcode="TIA-222-H-1"),"See Section 2.7.4.1","")</f>
        <v>See Section 2.7.4.1</v>
      </c>
      <c r="O38" s="24" t="str">
        <f t="shared" si="1"/>
        <v>See Section 2.7.4.1</v>
      </c>
      <c r="P38" s="24" t="str">
        <f t="shared" si="1"/>
        <v>See Section 2.7.4.1</v>
      </c>
      <c r="Q38" s="24" t="str">
        <f t="shared" si="1"/>
        <v>See Section 2.7.4.1</v>
      </c>
      <c r="R38" s="24" t="str">
        <f t="shared" si="1"/>
        <v>See Section 2.7.4.1</v>
      </c>
      <c r="S38" s="24" t="str">
        <f t="shared" si="1"/>
        <v>See Section 2.7.4.1</v>
      </c>
    </row>
    <row r="40" spans="2:22" ht="15" customHeight="1" x14ac:dyDescent="0.25">
      <c r="B40" s="116" t="s">
        <v>73</v>
      </c>
      <c r="E40" s="16"/>
    </row>
    <row r="41" spans="2:22" x14ac:dyDescent="0.25">
      <c r="B41" s="23"/>
      <c r="D41" s="11" t="s">
        <v>64</v>
      </c>
      <c r="E41" s="11" t="s">
        <v>14</v>
      </c>
      <c r="G41" s="1" t="s">
        <v>78</v>
      </c>
      <c r="H41" s="4" t="str">
        <f>sds</f>
        <v/>
      </c>
    </row>
    <row r="42" spans="2:22" ht="18" x14ac:dyDescent="0.35">
      <c r="B42" s="24" t="s">
        <v>65</v>
      </c>
      <c r="C42">
        <v>0</v>
      </c>
      <c r="D42" s="4" t="s">
        <v>15</v>
      </c>
      <c r="E42" s="4" t="s">
        <v>15</v>
      </c>
      <c r="G42" s="1" t="s">
        <v>77</v>
      </c>
      <c r="H42" s="4">
        <f>risk</f>
        <v>0</v>
      </c>
    </row>
    <row r="43" spans="2:22" ht="18" x14ac:dyDescent="0.35">
      <c r="B43" s="24" t="s">
        <v>67</v>
      </c>
      <c r="C43">
        <v>0.16700000000000001</v>
      </c>
      <c r="D43" s="4" t="s">
        <v>8</v>
      </c>
      <c r="E43" s="4" t="s">
        <v>16</v>
      </c>
      <c r="G43" s="1" t="s">
        <v>75</v>
      </c>
      <c r="H43" s="4" t="e">
        <f>INDEX(D42:E45,MATCH(sds,C42:C45,1),IF(risk="IV",2,1))</f>
        <v>#N/A</v>
      </c>
    </row>
    <row r="44" spans="2:22" ht="18" x14ac:dyDescent="0.35">
      <c r="B44" s="24" t="s">
        <v>69</v>
      </c>
      <c r="C44">
        <v>0.33</v>
      </c>
      <c r="D44" s="4" t="s">
        <v>16</v>
      </c>
      <c r="E44" s="4" t="s">
        <v>17</v>
      </c>
    </row>
    <row r="45" spans="2:22" ht="18" x14ac:dyDescent="0.35">
      <c r="B45" s="24" t="s">
        <v>71</v>
      </c>
      <c r="C45">
        <v>0.5</v>
      </c>
      <c r="D45" s="4" t="s">
        <v>17</v>
      </c>
      <c r="E45" s="4" t="s">
        <v>17</v>
      </c>
    </row>
    <row r="47" spans="2:22" ht="15" customHeight="1" x14ac:dyDescent="0.25">
      <c r="B47" s="20" t="s">
        <v>74</v>
      </c>
    </row>
    <row r="48" spans="2:22" x14ac:dyDescent="0.25">
      <c r="B48" s="23"/>
      <c r="D48" s="11" t="s">
        <v>64</v>
      </c>
      <c r="E48" s="11" t="s">
        <v>14</v>
      </c>
      <c r="G48" s="1" t="s">
        <v>79</v>
      </c>
      <c r="H48" s="4" t="str">
        <f>sduno</f>
        <v/>
      </c>
    </row>
    <row r="49" spans="2:8" ht="18" x14ac:dyDescent="0.35">
      <c r="B49" s="24" t="s">
        <v>66</v>
      </c>
      <c r="C49">
        <v>0</v>
      </c>
      <c r="D49" s="4" t="s">
        <v>15</v>
      </c>
      <c r="E49" s="4" t="s">
        <v>15</v>
      </c>
      <c r="G49" s="1" t="s">
        <v>77</v>
      </c>
      <c r="H49" s="4">
        <f>risk</f>
        <v>0</v>
      </c>
    </row>
    <row r="50" spans="2:8" ht="18" x14ac:dyDescent="0.35">
      <c r="B50" s="24" t="s">
        <v>68</v>
      </c>
      <c r="C50">
        <v>6.7000000000000004E-2</v>
      </c>
      <c r="D50" s="4" t="s">
        <v>8</v>
      </c>
      <c r="E50" s="4" t="s">
        <v>16</v>
      </c>
      <c r="G50" s="1" t="s">
        <v>76</v>
      </c>
      <c r="H50" s="4" t="e">
        <f>INDEX(D49:E52,MATCH(sduno,C49:C52,1),IF(risk="IV",2,1))</f>
        <v>#N/A</v>
      </c>
    </row>
    <row r="51" spans="2:8" ht="18" x14ac:dyDescent="0.35">
      <c r="B51" s="24" t="s">
        <v>70</v>
      </c>
      <c r="C51">
        <v>0.13300000000000001</v>
      </c>
      <c r="D51" s="4" t="s">
        <v>16</v>
      </c>
      <c r="E51" s="4" t="s">
        <v>17</v>
      </c>
    </row>
    <row r="52" spans="2:8" ht="18" x14ac:dyDescent="0.35">
      <c r="B52" s="24" t="s">
        <v>72</v>
      </c>
      <c r="C52">
        <v>0.2</v>
      </c>
      <c r="D52" s="4" t="s">
        <v>17</v>
      </c>
      <c r="E52" s="4" t="s">
        <v>17</v>
      </c>
    </row>
  </sheetData>
  <sheetProtection sheet="1" objects="1" scenarios="1"/>
  <mergeCells count="2">
    <mergeCell ref="C10:F10"/>
    <mergeCell ref="K10:N10"/>
  </mergeCells>
  <dataValidations count="1">
    <dataValidation type="list" allowBlank="1" showInputMessage="1" showErrorMessage="1" sqref="T10:T14" xr:uid="{00000000-0002-0000-0500-000000000000}">
      <formula1>"TRUE,FALSE"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
  <sheetViews>
    <sheetView topLeftCell="A10502" workbookViewId="0">
      <selection activeCell="A10511" sqref="A10511"/>
    </sheetView>
  </sheetViews>
  <sheetFormatPr defaultRowHeight="15" x14ac:dyDescent="0.25"/>
  <cols>
    <col min="1" max="2" width="81.140625" bestFit="1" customWidth="1"/>
    <col min="3" max="3" width="14.28515625" bestFit="1" customWidth="1"/>
    <col min="4" max="4" width="15" bestFit="1" customWidth="1"/>
    <col min="5" max="5" width="11.7109375" bestFit="1" customWidth="1"/>
    <col min="6" max="6" width="5" bestFit="1" customWidth="1"/>
    <col min="7" max="66" width="81.140625" bestFit="1" customWidth="1"/>
    <col min="67" max="68" width="30.42578125" customWidth="1"/>
    <col min="69" max="69" width="8.28515625" customWidth="1"/>
    <col min="70" max="70" width="10.28515625" customWidth="1"/>
    <col min="71" max="71" width="11.85546875" customWidth="1"/>
    <col min="72" max="72" width="11" customWidth="1"/>
    <col min="73" max="73" width="14" customWidth="1"/>
    <col min="74" max="74" width="9.28515625" customWidth="1"/>
    <col min="75" max="76" width="12" customWidth="1"/>
    <col min="77" max="78" width="9" customWidth="1"/>
    <col min="79" max="79" width="6.140625" customWidth="1"/>
    <col min="80" max="80" width="6.28515625" customWidth="1"/>
    <col min="81" max="82" width="8" customWidth="1"/>
    <col min="83" max="83" width="9" customWidth="1"/>
    <col min="84" max="84" width="12" customWidth="1"/>
    <col min="85" max="85" width="9" customWidth="1"/>
    <col min="86" max="86" width="9.42578125" customWidth="1"/>
    <col min="87" max="88" width="5" customWidth="1"/>
    <col min="89" max="89" width="7.140625" customWidth="1"/>
    <col min="90" max="90" width="4.5703125" customWidth="1"/>
    <col min="91" max="94" width="12" customWidth="1"/>
    <col min="95" max="95" width="16.85546875" customWidth="1"/>
    <col min="96" max="96" width="9.28515625" customWidth="1"/>
    <col min="97" max="97" width="7.28515625" customWidth="1"/>
    <col min="98" max="98" width="22.7109375" customWidth="1"/>
    <col min="99" max="99" width="4.28515625" customWidth="1"/>
    <col min="100" max="100" width="12" customWidth="1"/>
    <col min="101" max="101" width="5.28515625" customWidth="1"/>
    <col min="102" max="102" width="12" customWidth="1"/>
    <col min="103" max="103" width="9.28515625" customWidth="1"/>
    <col min="104" max="105" width="6" customWidth="1"/>
  </cols>
  <sheetData/>
  <sheetProtection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
  <sheetViews>
    <sheetView topLeftCell="A1100" workbookViewId="0">
      <selection activeCell="M1108" sqref="M1108"/>
    </sheetView>
  </sheetViews>
  <sheetFormatPr defaultRowHeight="15" x14ac:dyDescent="0.25"/>
  <cols>
    <col min="1" max="1" width="82.140625" customWidth="1"/>
  </cols>
  <sheetData/>
  <sheetProtection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G3463"/>
  <sheetViews>
    <sheetView workbookViewId="0">
      <selection activeCell="G16" sqref="G16"/>
    </sheetView>
  </sheetViews>
  <sheetFormatPr defaultColWidth="0" defaultRowHeight="15" x14ac:dyDescent="0.25"/>
  <cols>
    <col min="1" max="1" width="9.7109375" style="62" customWidth="1"/>
    <col min="2" max="3" width="27.7109375" style="62" customWidth="1"/>
    <col min="4" max="7" width="9.7109375" style="3" customWidth="1"/>
    <col min="8" max="16384" width="9.140625" style="62" hidden="1"/>
  </cols>
  <sheetData>
    <row r="1" spans="1:7" x14ac:dyDescent="0.25">
      <c r="A1" s="52" t="s">
        <v>112</v>
      </c>
      <c r="B1" s="52" t="s">
        <v>113</v>
      </c>
      <c r="C1" s="52" t="s">
        <v>114</v>
      </c>
      <c r="D1" s="52" t="s">
        <v>115</v>
      </c>
      <c r="E1" s="52" t="s">
        <v>116</v>
      </c>
      <c r="F1" s="52" t="s">
        <v>117</v>
      </c>
      <c r="G1" s="52" t="s">
        <v>119</v>
      </c>
    </row>
    <row r="3" spans="1:7" x14ac:dyDescent="0.25">
      <c r="A3" s="63"/>
    </row>
    <row r="4" spans="1:7" x14ac:dyDescent="0.25">
      <c r="A4" s="63"/>
      <c r="B4" s="63"/>
    </row>
    <row r="5" spans="1:7" x14ac:dyDescent="0.25">
      <c r="A5" s="63"/>
      <c r="B5" s="63"/>
    </row>
    <row r="6" spans="1:7" x14ac:dyDescent="0.25">
      <c r="A6" s="63"/>
      <c r="B6" s="63"/>
    </row>
    <row r="7" spans="1:7" x14ac:dyDescent="0.25">
      <c r="A7" s="63"/>
      <c r="B7" s="63"/>
    </row>
    <row r="8" spans="1:7" x14ac:dyDescent="0.25">
      <c r="A8" s="63"/>
      <c r="B8" s="63"/>
    </row>
    <row r="9" spans="1:7" x14ac:dyDescent="0.25">
      <c r="A9" s="63"/>
      <c r="B9" s="63"/>
    </row>
    <row r="10" spans="1:7" x14ac:dyDescent="0.25">
      <c r="A10" s="63"/>
      <c r="B10" s="63"/>
    </row>
    <row r="11" spans="1:7" x14ac:dyDescent="0.25">
      <c r="A11" s="63"/>
      <c r="B11" s="63"/>
    </row>
    <row r="12" spans="1:7" x14ac:dyDescent="0.25">
      <c r="A12" s="63"/>
      <c r="B12" s="63"/>
    </row>
    <row r="13" spans="1:7" x14ac:dyDescent="0.25">
      <c r="A13" s="63"/>
      <c r="B13" s="63"/>
    </row>
    <row r="14" spans="1:7" x14ac:dyDescent="0.25">
      <c r="A14" s="63"/>
    </row>
    <row r="15" spans="1:7" x14ac:dyDescent="0.25">
      <c r="A15" s="63"/>
      <c r="B15" s="63"/>
    </row>
    <row r="16" spans="1:7" x14ac:dyDescent="0.25">
      <c r="A16" s="63"/>
      <c r="B16" s="63"/>
    </row>
    <row r="17" spans="1:2" x14ac:dyDescent="0.25">
      <c r="A17" s="63"/>
      <c r="B17" s="63"/>
    </row>
    <row r="18" spans="1:2" x14ac:dyDescent="0.25">
      <c r="A18" s="63"/>
      <c r="B18" s="63"/>
    </row>
    <row r="19" spans="1:2" x14ac:dyDescent="0.25">
      <c r="A19" s="63"/>
      <c r="B19" s="63"/>
    </row>
    <row r="20" spans="1:2" x14ac:dyDescent="0.25">
      <c r="A20" s="63"/>
      <c r="B20" s="63"/>
    </row>
    <row r="21" spans="1:2" x14ac:dyDescent="0.25">
      <c r="A21" s="63"/>
      <c r="B21" s="63"/>
    </row>
    <row r="22" spans="1:2" x14ac:dyDescent="0.25">
      <c r="A22" s="63"/>
      <c r="B22" s="63"/>
    </row>
    <row r="23" spans="1:2" x14ac:dyDescent="0.25">
      <c r="A23" s="63"/>
      <c r="B23" s="63"/>
    </row>
    <row r="24" spans="1:2" x14ac:dyDescent="0.25">
      <c r="A24" s="63"/>
      <c r="B24" s="63"/>
    </row>
    <row r="25" spans="1:2" x14ac:dyDescent="0.25">
      <c r="A25" s="63"/>
      <c r="B25" s="63"/>
    </row>
    <row r="26" spans="1:2" x14ac:dyDescent="0.25">
      <c r="A26" s="63"/>
      <c r="B26" s="63"/>
    </row>
    <row r="27" spans="1:2" x14ac:dyDescent="0.25">
      <c r="A27" s="63"/>
      <c r="B27" s="63"/>
    </row>
    <row r="28" spans="1:2" x14ac:dyDescent="0.25">
      <c r="A28" s="63"/>
      <c r="B28" s="63"/>
    </row>
    <row r="29" spans="1:2" x14ac:dyDescent="0.25">
      <c r="A29" s="63"/>
      <c r="B29" s="63"/>
    </row>
    <row r="30" spans="1:2" x14ac:dyDescent="0.25">
      <c r="A30" s="63"/>
      <c r="B30" s="63"/>
    </row>
    <row r="31" spans="1:2" x14ac:dyDescent="0.25">
      <c r="A31" s="63"/>
      <c r="B31" s="63"/>
    </row>
    <row r="32" spans="1:2" x14ac:dyDescent="0.25">
      <c r="A32" s="63"/>
      <c r="B32" s="63"/>
    </row>
    <row r="33" spans="1:2" x14ac:dyDescent="0.25">
      <c r="A33" s="63"/>
      <c r="B33" s="63"/>
    </row>
    <row r="34" spans="1:2" x14ac:dyDescent="0.25">
      <c r="A34" s="63"/>
      <c r="B34" s="63"/>
    </row>
    <row r="35" spans="1:2" x14ac:dyDescent="0.25">
      <c r="A35" s="63"/>
      <c r="B35" s="63"/>
    </row>
    <row r="36" spans="1:2" x14ac:dyDescent="0.25">
      <c r="A36" s="63"/>
      <c r="B36" s="63"/>
    </row>
    <row r="37" spans="1:2" x14ac:dyDescent="0.25">
      <c r="A37" s="63"/>
      <c r="B37" s="63"/>
    </row>
    <row r="38" spans="1:2" x14ac:dyDescent="0.25">
      <c r="A38" s="63"/>
      <c r="B38" s="63"/>
    </row>
    <row r="39" spans="1:2" x14ac:dyDescent="0.25">
      <c r="A39" s="63"/>
      <c r="B39" s="63"/>
    </row>
    <row r="40" spans="1:2" x14ac:dyDescent="0.25">
      <c r="A40" s="63"/>
      <c r="B40" s="63"/>
    </row>
    <row r="41" spans="1:2" x14ac:dyDescent="0.25">
      <c r="A41" s="63"/>
      <c r="B41" s="63"/>
    </row>
    <row r="42" spans="1:2" x14ac:dyDescent="0.25">
      <c r="A42" s="63"/>
      <c r="B42" s="63"/>
    </row>
    <row r="43" spans="1:2" x14ac:dyDescent="0.25">
      <c r="A43" s="63"/>
      <c r="B43" s="63"/>
    </row>
    <row r="44" spans="1:2" x14ac:dyDescent="0.25">
      <c r="A44" s="63"/>
      <c r="B44" s="63"/>
    </row>
    <row r="45" spans="1:2" x14ac:dyDescent="0.25">
      <c r="A45" s="63"/>
      <c r="B45" s="63"/>
    </row>
    <row r="46" spans="1:2" x14ac:dyDescent="0.25">
      <c r="A46" s="63"/>
      <c r="B46" s="63"/>
    </row>
    <row r="47" spans="1:2" x14ac:dyDescent="0.25">
      <c r="A47" s="63"/>
      <c r="B47" s="63"/>
    </row>
    <row r="48" spans="1:2" x14ac:dyDescent="0.25">
      <c r="A48" s="63"/>
      <c r="B48" s="63"/>
    </row>
    <row r="49" spans="1:2" x14ac:dyDescent="0.25">
      <c r="A49" s="63"/>
      <c r="B49" s="63"/>
    </row>
    <row r="50" spans="1:2" x14ac:dyDescent="0.25">
      <c r="A50" s="63"/>
      <c r="B50" s="63"/>
    </row>
    <row r="51" spans="1:2" x14ac:dyDescent="0.25">
      <c r="A51" s="63"/>
      <c r="B51" s="63"/>
    </row>
    <row r="52" spans="1:2" x14ac:dyDescent="0.25">
      <c r="A52" s="63"/>
      <c r="B52" s="63"/>
    </row>
    <row r="53" spans="1:2" x14ac:dyDescent="0.25">
      <c r="A53" s="63"/>
      <c r="B53" s="63"/>
    </row>
    <row r="54" spans="1:2" x14ac:dyDescent="0.25">
      <c r="A54" s="63"/>
      <c r="B54" s="63"/>
    </row>
    <row r="55" spans="1:2" x14ac:dyDescent="0.25">
      <c r="A55" s="63"/>
    </row>
    <row r="56" spans="1:2" x14ac:dyDescent="0.25">
      <c r="A56" s="63"/>
      <c r="B56" s="63"/>
    </row>
    <row r="57" spans="1:2" x14ac:dyDescent="0.25">
      <c r="A57" s="63"/>
      <c r="B57" s="63"/>
    </row>
    <row r="58" spans="1:2" x14ac:dyDescent="0.25">
      <c r="A58" s="63"/>
      <c r="B58" s="63"/>
    </row>
    <row r="59" spans="1:2" x14ac:dyDescent="0.25">
      <c r="A59" s="63"/>
      <c r="B59" s="63"/>
    </row>
    <row r="60" spans="1:2" x14ac:dyDescent="0.25">
      <c r="A60" s="63"/>
      <c r="B60" s="63"/>
    </row>
    <row r="61" spans="1:2" x14ac:dyDescent="0.25">
      <c r="A61" s="63"/>
      <c r="B61" s="63"/>
    </row>
    <row r="62" spans="1:2" x14ac:dyDescent="0.25">
      <c r="A62" s="63"/>
      <c r="B62" s="63"/>
    </row>
    <row r="63" spans="1:2" x14ac:dyDescent="0.25">
      <c r="A63" s="63"/>
      <c r="B63" s="63"/>
    </row>
    <row r="64" spans="1:2" x14ac:dyDescent="0.25">
      <c r="A64" s="63"/>
      <c r="B64" s="63"/>
    </row>
    <row r="65" spans="1:2" x14ac:dyDescent="0.25">
      <c r="A65" s="63"/>
      <c r="B65" s="63"/>
    </row>
    <row r="66" spans="1:2" x14ac:dyDescent="0.25">
      <c r="A66" s="63"/>
      <c r="B66" s="63"/>
    </row>
    <row r="67" spans="1:2" x14ac:dyDescent="0.25">
      <c r="A67" s="63"/>
      <c r="B67" s="63"/>
    </row>
    <row r="68" spans="1:2" x14ac:dyDescent="0.25">
      <c r="A68" s="63"/>
      <c r="B68" s="63"/>
    </row>
    <row r="69" spans="1:2" x14ac:dyDescent="0.25">
      <c r="A69" s="63"/>
      <c r="B69" s="63"/>
    </row>
    <row r="70" spans="1:2" x14ac:dyDescent="0.25">
      <c r="A70" s="63"/>
      <c r="B70" s="63"/>
    </row>
    <row r="71" spans="1:2" x14ac:dyDescent="0.25">
      <c r="A71" s="63"/>
      <c r="B71" s="63"/>
    </row>
    <row r="72" spans="1:2" x14ac:dyDescent="0.25">
      <c r="A72" s="63"/>
      <c r="B72" s="63"/>
    </row>
    <row r="73" spans="1:2" x14ac:dyDescent="0.25">
      <c r="A73" s="63"/>
      <c r="B73" s="63"/>
    </row>
    <row r="74" spans="1:2" x14ac:dyDescent="0.25">
      <c r="A74" s="63"/>
      <c r="B74" s="63"/>
    </row>
    <row r="75" spans="1:2" x14ac:dyDescent="0.25">
      <c r="A75" s="63"/>
      <c r="B75" s="63"/>
    </row>
    <row r="76" spans="1:2" x14ac:dyDescent="0.25">
      <c r="A76" s="63"/>
      <c r="B76" s="63"/>
    </row>
    <row r="77" spans="1:2" x14ac:dyDescent="0.25">
      <c r="A77" s="63"/>
      <c r="B77" s="63"/>
    </row>
    <row r="78" spans="1:2" x14ac:dyDescent="0.25">
      <c r="A78" s="63"/>
      <c r="B78" s="63"/>
    </row>
    <row r="79" spans="1:2" x14ac:dyDescent="0.25">
      <c r="A79" s="63"/>
      <c r="B79" s="63"/>
    </row>
    <row r="80" spans="1:2" x14ac:dyDescent="0.25">
      <c r="A80" s="63"/>
      <c r="B80" s="63"/>
    </row>
    <row r="81" spans="1:2" x14ac:dyDescent="0.25">
      <c r="A81" s="63"/>
      <c r="B81" s="63"/>
    </row>
    <row r="82" spans="1:2" x14ac:dyDescent="0.25">
      <c r="A82" s="63"/>
      <c r="B82" s="63"/>
    </row>
    <row r="83" spans="1:2" x14ac:dyDescent="0.25">
      <c r="A83" s="63"/>
      <c r="B83" s="63"/>
    </row>
    <row r="84" spans="1:2" x14ac:dyDescent="0.25">
      <c r="A84" s="63"/>
      <c r="B84" s="63"/>
    </row>
    <row r="85" spans="1:2" x14ac:dyDescent="0.25">
      <c r="A85" s="63"/>
      <c r="B85" s="63"/>
    </row>
    <row r="86" spans="1:2" x14ac:dyDescent="0.25">
      <c r="A86" s="63"/>
      <c r="B86" s="63"/>
    </row>
    <row r="87" spans="1:2" x14ac:dyDescent="0.25">
      <c r="A87" s="63"/>
      <c r="B87" s="63"/>
    </row>
    <row r="88" spans="1:2" x14ac:dyDescent="0.25">
      <c r="A88" s="63"/>
      <c r="B88" s="63"/>
    </row>
    <row r="89" spans="1:2" x14ac:dyDescent="0.25">
      <c r="A89" s="63"/>
      <c r="B89" s="63"/>
    </row>
    <row r="90" spans="1:2" x14ac:dyDescent="0.25">
      <c r="A90" s="63"/>
      <c r="B90" s="63"/>
    </row>
    <row r="91" spans="1:2" x14ac:dyDescent="0.25">
      <c r="A91" s="63"/>
      <c r="B91" s="63"/>
    </row>
    <row r="92" spans="1:2" x14ac:dyDescent="0.25">
      <c r="A92" s="63"/>
      <c r="B92" s="63"/>
    </row>
    <row r="93" spans="1:2" x14ac:dyDescent="0.25">
      <c r="A93" s="63"/>
      <c r="B93" s="63"/>
    </row>
    <row r="94" spans="1:2" x14ac:dyDescent="0.25">
      <c r="A94" s="63"/>
      <c r="B94" s="63"/>
    </row>
    <row r="95" spans="1:2" x14ac:dyDescent="0.25">
      <c r="A95" s="63"/>
      <c r="B95" s="63"/>
    </row>
    <row r="96" spans="1:2" x14ac:dyDescent="0.25">
      <c r="A96" s="63"/>
      <c r="B96" s="63"/>
    </row>
    <row r="97" spans="1:2" x14ac:dyDescent="0.25">
      <c r="A97" s="63"/>
    </row>
    <row r="98" spans="1:2" x14ac:dyDescent="0.25">
      <c r="A98" s="63"/>
      <c r="B98" s="63"/>
    </row>
    <row r="99" spans="1:2" x14ac:dyDescent="0.25">
      <c r="A99" s="63"/>
      <c r="B99" s="63"/>
    </row>
    <row r="100" spans="1:2" x14ac:dyDescent="0.25">
      <c r="A100" s="63"/>
      <c r="B100" s="63"/>
    </row>
    <row r="101" spans="1:2" x14ac:dyDescent="0.25">
      <c r="A101" s="63"/>
      <c r="B101" s="63"/>
    </row>
    <row r="102" spans="1:2" x14ac:dyDescent="0.25">
      <c r="A102" s="63"/>
      <c r="B102" s="63"/>
    </row>
    <row r="103" spans="1:2" x14ac:dyDescent="0.25">
      <c r="A103" s="63"/>
      <c r="B103" s="63"/>
    </row>
    <row r="104" spans="1:2" x14ac:dyDescent="0.25">
      <c r="A104" s="63"/>
      <c r="B104" s="63"/>
    </row>
    <row r="105" spans="1:2" x14ac:dyDescent="0.25">
      <c r="A105" s="63"/>
      <c r="B105" s="63"/>
    </row>
    <row r="106" spans="1:2" x14ac:dyDescent="0.25">
      <c r="A106" s="63"/>
      <c r="B106" s="63"/>
    </row>
    <row r="107" spans="1:2" x14ac:dyDescent="0.25">
      <c r="A107" s="63"/>
      <c r="B107" s="63"/>
    </row>
    <row r="108" spans="1:2" x14ac:dyDescent="0.25">
      <c r="A108" s="63"/>
      <c r="B108" s="63"/>
    </row>
    <row r="109" spans="1:2" x14ac:dyDescent="0.25">
      <c r="A109" s="63"/>
      <c r="B109" s="63"/>
    </row>
    <row r="110" spans="1:2" x14ac:dyDescent="0.25">
      <c r="A110" s="63"/>
      <c r="B110" s="63"/>
    </row>
    <row r="111" spans="1:2" x14ac:dyDescent="0.25">
      <c r="A111" s="63"/>
      <c r="B111" s="63"/>
    </row>
    <row r="112" spans="1:2" x14ac:dyDescent="0.25">
      <c r="A112" s="63"/>
      <c r="B112" s="63"/>
    </row>
    <row r="113" spans="1:2" x14ac:dyDescent="0.25">
      <c r="A113" s="63"/>
      <c r="B113" s="63"/>
    </row>
    <row r="114" spans="1:2" x14ac:dyDescent="0.25">
      <c r="A114" s="63"/>
      <c r="B114" s="63"/>
    </row>
    <row r="115" spans="1:2" x14ac:dyDescent="0.25">
      <c r="A115" s="63"/>
      <c r="B115" s="63"/>
    </row>
    <row r="116" spans="1:2" x14ac:dyDescent="0.25">
      <c r="A116" s="63"/>
      <c r="B116" s="63"/>
    </row>
    <row r="117" spans="1:2" x14ac:dyDescent="0.25">
      <c r="A117" s="63"/>
      <c r="B117" s="63"/>
    </row>
    <row r="118" spans="1:2" x14ac:dyDescent="0.25">
      <c r="A118" s="63"/>
      <c r="B118" s="63"/>
    </row>
    <row r="119" spans="1:2" x14ac:dyDescent="0.25">
      <c r="A119" s="63"/>
      <c r="B119" s="63"/>
    </row>
    <row r="120" spans="1:2" x14ac:dyDescent="0.25">
      <c r="A120" s="63"/>
      <c r="B120" s="63"/>
    </row>
    <row r="121" spans="1:2" x14ac:dyDescent="0.25">
      <c r="A121" s="63"/>
      <c r="B121" s="63"/>
    </row>
    <row r="122" spans="1:2" x14ac:dyDescent="0.25">
      <c r="A122" s="63"/>
      <c r="B122" s="63"/>
    </row>
    <row r="123" spans="1:2" x14ac:dyDescent="0.25">
      <c r="A123" s="63"/>
      <c r="B123" s="63"/>
    </row>
    <row r="124" spans="1:2" x14ac:dyDescent="0.25">
      <c r="A124" s="63"/>
      <c r="B124" s="63"/>
    </row>
    <row r="125" spans="1:2" x14ac:dyDescent="0.25">
      <c r="A125" s="63"/>
      <c r="B125" s="63"/>
    </row>
    <row r="126" spans="1:2" x14ac:dyDescent="0.25">
      <c r="A126" s="63"/>
      <c r="B126" s="63"/>
    </row>
    <row r="127" spans="1:2" x14ac:dyDescent="0.25">
      <c r="A127" s="63"/>
      <c r="B127" s="63"/>
    </row>
    <row r="128" spans="1:2" x14ac:dyDescent="0.25">
      <c r="A128" s="63"/>
      <c r="B128" s="63"/>
    </row>
    <row r="129" spans="1:2" x14ac:dyDescent="0.25">
      <c r="A129" s="63"/>
      <c r="B129" s="63"/>
    </row>
    <row r="130" spans="1:2" x14ac:dyDescent="0.25">
      <c r="A130" s="63"/>
      <c r="B130" s="63"/>
    </row>
    <row r="131" spans="1:2" x14ac:dyDescent="0.25">
      <c r="A131" s="63"/>
      <c r="B131" s="63"/>
    </row>
    <row r="132" spans="1:2" x14ac:dyDescent="0.25">
      <c r="A132" s="63"/>
      <c r="B132" s="63"/>
    </row>
    <row r="133" spans="1:2" x14ac:dyDescent="0.25">
      <c r="A133" s="63"/>
      <c r="B133" s="63"/>
    </row>
    <row r="134" spans="1:2" x14ac:dyDescent="0.25">
      <c r="A134" s="63"/>
      <c r="B134" s="63"/>
    </row>
    <row r="135" spans="1:2" x14ac:dyDescent="0.25">
      <c r="A135" s="63"/>
      <c r="B135" s="63"/>
    </row>
    <row r="136" spans="1:2" x14ac:dyDescent="0.25">
      <c r="A136" s="63"/>
      <c r="B136" s="63"/>
    </row>
    <row r="137" spans="1:2" x14ac:dyDescent="0.25">
      <c r="A137" s="63"/>
      <c r="B137" s="63"/>
    </row>
    <row r="138" spans="1:2" x14ac:dyDescent="0.25">
      <c r="A138" s="63"/>
      <c r="B138" s="63"/>
    </row>
    <row r="139" spans="1:2" x14ac:dyDescent="0.25">
      <c r="A139" s="63"/>
      <c r="B139" s="63"/>
    </row>
    <row r="140" spans="1:2" x14ac:dyDescent="0.25">
      <c r="A140" s="63"/>
      <c r="B140" s="63"/>
    </row>
    <row r="141" spans="1:2" x14ac:dyDescent="0.25">
      <c r="A141" s="63"/>
      <c r="B141" s="63"/>
    </row>
    <row r="142" spans="1:2" x14ac:dyDescent="0.25">
      <c r="A142" s="63"/>
      <c r="B142" s="63"/>
    </row>
    <row r="143" spans="1:2" x14ac:dyDescent="0.25">
      <c r="A143" s="63"/>
      <c r="B143" s="63"/>
    </row>
    <row r="144" spans="1:2" x14ac:dyDescent="0.25">
      <c r="A144" s="63"/>
      <c r="B144" s="63"/>
    </row>
    <row r="145" spans="1:2" x14ac:dyDescent="0.25">
      <c r="A145" s="63"/>
      <c r="B145" s="63"/>
    </row>
    <row r="146" spans="1:2" x14ac:dyDescent="0.25">
      <c r="A146" s="63"/>
      <c r="B146" s="63"/>
    </row>
    <row r="147" spans="1:2" x14ac:dyDescent="0.25">
      <c r="A147" s="63"/>
      <c r="B147" s="63"/>
    </row>
    <row r="148" spans="1:2" x14ac:dyDescent="0.25">
      <c r="A148" s="63"/>
      <c r="B148" s="63"/>
    </row>
    <row r="149" spans="1:2" x14ac:dyDescent="0.25">
      <c r="A149" s="63"/>
      <c r="B149" s="63"/>
    </row>
    <row r="150" spans="1:2" x14ac:dyDescent="0.25">
      <c r="A150" s="63"/>
      <c r="B150" s="63"/>
    </row>
    <row r="151" spans="1:2" x14ac:dyDescent="0.25">
      <c r="A151" s="63"/>
      <c r="B151" s="63"/>
    </row>
    <row r="152" spans="1:2" x14ac:dyDescent="0.25">
      <c r="A152" s="63"/>
      <c r="B152" s="63"/>
    </row>
    <row r="153" spans="1:2" x14ac:dyDescent="0.25">
      <c r="A153" s="63"/>
      <c r="B153" s="63"/>
    </row>
    <row r="154" spans="1:2" x14ac:dyDescent="0.25">
      <c r="A154" s="63"/>
      <c r="B154" s="63"/>
    </row>
    <row r="155" spans="1:2" x14ac:dyDescent="0.25">
      <c r="A155" s="63"/>
      <c r="B155" s="63"/>
    </row>
    <row r="156" spans="1:2" x14ac:dyDescent="0.25">
      <c r="A156" s="63"/>
      <c r="B156" s="63"/>
    </row>
    <row r="157" spans="1:2" x14ac:dyDescent="0.25">
      <c r="A157" s="63"/>
      <c r="B157" s="63"/>
    </row>
    <row r="158" spans="1:2" x14ac:dyDescent="0.25">
      <c r="A158" s="63"/>
      <c r="B158" s="63"/>
    </row>
    <row r="159" spans="1:2" x14ac:dyDescent="0.25">
      <c r="A159" s="63"/>
      <c r="B159" s="63"/>
    </row>
    <row r="160" spans="1:2" x14ac:dyDescent="0.25">
      <c r="A160" s="63"/>
      <c r="B160" s="63"/>
    </row>
    <row r="161" spans="1:2" x14ac:dyDescent="0.25">
      <c r="A161" s="63"/>
      <c r="B161" s="63"/>
    </row>
    <row r="162" spans="1:2" x14ac:dyDescent="0.25">
      <c r="A162" s="63"/>
      <c r="B162" s="63"/>
    </row>
    <row r="163" spans="1:2" x14ac:dyDescent="0.25">
      <c r="A163" s="63"/>
    </row>
    <row r="164" spans="1:2" x14ac:dyDescent="0.25">
      <c r="A164" s="63"/>
    </row>
    <row r="165" spans="1:2" x14ac:dyDescent="0.25">
      <c r="A165" s="63"/>
      <c r="B165" s="63"/>
    </row>
    <row r="166" spans="1:2" x14ac:dyDescent="0.25">
      <c r="A166" s="63"/>
      <c r="B166" s="63"/>
    </row>
    <row r="167" spans="1:2" x14ac:dyDescent="0.25">
      <c r="A167" s="63"/>
      <c r="B167" s="63"/>
    </row>
    <row r="168" spans="1:2" x14ac:dyDescent="0.25">
      <c r="A168" s="63"/>
      <c r="B168" s="63"/>
    </row>
    <row r="169" spans="1:2" x14ac:dyDescent="0.25">
      <c r="A169" s="63"/>
      <c r="B169" s="63"/>
    </row>
    <row r="170" spans="1:2" x14ac:dyDescent="0.25">
      <c r="A170" s="63"/>
      <c r="B170" s="63"/>
    </row>
    <row r="171" spans="1:2" x14ac:dyDescent="0.25">
      <c r="A171" s="63"/>
      <c r="B171" s="63"/>
    </row>
    <row r="172" spans="1:2" x14ac:dyDescent="0.25">
      <c r="A172" s="63"/>
      <c r="B172" s="63"/>
    </row>
    <row r="173" spans="1:2" x14ac:dyDescent="0.25">
      <c r="A173" s="63"/>
      <c r="B173" s="63"/>
    </row>
    <row r="174" spans="1:2" x14ac:dyDescent="0.25">
      <c r="A174" s="63"/>
      <c r="B174" s="63"/>
    </row>
    <row r="175" spans="1:2" x14ac:dyDescent="0.25">
      <c r="A175" s="63"/>
      <c r="B175" s="63"/>
    </row>
    <row r="176" spans="1:2" x14ac:dyDescent="0.25">
      <c r="A176" s="63"/>
      <c r="B176" s="63"/>
    </row>
    <row r="177" spans="1:2" x14ac:dyDescent="0.25">
      <c r="A177" s="63"/>
      <c r="B177" s="63"/>
    </row>
    <row r="178" spans="1:2" x14ac:dyDescent="0.25">
      <c r="A178" s="63"/>
      <c r="B178" s="63"/>
    </row>
    <row r="179" spans="1:2" x14ac:dyDescent="0.25">
      <c r="A179" s="63"/>
      <c r="B179" s="63"/>
    </row>
    <row r="180" spans="1:2" x14ac:dyDescent="0.25">
      <c r="A180" s="63"/>
      <c r="B180" s="63"/>
    </row>
    <row r="181" spans="1:2" x14ac:dyDescent="0.25">
      <c r="A181" s="63"/>
      <c r="B181" s="63"/>
    </row>
    <row r="182" spans="1:2" x14ac:dyDescent="0.25">
      <c r="A182" s="63"/>
    </row>
    <row r="183" spans="1:2" x14ac:dyDescent="0.25">
      <c r="A183" s="63"/>
      <c r="B183" s="63"/>
    </row>
    <row r="184" spans="1:2" x14ac:dyDescent="0.25">
      <c r="A184" s="63"/>
      <c r="B184" s="63"/>
    </row>
    <row r="185" spans="1:2" x14ac:dyDescent="0.25">
      <c r="A185" s="63"/>
      <c r="B185" s="63"/>
    </row>
    <row r="186" spans="1:2" x14ac:dyDescent="0.25">
      <c r="A186" s="63"/>
      <c r="B186" s="63"/>
    </row>
    <row r="187" spans="1:2" x14ac:dyDescent="0.25">
      <c r="A187" s="63"/>
      <c r="B187" s="63"/>
    </row>
    <row r="188" spans="1:2" x14ac:dyDescent="0.25">
      <c r="A188" s="63"/>
    </row>
    <row r="189" spans="1:2" x14ac:dyDescent="0.25">
      <c r="A189" s="63"/>
      <c r="B189" s="63"/>
    </row>
    <row r="190" spans="1:2" x14ac:dyDescent="0.25">
      <c r="A190" s="63"/>
      <c r="B190" s="63"/>
    </row>
    <row r="191" spans="1:2" x14ac:dyDescent="0.25">
      <c r="A191" s="63"/>
      <c r="B191" s="63"/>
    </row>
    <row r="192" spans="1:2" x14ac:dyDescent="0.25">
      <c r="A192" s="63"/>
      <c r="B192" s="63"/>
    </row>
    <row r="193" spans="1:2" x14ac:dyDescent="0.25">
      <c r="A193" s="63"/>
      <c r="B193" s="63"/>
    </row>
    <row r="194" spans="1:2" x14ac:dyDescent="0.25">
      <c r="A194" s="63"/>
      <c r="B194" s="63"/>
    </row>
    <row r="195" spans="1:2" x14ac:dyDescent="0.25">
      <c r="A195" s="63"/>
      <c r="B195" s="63"/>
    </row>
    <row r="196" spans="1:2" x14ac:dyDescent="0.25">
      <c r="A196" s="63"/>
      <c r="B196" s="63"/>
    </row>
    <row r="197" spans="1:2" x14ac:dyDescent="0.25">
      <c r="A197" s="63"/>
      <c r="B197" s="63"/>
    </row>
    <row r="198" spans="1:2" x14ac:dyDescent="0.25">
      <c r="A198" s="63"/>
      <c r="B198" s="63"/>
    </row>
    <row r="199" spans="1:2" x14ac:dyDescent="0.25">
      <c r="A199" s="63"/>
      <c r="B199" s="63"/>
    </row>
    <row r="200" spans="1:2" x14ac:dyDescent="0.25">
      <c r="A200" s="63"/>
      <c r="B200" s="63"/>
    </row>
    <row r="201" spans="1:2" x14ac:dyDescent="0.25">
      <c r="A201" s="63"/>
      <c r="B201" s="63"/>
    </row>
    <row r="202" spans="1:2" x14ac:dyDescent="0.25">
      <c r="A202" s="63"/>
      <c r="B202" s="63"/>
    </row>
    <row r="203" spans="1:2" x14ac:dyDescent="0.25">
      <c r="A203" s="63"/>
      <c r="B203" s="63"/>
    </row>
    <row r="204" spans="1:2" x14ac:dyDescent="0.25">
      <c r="A204" s="63"/>
      <c r="B204" s="63"/>
    </row>
    <row r="205" spans="1:2" x14ac:dyDescent="0.25">
      <c r="A205" s="63"/>
      <c r="B205" s="63"/>
    </row>
    <row r="206" spans="1:2" x14ac:dyDescent="0.25">
      <c r="A206" s="63"/>
      <c r="B206" s="63"/>
    </row>
    <row r="207" spans="1:2" x14ac:dyDescent="0.25">
      <c r="A207" s="63"/>
      <c r="B207" s="63"/>
    </row>
    <row r="208" spans="1:2" x14ac:dyDescent="0.25">
      <c r="A208" s="63"/>
      <c r="B208" s="63"/>
    </row>
    <row r="209" spans="1:2" x14ac:dyDescent="0.25">
      <c r="A209" s="63"/>
      <c r="B209" s="63"/>
    </row>
    <row r="210" spans="1:2" x14ac:dyDescent="0.25">
      <c r="A210" s="63"/>
      <c r="B210" s="63"/>
    </row>
    <row r="211" spans="1:2" x14ac:dyDescent="0.25">
      <c r="A211" s="63"/>
      <c r="B211" s="63"/>
    </row>
    <row r="212" spans="1:2" x14ac:dyDescent="0.25">
      <c r="A212" s="63"/>
      <c r="B212" s="63"/>
    </row>
    <row r="213" spans="1:2" x14ac:dyDescent="0.25">
      <c r="A213" s="63"/>
      <c r="B213" s="63"/>
    </row>
    <row r="214" spans="1:2" x14ac:dyDescent="0.25">
      <c r="A214" s="63"/>
    </row>
    <row r="215" spans="1:2" x14ac:dyDescent="0.25">
      <c r="A215" s="63"/>
    </row>
    <row r="216" spans="1:2" x14ac:dyDescent="0.25">
      <c r="A216" s="63"/>
    </row>
    <row r="217" spans="1:2" x14ac:dyDescent="0.25">
      <c r="A217" s="63"/>
      <c r="B217" s="63"/>
    </row>
    <row r="218" spans="1:2" x14ac:dyDescent="0.25">
      <c r="A218" s="63"/>
      <c r="B218" s="63"/>
    </row>
    <row r="219" spans="1:2" x14ac:dyDescent="0.25">
      <c r="A219" s="63"/>
      <c r="B219" s="63"/>
    </row>
    <row r="220" spans="1:2" x14ac:dyDescent="0.25">
      <c r="A220" s="63"/>
      <c r="B220" s="63"/>
    </row>
    <row r="221" spans="1:2" x14ac:dyDescent="0.25">
      <c r="A221" s="63"/>
      <c r="B221" s="63"/>
    </row>
    <row r="222" spans="1:2" x14ac:dyDescent="0.25">
      <c r="A222" s="63"/>
      <c r="B222" s="63"/>
    </row>
    <row r="223" spans="1:2" x14ac:dyDescent="0.25">
      <c r="A223" s="63"/>
      <c r="B223" s="63"/>
    </row>
    <row r="224" spans="1:2" x14ac:dyDescent="0.25">
      <c r="A224" s="63"/>
      <c r="B224" s="63"/>
    </row>
    <row r="225" spans="1:2" x14ac:dyDescent="0.25">
      <c r="A225" s="63"/>
      <c r="B225" s="63"/>
    </row>
    <row r="226" spans="1:2" x14ac:dyDescent="0.25">
      <c r="A226" s="63"/>
      <c r="B226" s="63"/>
    </row>
    <row r="227" spans="1:2" x14ac:dyDescent="0.25">
      <c r="A227" s="63"/>
      <c r="B227" s="63"/>
    </row>
    <row r="228" spans="1:2" x14ac:dyDescent="0.25">
      <c r="A228" s="63"/>
      <c r="B228" s="63"/>
    </row>
    <row r="229" spans="1:2" x14ac:dyDescent="0.25">
      <c r="A229" s="63"/>
      <c r="B229" s="63"/>
    </row>
    <row r="230" spans="1:2" x14ac:dyDescent="0.25">
      <c r="A230" s="63"/>
      <c r="B230" s="63"/>
    </row>
    <row r="231" spans="1:2" x14ac:dyDescent="0.25">
      <c r="A231" s="63"/>
      <c r="B231" s="63"/>
    </row>
    <row r="232" spans="1:2" x14ac:dyDescent="0.25">
      <c r="A232" s="63"/>
      <c r="B232" s="63"/>
    </row>
    <row r="233" spans="1:2" x14ac:dyDescent="0.25">
      <c r="A233" s="63"/>
      <c r="B233" s="63"/>
    </row>
    <row r="234" spans="1:2" x14ac:dyDescent="0.25">
      <c r="A234" s="63"/>
      <c r="B234" s="63"/>
    </row>
    <row r="235" spans="1:2" x14ac:dyDescent="0.25">
      <c r="A235" s="63"/>
      <c r="B235" s="63"/>
    </row>
    <row r="236" spans="1:2" x14ac:dyDescent="0.25">
      <c r="A236" s="63"/>
      <c r="B236" s="63"/>
    </row>
    <row r="237" spans="1:2" x14ac:dyDescent="0.25">
      <c r="A237" s="63"/>
      <c r="B237" s="63"/>
    </row>
    <row r="238" spans="1:2" x14ac:dyDescent="0.25">
      <c r="A238" s="63"/>
      <c r="B238" s="63"/>
    </row>
    <row r="239" spans="1:2" x14ac:dyDescent="0.25">
      <c r="A239" s="63"/>
      <c r="B239" s="63"/>
    </row>
    <row r="240" spans="1:2" x14ac:dyDescent="0.25">
      <c r="A240" s="63"/>
      <c r="B240" s="63"/>
    </row>
    <row r="241" spans="1:2" x14ac:dyDescent="0.25">
      <c r="A241" s="63"/>
      <c r="B241" s="63"/>
    </row>
    <row r="242" spans="1:2" x14ac:dyDescent="0.25">
      <c r="A242" s="63"/>
      <c r="B242" s="63"/>
    </row>
    <row r="243" spans="1:2" x14ac:dyDescent="0.25">
      <c r="A243" s="63"/>
      <c r="B243" s="63"/>
    </row>
    <row r="244" spans="1:2" x14ac:dyDescent="0.25">
      <c r="A244" s="63"/>
      <c r="B244" s="63"/>
    </row>
    <row r="245" spans="1:2" x14ac:dyDescent="0.25">
      <c r="A245" s="63"/>
      <c r="B245" s="63"/>
    </row>
    <row r="246" spans="1:2" x14ac:dyDescent="0.25">
      <c r="A246" s="63"/>
      <c r="B246" s="63"/>
    </row>
    <row r="247" spans="1:2" x14ac:dyDescent="0.25">
      <c r="A247" s="63"/>
      <c r="B247" s="63"/>
    </row>
    <row r="248" spans="1:2" x14ac:dyDescent="0.25">
      <c r="A248" s="63"/>
      <c r="B248" s="63"/>
    </row>
    <row r="249" spans="1:2" x14ac:dyDescent="0.25">
      <c r="A249" s="63"/>
      <c r="B249" s="63"/>
    </row>
    <row r="250" spans="1:2" x14ac:dyDescent="0.25">
      <c r="A250" s="63"/>
      <c r="B250" s="63"/>
    </row>
    <row r="251" spans="1:2" x14ac:dyDescent="0.25">
      <c r="A251" s="63"/>
      <c r="B251" s="63"/>
    </row>
    <row r="252" spans="1:2" x14ac:dyDescent="0.25">
      <c r="A252" s="63"/>
      <c r="B252" s="63"/>
    </row>
    <row r="253" spans="1:2" x14ac:dyDescent="0.25">
      <c r="A253" s="63"/>
      <c r="B253" s="63"/>
    </row>
    <row r="254" spans="1:2" x14ac:dyDescent="0.25">
      <c r="A254" s="63"/>
      <c r="B254" s="63"/>
    </row>
    <row r="255" spans="1:2" x14ac:dyDescent="0.25">
      <c r="A255" s="63"/>
      <c r="B255" s="63"/>
    </row>
    <row r="256" spans="1:2" x14ac:dyDescent="0.25">
      <c r="A256" s="63"/>
      <c r="B256" s="63"/>
    </row>
    <row r="257" spans="1:2" x14ac:dyDescent="0.25">
      <c r="A257" s="63"/>
      <c r="B257" s="63"/>
    </row>
    <row r="258" spans="1:2" x14ac:dyDescent="0.25">
      <c r="A258" s="63"/>
      <c r="B258" s="63"/>
    </row>
    <row r="259" spans="1:2" x14ac:dyDescent="0.25">
      <c r="A259" s="63"/>
      <c r="B259" s="63"/>
    </row>
    <row r="260" spans="1:2" x14ac:dyDescent="0.25">
      <c r="A260" s="63"/>
      <c r="B260" s="63"/>
    </row>
    <row r="261" spans="1:2" x14ac:dyDescent="0.25">
      <c r="A261" s="63"/>
      <c r="B261" s="63"/>
    </row>
    <row r="262" spans="1:2" x14ac:dyDescent="0.25">
      <c r="A262" s="63"/>
      <c r="B262" s="63"/>
    </row>
    <row r="263" spans="1:2" x14ac:dyDescent="0.25">
      <c r="A263" s="63"/>
      <c r="B263" s="63"/>
    </row>
    <row r="264" spans="1:2" x14ac:dyDescent="0.25">
      <c r="A264" s="63"/>
      <c r="B264" s="63"/>
    </row>
    <row r="265" spans="1:2" x14ac:dyDescent="0.25">
      <c r="A265" s="63"/>
      <c r="B265" s="63"/>
    </row>
    <row r="266" spans="1:2" x14ac:dyDescent="0.25">
      <c r="A266" s="63"/>
      <c r="B266" s="63"/>
    </row>
    <row r="267" spans="1:2" x14ac:dyDescent="0.25">
      <c r="A267" s="63"/>
      <c r="B267" s="63"/>
    </row>
    <row r="268" spans="1:2" x14ac:dyDescent="0.25">
      <c r="A268" s="63"/>
      <c r="B268" s="63"/>
    </row>
    <row r="269" spans="1:2" x14ac:dyDescent="0.25">
      <c r="A269" s="63"/>
      <c r="B269" s="63"/>
    </row>
    <row r="270" spans="1:2" x14ac:dyDescent="0.25">
      <c r="A270" s="63"/>
      <c r="B270" s="63"/>
    </row>
    <row r="271" spans="1:2" x14ac:dyDescent="0.25">
      <c r="A271" s="63"/>
      <c r="B271" s="63"/>
    </row>
    <row r="272" spans="1:2" x14ac:dyDescent="0.25">
      <c r="A272" s="63"/>
      <c r="B272" s="63"/>
    </row>
    <row r="273" spans="1:2" x14ac:dyDescent="0.25">
      <c r="A273" s="63"/>
      <c r="B273" s="63"/>
    </row>
    <row r="274" spans="1:2" x14ac:dyDescent="0.25">
      <c r="A274" s="63"/>
      <c r="B274" s="63"/>
    </row>
    <row r="275" spans="1:2" x14ac:dyDescent="0.25">
      <c r="A275" s="63"/>
      <c r="B275" s="63"/>
    </row>
    <row r="276" spans="1:2" x14ac:dyDescent="0.25">
      <c r="A276" s="63"/>
      <c r="B276" s="63"/>
    </row>
    <row r="277" spans="1:2" x14ac:dyDescent="0.25">
      <c r="A277" s="63"/>
      <c r="B277" s="63"/>
    </row>
    <row r="278" spans="1:2" x14ac:dyDescent="0.25">
      <c r="A278" s="63"/>
      <c r="B278" s="63"/>
    </row>
    <row r="279" spans="1:2" x14ac:dyDescent="0.25">
      <c r="A279" s="63"/>
      <c r="B279" s="63"/>
    </row>
    <row r="280" spans="1:2" x14ac:dyDescent="0.25">
      <c r="A280" s="63"/>
      <c r="B280" s="63"/>
    </row>
    <row r="281" spans="1:2" x14ac:dyDescent="0.25">
      <c r="A281" s="63"/>
      <c r="B281" s="63"/>
    </row>
    <row r="282" spans="1:2" x14ac:dyDescent="0.25">
      <c r="A282" s="63"/>
      <c r="B282" s="63"/>
    </row>
    <row r="283" spans="1:2" x14ac:dyDescent="0.25">
      <c r="A283" s="63"/>
      <c r="B283" s="63"/>
    </row>
    <row r="284" spans="1:2" x14ac:dyDescent="0.25">
      <c r="A284" s="63"/>
      <c r="B284" s="63"/>
    </row>
    <row r="285" spans="1:2" x14ac:dyDescent="0.25">
      <c r="A285" s="63"/>
      <c r="B285" s="63"/>
    </row>
    <row r="286" spans="1:2" x14ac:dyDescent="0.25">
      <c r="A286" s="63"/>
      <c r="B286" s="63"/>
    </row>
    <row r="287" spans="1:2" x14ac:dyDescent="0.25">
      <c r="A287" s="63"/>
    </row>
    <row r="288" spans="1:2" x14ac:dyDescent="0.25">
      <c r="A288" s="63"/>
    </row>
    <row r="289" spans="1:2" x14ac:dyDescent="0.25">
      <c r="A289" s="63"/>
    </row>
    <row r="290" spans="1:2" x14ac:dyDescent="0.25">
      <c r="A290" s="63"/>
    </row>
    <row r="291" spans="1:2" x14ac:dyDescent="0.25">
      <c r="A291" s="63"/>
    </row>
    <row r="292" spans="1:2" x14ac:dyDescent="0.25">
      <c r="A292" s="63"/>
    </row>
    <row r="293" spans="1:2" x14ac:dyDescent="0.25">
      <c r="A293" s="63"/>
    </row>
    <row r="294" spans="1:2" x14ac:dyDescent="0.25">
      <c r="A294" s="63"/>
      <c r="B294" s="63"/>
    </row>
    <row r="295" spans="1:2" x14ac:dyDescent="0.25">
      <c r="A295" s="63"/>
      <c r="B295" s="63"/>
    </row>
    <row r="296" spans="1:2" x14ac:dyDescent="0.25">
      <c r="A296" s="63"/>
    </row>
    <row r="297" spans="1:2" x14ac:dyDescent="0.25">
      <c r="A297" s="63"/>
    </row>
    <row r="298" spans="1:2" x14ac:dyDescent="0.25">
      <c r="A298" s="63"/>
    </row>
    <row r="299" spans="1:2" x14ac:dyDescent="0.25">
      <c r="A299" s="63"/>
    </row>
    <row r="300" spans="1:2" x14ac:dyDescent="0.25">
      <c r="A300" s="63"/>
    </row>
    <row r="301" spans="1:2" x14ac:dyDescent="0.25">
      <c r="A301" s="63"/>
      <c r="B301" s="63"/>
    </row>
    <row r="302" spans="1:2" x14ac:dyDescent="0.25">
      <c r="A302" s="63"/>
    </row>
    <row r="303" spans="1:2" x14ac:dyDescent="0.25">
      <c r="A303" s="63"/>
    </row>
    <row r="304" spans="1:2" x14ac:dyDescent="0.25">
      <c r="A304" s="63"/>
    </row>
    <row r="305" spans="1:2" x14ac:dyDescent="0.25">
      <c r="A305" s="63"/>
      <c r="B305" s="63"/>
    </row>
    <row r="306" spans="1:2" x14ac:dyDescent="0.25">
      <c r="A306" s="63"/>
      <c r="B306" s="63"/>
    </row>
    <row r="307" spans="1:2" x14ac:dyDescent="0.25">
      <c r="A307" s="63"/>
      <c r="B307" s="63"/>
    </row>
    <row r="308" spans="1:2" x14ac:dyDescent="0.25">
      <c r="A308" s="63"/>
      <c r="B308" s="63"/>
    </row>
    <row r="309" spans="1:2" x14ac:dyDescent="0.25">
      <c r="A309" s="63"/>
      <c r="B309" s="63"/>
    </row>
    <row r="310" spans="1:2" x14ac:dyDescent="0.25">
      <c r="A310" s="63"/>
      <c r="B310" s="63"/>
    </row>
    <row r="311" spans="1:2" x14ac:dyDescent="0.25">
      <c r="A311" s="63"/>
      <c r="B311" s="63"/>
    </row>
    <row r="312" spans="1:2" x14ac:dyDescent="0.25">
      <c r="A312" s="63"/>
      <c r="B312" s="63"/>
    </row>
    <row r="313" spans="1:2" x14ac:dyDescent="0.25">
      <c r="A313" s="63"/>
      <c r="B313" s="63"/>
    </row>
    <row r="314" spans="1:2" x14ac:dyDescent="0.25">
      <c r="A314" s="63"/>
      <c r="B314" s="63"/>
    </row>
    <row r="315" spans="1:2" x14ac:dyDescent="0.25">
      <c r="A315" s="63"/>
      <c r="B315" s="63"/>
    </row>
    <row r="316" spans="1:2" x14ac:dyDescent="0.25">
      <c r="A316" s="63"/>
      <c r="B316" s="63"/>
    </row>
    <row r="317" spans="1:2" x14ac:dyDescent="0.25">
      <c r="A317" s="63"/>
      <c r="B317" s="63"/>
    </row>
    <row r="318" spans="1:2" x14ac:dyDescent="0.25">
      <c r="A318" s="63"/>
      <c r="B318" s="63"/>
    </row>
    <row r="319" spans="1:2" x14ac:dyDescent="0.25">
      <c r="A319" s="63"/>
      <c r="B319" s="63"/>
    </row>
    <row r="320" spans="1:2" x14ac:dyDescent="0.25">
      <c r="A320" s="63"/>
      <c r="B320" s="63"/>
    </row>
    <row r="321" spans="1:2" x14ac:dyDescent="0.25">
      <c r="A321" s="63"/>
      <c r="B321" s="63"/>
    </row>
    <row r="322" spans="1:2" x14ac:dyDescent="0.25">
      <c r="A322" s="63"/>
      <c r="B322" s="63"/>
    </row>
    <row r="323" spans="1:2" x14ac:dyDescent="0.25">
      <c r="A323" s="63"/>
      <c r="B323" s="63"/>
    </row>
    <row r="324" spans="1:2" x14ac:dyDescent="0.25">
      <c r="A324" s="63"/>
      <c r="B324" s="63"/>
    </row>
    <row r="325" spans="1:2" x14ac:dyDescent="0.25">
      <c r="A325" s="63"/>
      <c r="B325" s="63"/>
    </row>
    <row r="326" spans="1:2" x14ac:dyDescent="0.25">
      <c r="A326" s="63"/>
      <c r="B326" s="63"/>
    </row>
    <row r="327" spans="1:2" x14ac:dyDescent="0.25">
      <c r="A327" s="63"/>
      <c r="B327" s="63"/>
    </row>
    <row r="328" spans="1:2" x14ac:dyDescent="0.25">
      <c r="A328" s="63"/>
      <c r="B328" s="63"/>
    </row>
    <row r="329" spans="1:2" x14ac:dyDescent="0.25">
      <c r="A329" s="63"/>
      <c r="B329" s="63"/>
    </row>
    <row r="330" spans="1:2" x14ac:dyDescent="0.25">
      <c r="A330" s="63"/>
      <c r="B330" s="63"/>
    </row>
    <row r="331" spans="1:2" x14ac:dyDescent="0.25">
      <c r="A331" s="63"/>
      <c r="B331" s="63"/>
    </row>
    <row r="332" spans="1:2" x14ac:dyDescent="0.25">
      <c r="A332" s="63"/>
      <c r="B332" s="63"/>
    </row>
    <row r="333" spans="1:2" x14ac:dyDescent="0.25">
      <c r="A333" s="63"/>
      <c r="B333" s="63"/>
    </row>
    <row r="334" spans="1:2" x14ac:dyDescent="0.25">
      <c r="A334" s="63"/>
      <c r="B334" s="63"/>
    </row>
    <row r="335" spans="1:2" x14ac:dyDescent="0.25">
      <c r="A335" s="63"/>
      <c r="B335" s="63"/>
    </row>
    <row r="336" spans="1:2" x14ac:dyDescent="0.25">
      <c r="A336" s="63"/>
      <c r="B336" s="63"/>
    </row>
    <row r="337" spans="1:2" x14ac:dyDescent="0.25">
      <c r="A337" s="63"/>
      <c r="B337" s="63"/>
    </row>
    <row r="338" spans="1:2" x14ac:dyDescent="0.25">
      <c r="A338" s="63"/>
      <c r="B338" s="63"/>
    </row>
    <row r="339" spans="1:2" x14ac:dyDescent="0.25">
      <c r="A339" s="63"/>
      <c r="B339" s="63"/>
    </row>
    <row r="340" spans="1:2" x14ac:dyDescent="0.25">
      <c r="A340" s="63"/>
      <c r="B340" s="63"/>
    </row>
    <row r="341" spans="1:2" x14ac:dyDescent="0.25">
      <c r="A341" s="63"/>
      <c r="B341" s="63"/>
    </row>
    <row r="342" spans="1:2" x14ac:dyDescent="0.25">
      <c r="A342" s="63"/>
      <c r="B342" s="63"/>
    </row>
    <row r="343" spans="1:2" x14ac:dyDescent="0.25">
      <c r="A343" s="63"/>
      <c r="B343" s="63"/>
    </row>
    <row r="344" spans="1:2" x14ac:dyDescent="0.25">
      <c r="A344" s="63"/>
      <c r="B344" s="63"/>
    </row>
    <row r="345" spans="1:2" x14ac:dyDescent="0.25">
      <c r="A345" s="63"/>
      <c r="B345" s="63"/>
    </row>
    <row r="346" spans="1:2" x14ac:dyDescent="0.25">
      <c r="A346" s="63"/>
      <c r="B346" s="63"/>
    </row>
    <row r="347" spans="1:2" x14ac:dyDescent="0.25">
      <c r="A347" s="63"/>
      <c r="B347" s="63"/>
    </row>
    <row r="348" spans="1:2" x14ac:dyDescent="0.25">
      <c r="A348" s="63"/>
      <c r="B348" s="63"/>
    </row>
    <row r="349" spans="1:2" x14ac:dyDescent="0.25">
      <c r="A349" s="63"/>
      <c r="B349" s="63"/>
    </row>
    <row r="350" spans="1:2" x14ac:dyDescent="0.25">
      <c r="A350" s="63"/>
      <c r="B350" s="63"/>
    </row>
    <row r="351" spans="1:2" x14ac:dyDescent="0.25">
      <c r="A351" s="63"/>
      <c r="B351" s="63"/>
    </row>
    <row r="352" spans="1:2" x14ac:dyDescent="0.25">
      <c r="A352" s="63"/>
      <c r="B352" s="63"/>
    </row>
    <row r="353" spans="1:2" x14ac:dyDescent="0.25">
      <c r="A353" s="63"/>
      <c r="B353" s="63"/>
    </row>
    <row r="354" spans="1:2" x14ac:dyDescent="0.25">
      <c r="A354" s="63"/>
      <c r="B354" s="63"/>
    </row>
    <row r="355" spans="1:2" x14ac:dyDescent="0.25">
      <c r="A355" s="63"/>
      <c r="B355" s="63"/>
    </row>
    <row r="356" spans="1:2" x14ac:dyDescent="0.25">
      <c r="A356" s="63"/>
      <c r="B356" s="63"/>
    </row>
    <row r="357" spans="1:2" x14ac:dyDescent="0.25">
      <c r="A357" s="63"/>
      <c r="B357" s="63"/>
    </row>
    <row r="358" spans="1:2" x14ac:dyDescent="0.25">
      <c r="A358" s="63"/>
      <c r="B358" s="63"/>
    </row>
    <row r="359" spans="1:2" x14ac:dyDescent="0.25">
      <c r="A359" s="63"/>
      <c r="B359" s="63"/>
    </row>
    <row r="360" spans="1:2" x14ac:dyDescent="0.25">
      <c r="A360" s="63"/>
      <c r="B360" s="63"/>
    </row>
    <row r="361" spans="1:2" x14ac:dyDescent="0.25">
      <c r="A361" s="63"/>
      <c r="B361" s="63"/>
    </row>
    <row r="362" spans="1:2" x14ac:dyDescent="0.25">
      <c r="A362" s="63"/>
      <c r="B362" s="63"/>
    </row>
    <row r="363" spans="1:2" x14ac:dyDescent="0.25">
      <c r="A363" s="63"/>
      <c r="B363" s="63"/>
    </row>
    <row r="364" spans="1:2" x14ac:dyDescent="0.25">
      <c r="A364" s="63"/>
      <c r="B364" s="63"/>
    </row>
    <row r="365" spans="1:2" x14ac:dyDescent="0.25">
      <c r="A365" s="63"/>
      <c r="B365" s="63"/>
    </row>
    <row r="366" spans="1:2" x14ac:dyDescent="0.25">
      <c r="A366" s="63"/>
      <c r="B366" s="63"/>
    </row>
    <row r="367" spans="1:2" x14ac:dyDescent="0.25">
      <c r="A367" s="63"/>
      <c r="B367" s="63"/>
    </row>
    <row r="368" spans="1:2" x14ac:dyDescent="0.25">
      <c r="A368" s="63"/>
      <c r="B368" s="63"/>
    </row>
    <row r="369" spans="1:2" x14ac:dyDescent="0.25">
      <c r="A369" s="63"/>
      <c r="B369" s="63"/>
    </row>
    <row r="370" spans="1:2" x14ac:dyDescent="0.25">
      <c r="A370" s="63"/>
      <c r="B370" s="63"/>
    </row>
    <row r="371" spans="1:2" x14ac:dyDescent="0.25">
      <c r="A371" s="63"/>
      <c r="B371" s="63"/>
    </row>
    <row r="372" spans="1:2" x14ac:dyDescent="0.25">
      <c r="A372" s="63"/>
      <c r="B372" s="63"/>
    </row>
    <row r="373" spans="1:2" x14ac:dyDescent="0.25">
      <c r="A373" s="63"/>
      <c r="B373" s="63"/>
    </row>
    <row r="374" spans="1:2" x14ac:dyDescent="0.25">
      <c r="A374" s="63"/>
      <c r="B374" s="63"/>
    </row>
    <row r="375" spans="1:2" x14ac:dyDescent="0.25">
      <c r="A375" s="63"/>
      <c r="B375" s="63"/>
    </row>
    <row r="376" spans="1:2" x14ac:dyDescent="0.25">
      <c r="A376" s="63"/>
      <c r="B376" s="63"/>
    </row>
    <row r="377" spans="1:2" x14ac:dyDescent="0.25">
      <c r="A377" s="63"/>
      <c r="B377" s="63"/>
    </row>
    <row r="378" spans="1:2" x14ac:dyDescent="0.25">
      <c r="A378" s="63"/>
      <c r="B378" s="63"/>
    </row>
    <row r="379" spans="1:2" x14ac:dyDescent="0.25">
      <c r="A379" s="63"/>
      <c r="B379" s="63"/>
    </row>
    <row r="380" spans="1:2" x14ac:dyDescent="0.25">
      <c r="A380" s="63"/>
      <c r="B380" s="63"/>
    </row>
    <row r="381" spans="1:2" x14ac:dyDescent="0.25">
      <c r="A381" s="63"/>
      <c r="B381" s="63"/>
    </row>
    <row r="382" spans="1:2" x14ac:dyDescent="0.25">
      <c r="A382" s="63"/>
    </row>
    <row r="383" spans="1:2" x14ac:dyDescent="0.25">
      <c r="A383" s="63"/>
      <c r="B383" s="63"/>
    </row>
    <row r="384" spans="1:2" x14ac:dyDescent="0.25">
      <c r="A384" s="63"/>
      <c r="B384" s="63"/>
    </row>
    <row r="385" spans="1:2" x14ac:dyDescent="0.25">
      <c r="A385" s="63"/>
      <c r="B385" s="63"/>
    </row>
    <row r="386" spans="1:2" x14ac:dyDescent="0.25">
      <c r="A386" s="63"/>
      <c r="B386" s="63"/>
    </row>
    <row r="387" spans="1:2" x14ac:dyDescent="0.25">
      <c r="A387" s="63"/>
      <c r="B387" s="63"/>
    </row>
    <row r="388" spans="1:2" x14ac:dyDescent="0.25">
      <c r="A388" s="63"/>
      <c r="B388" s="63"/>
    </row>
    <row r="389" spans="1:2" x14ac:dyDescent="0.25">
      <c r="A389" s="63"/>
      <c r="B389" s="63"/>
    </row>
    <row r="390" spans="1:2" x14ac:dyDescent="0.25">
      <c r="A390" s="63"/>
      <c r="B390" s="63"/>
    </row>
    <row r="391" spans="1:2" x14ac:dyDescent="0.25">
      <c r="A391" s="63"/>
      <c r="B391" s="63"/>
    </row>
    <row r="392" spans="1:2" x14ac:dyDescent="0.25">
      <c r="A392" s="63"/>
      <c r="B392" s="63"/>
    </row>
    <row r="393" spans="1:2" x14ac:dyDescent="0.25">
      <c r="A393" s="63"/>
      <c r="B393" s="63"/>
    </row>
    <row r="394" spans="1:2" x14ac:dyDescent="0.25">
      <c r="A394" s="63"/>
      <c r="B394" s="63"/>
    </row>
    <row r="395" spans="1:2" x14ac:dyDescent="0.25">
      <c r="A395" s="63"/>
      <c r="B395" s="63"/>
    </row>
    <row r="396" spans="1:2" x14ac:dyDescent="0.25">
      <c r="A396" s="63"/>
      <c r="B396" s="63"/>
    </row>
    <row r="397" spans="1:2" x14ac:dyDescent="0.25">
      <c r="A397" s="63"/>
      <c r="B397" s="63"/>
    </row>
    <row r="398" spans="1:2" x14ac:dyDescent="0.25">
      <c r="A398" s="63"/>
      <c r="B398" s="63"/>
    </row>
    <row r="399" spans="1:2" x14ac:dyDescent="0.25">
      <c r="A399" s="63"/>
      <c r="B399" s="63"/>
    </row>
    <row r="400" spans="1:2" x14ac:dyDescent="0.25">
      <c r="A400" s="63"/>
      <c r="B400" s="63"/>
    </row>
    <row r="401" spans="1:2" x14ac:dyDescent="0.25">
      <c r="A401" s="63"/>
      <c r="B401" s="63"/>
    </row>
    <row r="402" spans="1:2" x14ac:dyDescent="0.25">
      <c r="A402" s="63"/>
      <c r="B402" s="63"/>
    </row>
    <row r="403" spans="1:2" x14ac:dyDescent="0.25">
      <c r="A403" s="63"/>
      <c r="B403" s="63"/>
    </row>
    <row r="404" spans="1:2" x14ac:dyDescent="0.25">
      <c r="A404" s="63"/>
      <c r="B404" s="63"/>
    </row>
    <row r="405" spans="1:2" x14ac:dyDescent="0.25">
      <c r="A405" s="63"/>
      <c r="B405" s="63"/>
    </row>
    <row r="406" spans="1:2" x14ac:dyDescent="0.25">
      <c r="A406" s="63"/>
      <c r="B406" s="63"/>
    </row>
    <row r="407" spans="1:2" x14ac:dyDescent="0.25">
      <c r="A407" s="63"/>
      <c r="B407" s="63"/>
    </row>
    <row r="408" spans="1:2" x14ac:dyDescent="0.25">
      <c r="A408" s="63"/>
      <c r="B408" s="63"/>
    </row>
    <row r="409" spans="1:2" x14ac:dyDescent="0.25">
      <c r="A409" s="63"/>
      <c r="B409" s="63"/>
    </row>
    <row r="410" spans="1:2" x14ac:dyDescent="0.25">
      <c r="A410" s="63"/>
      <c r="B410" s="63"/>
    </row>
    <row r="411" spans="1:2" x14ac:dyDescent="0.25">
      <c r="A411" s="63"/>
      <c r="B411" s="63"/>
    </row>
    <row r="412" spans="1:2" x14ac:dyDescent="0.25">
      <c r="A412" s="63"/>
      <c r="B412" s="63"/>
    </row>
    <row r="413" spans="1:2" x14ac:dyDescent="0.25">
      <c r="A413" s="63"/>
      <c r="B413" s="63"/>
    </row>
    <row r="414" spans="1:2" x14ac:dyDescent="0.25">
      <c r="A414" s="63"/>
      <c r="B414" s="63"/>
    </row>
    <row r="415" spans="1:2" x14ac:dyDescent="0.25">
      <c r="A415" s="63"/>
      <c r="B415" s="63"/>
    </row>
    <row r="416" spans="1:2" x14ac:dyDescent="0.25">
      <c r="A416" s="63"/>
      <c r="B416" s="63"/>
    </row>
    <row r="417" spans="1:2" x14ac:dyDescent="0.25">
      <c r="A417" s="63"/>
      <c r="B417" s="63"/>
    </row>
    <row r="418" spans="1:2" x14ac:dyDescent="0.25">
      <c r="A418" s="63"/>
      <c r="B418" s="63"/>
    </row>
    <row r="419" spans="1:2" x14ac:dyDescent="0.25">
      <c r="A419" s="63"/>
    </row>
    <row r="420" spans="1:2" x14ac:dyDescent="0.25">
      <c r="A420" s="63"/>
      <c r="B420" s="63"/>
    </row>
    <row r="421" spans="1:2" x14ac:dyDescent="0.25">
      <c r="A421" s="63"/>
      <c r="B421" s="63"/>
    </row>
    <row r="422" spans="1:2" x14ac:dyDescent="0.25">
      <c r="A422" s="63"/>
      <c r="B422" s="63"/>
    </row>
    <row r="423" spans="1:2" x14ac:dyDescent="0.25">
      <c r="A423" s="63"/>
      <c r="B423" s="63"/>
    </row>
    <row r="424" spans="1:2" x14ac:dyDescent="0.25">
      <c r="A424" s="63"/>
      <c r="B424" s="63"/>
    </row>
    <row r="425" spans="1:2" x14ac:dyDescent="0.25">
      <c r="A425" s="63"/>
      <c r="B425" s="63"/>
    </row>
    <row r="426" spans="1:2" x14ac:dyDescent="0.25">
      <c r="A426" s="63"/>
      <c r="B426" s="63"/>
    </row>
    <row r="427" spans="1:2" x14ac:dyDescent="0.25">
      <c r="A427" s="63"/>
      <c r="B427" s="63"/>
    </row>
    <row r="428" spans="1:2" x14ac:dyDescent="0.25">
      <c r="A428" s="63"/>
      <c r="B428" s="63"/>
    </row>
    <row r="429" spans="1:2" x14ac:dyDescent="0.25">
      <c r="A429" s="63"/>
      <c r="B429" s="63"/>
    </row>
    <row r="430" spans="1:2" x14ac:dyDescent="0.25">
      <c r="A430" s="63"/>
      <c r="B430" s="63"/>
    </row>
    <row r="431" spans="1:2" x14ac:dyDescent="0.25">
      <c r="A431" s="63"/>
      <c r="B431" s="63"/>
    </row>
    <row r="432" spans="1:2" x14ac:dyDescent="0.25">
      <c r="A432" s="63"/>
      <c r="B432" s="63"/>
    </row>
    <row r="433" spans="1:2" x14ac:dyDescent="0.25">
      <c r="A433" s="63"/>
      <c r="B433" s="63"/>
    </row>
    <row r="434" spans="1:2" x14ac:dyDescent="0.25">
      <c r="A434" s="63"/>
      <c r="B434" s="63"/>
    </row>
    <row r="435" spans="1:2" x14ac:dyDescent="0.25">
      <c r="A435" s="63"/>
      <c r="B435" s="63"/>
    </row>
    <row r="436" spans="1:2" x14ac:dyDescent="0.25">
      <c r="A436" s="63"/>
      <c r="B436" s="63"/>
    </row>
    <row r="437" spans="1:2" x14ac:dyDescent="0.25">
      <c r="A437" s="63"/>
      <c r="B437" s="63"/>
    </row>
    <row r="438" spans="1:2" x14ac:dyDescent="0.25">
      <c r="A438" s="63"/>
      <c r="B438" s="63"/>
    </row>
    <row r="439" spans="1:2" x14ac:dyDescent="0.25">
      <c r="A439" s="63"/>
      <c r="B439" s="63"/>
    </row>
    <row r="440" spans="1:2" x14ac:dyDescent="0.25">
      <c r="A440" s="63"/>
      <c r="B440" s="63"/>
    </row>
    <row r="441" spans="1:2" x14ac:dyDescent="0.25">
      <c r="A441" s="63"/>
      <c r="B441" s="63"/>
    </row>
    <row r="442" spans="1:2" x14ac:dyDescent="0.25">
      <c r="A442" s="63"/>
      <c r="B442" s="63"/>
    </row>
    <row r="443" spans="1:2" x14ac:dyDescent="0.25">
      <c r="A443" s="63"/>
      <c r="B443" s="63"/>
    </row>
    <row r="444" spans="1:2" x14ac:dyDescent="0.25">
      <c r="A444" s="63"/>
      <c r="B444" s="63"/>
    </row>
    <row r="445" spans="1:2" x14ac:dyDescent="0.25">
      <c r="A445" s="63"/>
      <c r="B445" s="63"/>
    </row>
    <row r="446" spans="1:2" x14ac:dyDescent="0.25">
      <c r="A446" s="63"/>
      <c r="B446" s="63"/>
    </row>
    <row r="447" spans="1:2" x14ac:dyDescent="0.25">
      <c r="A447" s="63"/>
      <c r="B447" s="63"/>
    </row>
    <row r="448" spans="1:2" x14ac:dyDescent="0.25">
      <c r="A448" s="63"/>
      <c r="B448" s="63"/>
    </row>
    <row r="449" spans="1:2" x14ac:dyDescent="0.25">
      <c r="A449" s="63"/>
      <c r="B449" s="63"/>
    </row>
    <row r="450" spans="1:2" x14ac:dyDescent="0.25">
      <c r="A450" s="63"/>
    </row>
    <row r="451" spans="1:2" x14ac:dyDescent="0.25">
      <c r="A451" s="63"/>
      <c r="B451" s="63"/>
    </row>
    <row r="452" spans="1:2" x14ac:dyDescent="0.25">
      <c r="A452" s="63"/>
      <c r="B452" s="63"/>
    </row>
    <row r="453" spans="1:2" x14ac:dyDescent="0.25">
      <c r="A453" s="63"/>
      <c r="B453" s="63"/>
    </row>
    <row r="454" spans="1:2" x14ac:dyDescent="0.25">
      <c r="A454" s="63"/>
      <c r="B454" s="63"/>
    </row>
    <row r="455" spans="1:2" x14ac:dyDescent="0.25">
      <c r="A455" s="63"/>
      <c r="B455" s="63"/>
    </row>
    <row r="456" spans="1:2" x14ac:dyDescent="0.25">
      <c r="A456" s="63"/>
      <c r="B456" s="63"/>
    </row>
    <row r="457" spans="1:2" x14ac:dyDescent="0.25">
      <c r="A457" s="63"/>
      <c r="B457" s="63"/>
    </row>
    <row r="458" spans="1:2" x14ac:dyDescent="0.25">
      <c r="A458" s="63"/>
      <c r="B458" s="63"/>
    </row>
    <row r="459" spans="1:2" x14ac:dyDescent="0.25">
      <c r="A459" s="63"/>
      <c r="B459" s="63"/>
    </row>
    <row r="460" spans="1:2" x14ac:dyDescent="0.25">
      <c r="A460" s="63"/>
      <c r="B460" s="63"/>
    </row>
    <row r="461" spans="1:2" x14ac:dyDescent="0.25">
      <c r="A461" s="63"/>
      <c r="B461" s="63"/>
    </row>
    <row r="462" spans="1:2" x14ac:dyDescent="0.25">
      <c r="A462" s="63"/>
      <c r="B462" s="63"/>
    </row>
    <row r="463" spans="1:2" x14ac:dyDescent="0.25">
      <c r="A463" s="63"/>
      <c r="B463" s="63"/>
    </row>
    <row r="464" spans="1:2" x14ac:dyDescent="0.25">
      <c r="A464" s="63"/>
      <c r="B464" s="63"/>
    </row>
    <row r="465" spans="1:2" x14ac:dyDescent="0.25">
      <c r="A465" s="63"/>
      <c r="B465" s="63"/>
    </row>
    <row r="466" spans="1:2" x14ac:dyDescent="0.25">
      <c r="A466" s="63"/>
      <c r="B466" s="63"/>
    </row>
    <row r="467" spans="1:2" x14ac:dyDescent="0.25">
      <c r="A467" s="63"/>
      <c r="B467" s="63"/>
    </row>
    <row r="468" spans="1:2" x14ac:dyDescent="0.25">
      <c r="A468" s="63"/>
      <c r="B468" s="63"/>
    </row>
    <row r="469" spans="1:2" x14ac:dyDescent="0.25">
      <c r="A469" s="63"/>
      <c r="B469" s="63"/>
    </row>
    <row r="470" spans="1:2" x14ac:dyDescent="0.25">
      <c r="A470" s="63"/>
      <c r="B470" s="63"/>
    </row>
    <row r="471" spans="1:2" x14ac:dyDescent="0.25">
      <c r="A471" s="63"/>
      <c r="B471" s="63"/>
    </row>
    <row r="472" spans="1:2" x14ac:dyDescent="0.25">
      <c r="A472" s="63"/>
    </row>
    <row r="473" spans="1:2" x14ac:dyDescent="0.25">
      <c r="A473" s="63"/>
    </row>
    <row r="474" spans="1:2" x14ac:dyDescent="0.25">
      <c r="A474" s="63"/>
    </row>
    <row r="475" spans="1:2" x14ac:dyDescent="0.25">
      <c r="A475" s="63"/>
    </row>
    <row r="476" spans="1:2" x14ac:dyDescent="0.25">
      <c r="A476" s="63"/>
    </row>
    <row r="477" spans="1:2" x14ac:dyDescent="0.25">
      <c r="A477" s="63"/>
    </row>
    <row r="478" spans="1:2" x14ac:dyDescent="0.25">
      <c r="A478" s="63"/>
    </row>
    <row r="479" spans="1:2" x14ac:dyDescent="0.25">
      <c r="A479" s="63"/>
    </row>
    <row r="480" spans="1:2" x14ac:dyDescent="0.25">
      <c r="A480" s="63"/>
    </row>
    <row r="481" spans="1:2" x14ac:dyDescent="0.25">
      <c r="A481" s="63"/>
    </row>
    <row r="482" spans="1:2" x14ac:dyDescent="0.25">
      <c r="A482" s="63"/>
      <c r="B482" s="63"/>
    </row>
    <row r="483" spans="1:2" x14ac:dyDescent="0.25">
      <c r="A483" s="63"/>
    </row>
    <row r="484" spans="1:2" x14ac:dyDescent="0.25">
      <c r="A484" s="63"/>
    </row>
    <row r="485" spans="1:2" x14ac:dyDescent="0.25">
      <c r="A485" s="63"/>
    </row>
    <row r="486" spans="1:2" x14ac:dyDescent="0.25">
      <c r="A486" s="63"/>
    </row>
    <row r="487" spans="1:2" x14ac:dyDescent="0.25">
      <c r="A487" s="63"/>
    </row>
    <row r="488" spans="1:2" x14ac:dyDescent="0.25">
      <c r="A488" s="63"/>
    </row>
    <row r="489" spans="1:2" x14ac:dyDescent="0.25">
      <c r="A489" s="63"/>
    </row>
    <row r="490" spans="1:2" x14ac:dyDescent="0.25">
      <c r="A490" s="63"/>
    </row>
    <row r="491" spans="1:2" x14ac:dyDescent="0.25">
      <c r="A491" s="63"/>
    </row>
    <row r="492" spans="1:2" x14ac:dyDescent="0.25">
      <c r="A492" s="63"/>
      <c r="B492" s="63"/>
    </row>
    <row r="493" spans="1:2" x14ac:dyDescent="0.25">
      <c r="A493" s="63"/>
      <c r="B493" s="63"/>
    </row>
    <row r="494" spans="1:2" x14ac:dyDescent="0.25">
      <c r="A494" s="63"/>
      <c r="B494" s="63"/>
    </row>
    <row r="495" spans="1:2" x14ac:dyDescent="0.25">
      <c r="A495" s="63"/>
      <c r="B495" s="63"/>
    </row>
    <row r="496" spans="1:2" x14ac:dyDescent="0.25">
      <c r="A496" s="63"/>
      <c r="B496" s="63"/>
    </row>
    <row r="497" spans="1:2" x14ac:dyDescent="0.25">
      <c r="A497" s="63"/>
      <c r="B497" s="63"/>
    </row>
    <row r="498" spans="1:2" x14ac:dyDescent="0.25">
      <c r="A498" s="63"/>
      <c r="B498" s="63"/>
    </row>
    <row r="499" spans="1:2" x14ac:dyDescent="0.25">
      <c r="A499" s="63"/>
      <c r="B499" s="63"/>
    </row>
    <row r="500" spans="1:2" x14ac:dyDescent="0.25">
      <c r="A500" s="63"/>
      <c r="B500" s="63"/>
    </row>
    <row r="501" spans="1:2" x14ac:dyDescent="0.25">
      <c r="A501" s="63"/>
      <c r="B501" s="63"/>
    </row>
    <row r="502" spans="1:2" x14ac:dyDescent="0.25">
      <c r="A502" s="63"/>
      <c r="B502" s="63"/>
    </row>
    <row r="503" spans="1:2" x14ac:dyDescent="0.25">
      <c r="A503" s="63"/>
      <c r="B503" s="63"/>
    </row>
    <row r="504" spans="1:2" x14ac:dyDescent="0.25">
      <c r="A504" s="63"/>
      <c r="B504" s="63"/>
    </row>
    <row r="505" spans="1:2" x14ac:dyDescent="0.25">
      <c r="A505" s="63"/>
      <c r="B505" s="63"/>
    </row>
    <row r="506" spans="1:2" x14ac:dyDescent="0.25">
      <c r="A506" s="63"/>
      <c r="B506" s="63"/>
    </row>
    <row r="507" spans="1:2" x14ac:dyDescent="0.25">
      <c r="A507" s="63"/>
      <c r="B507" s="63"/>
    </row>
    <row r="508" spans="1:2" x14ac:dyDescent="0.25">
      <c r="A508" s="63"/>
      <c r="B508" s="63"/>
    </row>
    <row r="509" spans="1:2" x14ac:dyDescent="0.25">
      <c r="A509" s="63"/>
      <c r="B509" s="63"/>
    </row>
    <row r="510" spans="1:2" x14ac:dyDescent="0.25">
      <c r="A510" s="63"/>
      <c r="B510" s="63"/>
    </row>
    <row r="511" spans="1:2" x14ac:dyDescent="0.25">
      <c r="A511" s="63"/>
      <c r="B511" s="63"/>
    </row>
    <row r="512" spans="1:2" x14ac:dyDescent="0.25">
      <c r="A512" s="63"/>
      <c r="B512" s="63"/>
    </row>
    <row r="513" spans="1:2" x14ac:dyDescent="0.25">
      <c r="A513" s="63"/>
      <c r="B513" s="63"/>
    </row>
    <row r="514" spans="1:2" x14ac:dyDescent="0.25">
      <c r="A514" s="63"/>
      <c r="B514" s="63"/>
    </row>
    <row r="515" spans="1:2" x14ac:dyDescent="0.25">
      <c r="A515" s="63"/>
      <c r="B515" s="63"/>
    </row>
    <row r="516" spans="1:2" x14ac:dyDescent="0.25">
      <c r="A516" s="63"/>
      <c r="B516" s="63"/>
    </row>
    <row r="517" spans="1:2" x14ac:dyDescent="0.25">
      <c r="A517" s="63"/>
      <c r="B517" s="63"/>
    </row>
    <row r="518" spans="1:2" x14ac:dyDescent="0.25">
      <c r="A518" s="63"/>
      <c r="B518" s="63"/>
    </row>
    <row r="519" spans="1:2" x14ac:dyDescent="0.25">
      <c r="A519" s="63"/>
      <c r="B519" s="63"/>
    </row>
    <row r="520" spans="1:2" x14ac:dyDescent="0.25">
      <c r="A520" s="63"/>
      <c r="B520" s="63"/>
    </row>
    <row r="521" spans="1:2" x14ac:dyDescent="0.25">
      <c r="A521" s="63"/>
      <c r="B521" s="63"/>
    </row>
    <row r="522" spans="1:2" x14ac:dyDescent="0.25">
      <c r="A522" s="63"/>
      <c r="B522" s="63"/>
    </row>
    <row r="523" spans="1:2" x14ac:dyDescent="0.25">
      <c r="A523" s="63"/>
      <c r="B523" s="63"/>
    </row>
    <row r="524" spans="1:2" x14ac:dyDescent="0.25">
      <c r="A524" s="63"/>
      <c r="B524" s="63"/>
    </row>
    <row r="525" spans="1:2" x14ac:dyDescent="0.25">
      <c r="A525" s="63"/>
      <c r="B525" s="63"/>
    </row>
    <row r="526" spans="1:2" x14ac:dyDescent="0.25">
      <c r="A526" s="63"/>
      <c r="B526" s="63"/>
    </row>
    <row r="527" spans="1:2" x14ac:dyDescent="0.25">
      <c r="A527" s="63"/>
      <c r="B527" s="63"/>
    </row>
    <row r="528" spans="1:2" x14ac:dyDescent="0.25">
      <c r="A528" s="63"/>
      <c r="B528" s="63"/>
    </row>
    <row r="529" spans="1:2" x14ac:dyDescent="0.25">
      <c r="A529" s="63"/>
      <c r="B529" s="63"/>
    </row>
    <row r="530" spans="1:2" x14ac:dyDescent="0.25">
      <c r="A530" s="63"/>
      <c r="B530" s="63"/>
    </row>
    <row r="531" spans="1:2" x14ac:dyDescent="0.25">
      <c r="A531" s="63"/>
      <c r="B531" s="63"/>
    </row>
    <row r="532" spans="1:2" x14ac:dyDescent="0.25">
      <c r="A532" s="63"/>
      <c r="B532" s="63"/>
    </row>
    <row r="533" spans="1:2" x14ac:dyDescent="0.25">
      <c r="A533" s="63"/>
      <c r="B533" s="63"/>
    </row>
    <row r="534" spans="1:2" x14ac:dyDescent="0.25">
      <c r="A534" s="63"/>
      <c r="B534" s="63"/>
    </row>
    <row r="535" spans="1:2" x14ac:dyDescent="0.25">
      <c r="A535" s="63"/>
      <c r="B535" s="63"/>
    </row>
    <row r="536" spans="1:2" x14ac:dyDescent="0.25">
      <c r="A536" s="63"/>
      <c r="B536" s="63"/>
    </row>
    <row r="537" spans="1:2" x14ac:dyDescent="0.25">
      <c r="A537" s="63"/>
      <c r="B537" s="63"/>
    </row>
    <row r="538" spans="1:2" x14ac:dyDescent="0.25">
      <c r="A538" s="63"/>
      <c r="B538" s="63"/>
    </row>
    <row r="539" spans="1:2" x14ac:dyDescent="0.25">
      <c r="A539" s="63"/>
      <c r="B539" s="63"/>
    </row>
    <row r="540" spans="1:2" x14ac:dyDescent="0.25">
      <c r="A540" s="63"/>
      <c r="B540" s="63"/>
    </row>
    <row r="541" spans="1:2" x14ac:dyDescent="0.25">
      <c r="A541" s="63"/>
      <c r="B541" s="63"/>
    </row>
    <row r="542" spans="1:2" x14ac:dyDescent="0.25">
      <c r="A542" s="63"/>
      <c r="B542" s="63"/>
    </row>
    <row r="543" spans="1:2" x14ac:dyDescent="0.25">
      <c r="A543" s="63"/>
      <c r="B543" s="63"/>
    </row>
    <row r="544" spans="1:2" x14ac:dyDescent="0.25">
      <c r="A544" s="63"/>
      <c r="B544" s="63"/>
    </row>
    <row r="545" spans="1:2" x14ac:dyDescent="0.25">
      <c r="A545" s="63"/>
      <c r="B545" s="63"/>
    </row>
    <row r="546" spans="1:2" x14ac:dyDescent="0.25">
      <c r="A546" s="63"/>
      <c r="B546" s="63"/>
    </row>
    <row r="547" spans="1:2" x14ac:dyDescent="0.25">
      <c r="A547" s="63"/>
      <c r="B547" s="63"/>
    </row>
    <row r="548" spans="1:2" x14ac:dyDescent="0.25">
      <c r="A548" s="63"/>
      <c r="B548" s="63"/>
    </row>
    <row r="549" spans="1:2" x14ac:dyDescent="0.25">
      <c r="A549" s="63"/>
      <c r="B549" s="63"/>
    </row>
    <row r="550" spans="1:2" x14ac:dyDescent="0.25">
      <c r="A550" s="63"/>
      <c r="B550" s="63"/>
    </row>
    <row r="551" spans="1:2" x14ac:dyDescent="0.25">
      <c r="A551" s="63"/>
      <c r="B551" s="63"/>
    </row>
    <row r="552" spans="1:2" x14ac:dyDescent="0.25">
      <c r="A552" s="63"/>
      <c r="B552" s="63"/>
    </row>
    <row r="553" spans="1:2" x14ac:dyDescent="0.25">
      <c r="A553" s="63"/>
      <c r="B553" s="63"/>
    </row>
    <row r="554" spans="1:2" x14ac:dyDescent="0.25">
      <c r="A554" s="63"/>
      <c r="B554" s="63"/>
    </row>
    <row r="555" spans="1:2" x14ac:dyDescent="0.25">
      <c r="A555" s="63"/>
      <c r="B555" s="63"/>
    </row>
    <row r="556" spans="1:2" x14ac:dyDescent="0.25">
      <c r="A556" s="63"/>
      <c r="B556" s="63"/>
    </row>
    <row r="557" spans="1:2" x14ac:dyDescent="0.25">
      <c r="A557" s="63"/>
      <c r="B557" s="63"/>
    </row>
    <row r="558" spans="1:2" x14ac:dyDescent="0.25">
      <c r="A558" s="63"/>
      <c r="B558" s="63"/>
    </row>
    <row r="559" spans="1:2" x14ac:dyDescent="0.25">
      <c r="A559" s="63"/>
      <c r="B559" s="63"/>
    </row>
    <row r="560" spans="1:2" x14ac:dyDescent="0.25">
      <c r="A560" s="63"/>
      <c r="B560" s="63"/>
    </row>
    <row r="561" spans="1:2" x14ac:dyDescent="0.25">
      <c r="A561" s="63"/>
      <c r="B561" s="63"/>
    </row>
    <row r="562" spans="1:2" x14ac:dyDescent="0.25">
      <c r="A562" s="63"/>
      <c r="B562" s="63"/>
    </row>
    <row r="563" spans="1:2" x14ac:dyDescent="0.25">
      <c r="A563" s="63"/>
      <c r="B563" s="63"/>
    </row>
    <row r="564" spans="1:2" x14ac:dyDescent="0.25">
      <c r="A564" s="63"/>
      <c r="B564" s="63"/>
    </row>
    <row r="565" spans="1:2" x14ac:dyDescent="0.25">
      <c r="A565" s="63"/>
      <c r="B565" s="63"/>
    </row>
    <row r="566" spans="1:2" x14ac:dyDescent="0.25">
      <c r="A566" s="63"/>
      <c r="B566" s="63"/>
    </row>
    <row r="567" spans="1:2" x14ac:dyDescent="0.25">
      <c r="A567" s="63"/>
      <c r="B567" s="63"/>
    </row>
    <row r="568" spans="1:2" x14ac:dyDescent="0.25">
      <c r="A568" s="63"/>
      <c r="B568" s="63"/>
    </row>
    <row r="569" spans="1:2" x14ac:dyDescent="0.25">
      <c r="A569" s="63"/>
      <c r="B569" s="63"/>
    </row>
    <row r="570" spans="1:2" x14ac:dyDescent="0.25">
      <c r="A570" s="63"/>
      <c r="B570" s="63"/>
    </row>
    <row r="571" spans="1:2" x14ac:dyDescent="0.25">
      <c r="A571" s="63"/>
      <c r="B571" s="63"/>
    </row>
    <row r="572" spans="1:2" x14ac:dyDescent="0.25">
      <c r="A572" s="63"/>
      <c r="B572" s="63"/>
    </row>
    <row r="573" spans="1:2" x14ac:dyDescent="0.25">
      <c r="A573" s="63"/>
      <c r="B573" s="63"/>
    </row>
    <row r="574" spans="1:2" x14ac:dyDescent="0.25">
      <c r="A574" s="63"/>
      <c r="B574" s="63"/>
    </row>
    <row r="575" spans="1:2" x14ac:dyDescent="0.25">
      <c r="A575" s="63"/>
      <c r="B575" s="63"/>
    </row>
    <row r="576" spans="1:2" x14ac:dyDescent="0.25">
      <c r="A576" s="63"/>
      <c r="B576" s="63"/>
    </row>
    <row r="577" spans="1:2" x14ac:dyDescent="0.25">
      <c r="A577" s="63"/>
      <c r="B577" s="63"/>
    </row>
    <row r="578" spans="1:2" x14ac:dyDescent="0.25">
      <c r="A578" s="63"/>
      <c r="B578" s="63"/>
    </row>
    <row r="579" spans="1:2" x14ac:dyDescent="0.25">
      <c r="A579" s="63"/>
      <c r="B579" s="63"/>
    </row>
    <row r="580" spans="1:2" x14ac:dyDescent="0.25">
      <c r="A580" s="63"/>
      <c r="B580" s="63"/>
    </row>
    <row r="581" spans="1:2" x14ac:dyDescent="0.25">
      <c r="A581" s="63"/>
      <c r="B581" s="63"/>
    </row>
    <row r="582" spans="1:2" x14ac:dyDescent="0.25">
      <c r="A582" s="63"/>
      <c r="B582" s="63"/>
    </row>
    <row r="583" spans="1:2" x14ac:dyDescent="0.25">
      <c r="A583" s="63"/>
      <c r="B583" s="63"/>
    </row>
    <row r="584" spans="1:2" x14ac:dyDescent="0.25">
      <c r="A584" s="63"/>
      <c r="B584" s="63"/>
    </row>
    <row r="585" spans="1:2" x14ac:dyDescent="0.25">
      <c r="A585" s="63"/>
      <c r="B585" s="63"/>
    </row>
    <row r="586" spans="1:2" x14ac:dyDescent="0.25">
      <c r="A586" s="63"/>
      <c r="B586" s="63"/>
    </row>
    <row r="587" spans="1:2" x14ac:dyDescent="0.25">
      <c r="A587" s="63"/>
      <c r="B587" s="63"/>
    </row>
    <row r="588" spans="1:2" x14ac:dyDescent="0.25">
      <c r="A588" s="63"/>
      <c r="B588" s="63"/>
    </row>
    <row r="589" spans="1:2" x14ac:dyDescent="0.25">
      <c r="A589" s="63"/>
      <c r="B589" s="63"/>
    </row>
    <row r="590" spans="1:2" x14ac:dyDescent="0.25">
      <c r="A590" s="63"/>
      <c r="B590" s="63"/>
    </row>
    <row r="591" spans="1:2" x14ac:dyDescent="0.25">
      <c r="A591" s="63"/>
      <c r="B591" s="63"/>
    </row>
    <row r="592" spans="1:2" x14ac:dyDescent="0.25">
      <c r="A592" s="63"/>
      <c r="B592" s="63"/>
    </row>
    <row r="593" spans="1:2" x14ac:dyDescent="0.25">
      <c r="A593" s="63"/>
      <c r="B593" s="63"/>
    </row>
    <row r="594" spans="1:2" x14ac:dyDescent="0.25">
      <c r="A594" s="63"/>
      <c r="B594" s="63"/>
    </row>
    <row r="595" spans="1:2" x14ac:dyDescent="0.25">
      <c r="A595" s="63"/>
      <c r="B595" s="63"/>
    </row>
    <row r="596" spans="1:2" x14ac:dyDescent="0.25">
      <c r="A596" s="63"/>
      <c r="B596" s="63"/>
    </row>
    <row r="597" spans="1:2" x14ac:dyDescent="0.25">
      <c r="A597" s="63"/>
      <c r="B597" s="63"/>
    </row>
    <row r="598" spans="1:2" x14ac:dyDescent="0.25">
      <c r="A598" s="63"/>
      <c r="B598" s="63"/>
    </row>
    <row r="599" spans="1:2" x14ac:dyDescent="0.25">
      <c r="A599" s="63"/>
      <c r="B599" s="63"/>
    </row>
    <row r="600" spans="1:2" x14ac:dyDescent="0.25">
      <c r="A600" s="63"/>
      <c r="B600" s="63"/>
    </row>
    <row r="601" spans="1:2" x14ac:dyDescent="0.25">
      <c r="A601" s="63"/>
      <c r="B601" s="63"/>
    </row>
    <row r="602" spans="1:2" x14ac:dyDescent="0.25">
      <c r="A602" s="63"/>
      <c r="B602" s="63"/>
    </row>
    <row r="603" spans="1:2" x14ac:dyDescent="0.25">
      <c r="A603" s="63"/>
      <c r="B603" s="63"/>
    </row>
    <row r="604" spans="1:2" x14ac:dyDescent="0.25">
      <c r="A604" s="63"/>
      <c r="B604" s="63"/>
    </row>
    <row r="605" spans="1:2" x14ac:dyDescent="0.25">
      <c r="A605" s="63"/>
      <c r="B605" s="63"/>
    </row>
    <row r="606" spans="1:2" x14ac:dyDescent="0.25">
      <c r="A606" s="63"/>
      <c r="B606" s="63"/>
    </row>
    <row r="607" spans="1:2" x14ac:dyDescent="0.25">
      <c r="A607" s="63"/>
      <c r="B607" s="63"/>
    </row>
    <row r="608" spans="1:2" x14ac:dyDescent="0.25">
      <c r="A608" s="63"/>
      <c r="B608" s="63"/>
    </row>
    <row r="609" spans="1:2" x14ac:dyDescent="0.25">
      <c r="A609" s="63"/>
      <c r="B609" s="63"/>
    </row>
    <row r="610" spans="1:2" x14ac:dyDescent="0.25">
      <c r="A610" s="63"/>
      <c r="B610" s="63"/>
    </row>
    <row r="611" spans="1:2" x14ac:dyDescent="0.25">
      <c r="A611" s="63"/>
      <c r="B611" s="63"/>
    </row>
    <row r="612" spans="1:2" x14ac:dyDescent="0.25">
      <c r="A612" s="63"/>
      <c r="B612" s="63"/>
    </row>
    <row r="613" spans="1:2" x14ac:dyDescent="0.25">
      <c r="A613" s="63"/>
      <c r="B613" s="63"/>
    </row>
    <row r="614" spans="1:2" x14ac:dyDescent="0.25">
      <c r="A614" s="63"/>
      <c r="B614" s="63"/>
    </row>
    <row r="615" spans="1:2" x14ac:dyDescent="0.25">
      <c r="A615" s="63"/>
      <c r="B615" s="63"/>
    </row>
    <row r="616" spans="1:2" x14ac:dyDescent="0.25">
      <c r="A616" s="63"/>
      <c r="B616" s="63"/>
    </row>
    <row r="617" spans="1:2" x14ac:dyDescent="0.25">
      <c r="A617" s="63"/>
      <c r="B617" s="63"/>
    </row>
    <row r="618" spans="1:2" x14ac:dyDescent="0.25">
      <c r="A618" s="63"/>
      <c r="B618" s="63"/>
    </row>
    <row r="619" spans="1:2" x14ac:dyDescent="0.25">
      <c r="A619" s="63"/>
      <c r="B619" s="63"/>
    </row>
    <row r="620" spans="1:2" x14ac:dyDescent="0.25">
      <c r="A620" s="63"/>
      <c r="B620" s="63"/>
    </row>
    <row r="621" spans="1:2" x14ac:dyDescent="0.25">
      <c r="A621" s="63"/>
      <c r="B621" s="63"/>
    </row>
    <row r="622" spans="1:2" x14ac:dyDescent="0.25">
      <c r="A622" s="63"/>
      <c r="B622" s="63"/>
    </row>
    <row r="623" spans="1:2" x14ac:dyDescent="0.25">
      <c r="A623" s="63"/>
      <c r="B623" s="63"/>
    </row>
    <row r="624" spans="1:2" x14ac:dyDescent="0.25">
      <c r="A624" s="63"/>
      <c r="B624" s="63"/>
    </row>
    <row r="625" spans="1:2" x14ac:dyDescent="0.25">
      <c r="A625" s="63"/>
      <c r="B625" s="63"/>
    </row>
    <row r="626" spans="1:2" x14ac:dyDescent="0.25">
      <c r="A626" s="63"/>
      <c r="B626" s="63"/>
    </row>
    <row r="627" spans="1:2" x14ac:dyDescent="0.25">
      <c r="A627" s="63"/>
      <c r="B627" s="63"/>
    </row>
    <row r="628" spans="1:2" x14ac:dyDescent="0.25">
      <c r="A628" s="63"/>
      <c r="B628" s="63"/>
    </row>
    <row r="629" spans="1:2" x14ac:dyDescent="0.25">
      <c r="A629" s="63"/>
      <c r="B629" s="63"/>
    </row>
    <row r="630" spans="1:2" x14ac:dyDescent="0.25">
      <c r="A630" s="63"/>
      <c r="B630" s="63"/>
    </row>
    <row r="631" spans="1:2" x14ac:dyDescent="0.25">
      <c r="A631" s="63"/>
      <c r="B631" s="63"/>
    </row>
    <row r="632" spans="1:2" x14ac:dyDescent="0.25">
      <c r="A632" s="63"/>
      <c r="B632" s="63"/>
    </row>
    <row r="633" spans="1:2" x14ac:dyDescent="0.25">
      <c r="A633" s="63"/>
      <c r="B633" s="63"/>
    </row>
    <row r="634" spans="1:2" x14ac:dyDescent="0.25">
      <c r="A634" s="63"/>
      <c r="B634" s="63"/>
    </row>
    <row r="635" spans="1:2" x14ac:dyDescent="0.25">
      <c r="A635" s="63"/>
      <c r="B635" s="63"/>
    </row>
    <row r="636" spans="1:2" x14ac:dyDescent="0.25">
      <c r="A636" s="63"/>
      <c r="B636" s="63"/>
    </row>
    <row r="637" spans="1:2" x14ac:dyDescent="0.25">
      <c r="A637" s="63"/>
      <c r="B637" s="63"/>
    </row>
    <row r="638" spans="1:2" x14ac:dyDescent="0.25">
      <c r="A638" s="63"/>
      <c r="B638" s="63"/>
    </row>
    <row r="639" spans="1:2" x14ac:dyDescent="0.25">
      <c r="A639" s="63"/>
      <c r="B639" s="63"/>
    </row>
    <row r="640" spans="1:2" x14ac:dyDescent="0.25">
      <c r="A640" s="63"/>
      <c r="B640" s="63"/>
    </row>
    <row r="641" spans="1:2" x14ac:dyDescent="0.25">
      <c r="A641" s="63"/>
      <c r="B641" s="63"/>
    </row>
    <row r="642" spans="1:2" x14ac:dyDescent="0.25">
      <c r="A642" s="63"/>
      <c r="B642" s="63"/>
    </row>
    <row r="643" spans="1:2" x14ac:dyDescent="0.25">
      <c r="A643" s="63"/>
      <c r="B643" s="63"/>
    </row>
    <row r="644" spans="1:2" x14ac:dyDescent="0.25">
      <c r="A644" s="63"/>
      <c r="B644" s="63"/>
    </row>
    <row r="645" spans="1:2" x14ac:dyDescent="0.25">
      <c r="A645" s="63"/>
      <c r="B645" s="63"/>
    </row>
    <row r="646" spans="1:2" x14ac:dyDescent="0.25">
      <c r="A646" s="63"/>
      <c r="B646" s="63"/>
    </row>
    <row r="647" spans="1:2" x14ac:dyDescent="0.25">
      <c r="A647" s="63"/>
      <c r="B647" s="63"/>
    </row>
    <row r="648" spans="1:2" x14ac:dyDescent="0.25">
      <c r="A648" s="63"/>
    </row>
    <row r="649" spans="1:2" x14ac:dyDescent="0.25">
      <c r="A649" s="63"/>
      <c r="B649" s="63"/>
    </row>
    <row r="650" spans="1:2" x14ac:dyDescent="0.25">
      <c r="A650" s="63"/>
      <c r="B650" s="63"/>
    </row>
    <row r="651" spans="1:2" x14ac:dyDescent="0.25">
      <c r="A651" s="63"/>
      <c r="B651" s="63"/>
    </row>
    <row r="652" spans="1:2" x14ac:dyDescent="0.25">
      <c r="A652" s="63"/>
      <c r="B652" s="63"/>
    </row>
    <row r="653" spans="1:2" x14ac:dyDescent="0.25">
      <c r="A653" s="63"/>
      <c r="B653" s="63"/>
    </row>
    <row r="654" spans="1:2" x14ac:dyDescent="0.25">
      <c r="A654" s="63"/>
      <c r="B654" s="63"/>
    </row>
    <row r="655" spans="1:2" x14ac:dyDescent="0.25">
      <c r="A655" s="63"/>
      <c r="B655" s="63"/>
    </row>
    <row r="656" spans="1:2" x14ac:dyDescent="0.25">
      <c r="A656" s="63"/>
      <c r="B656" s="63"/>
    </row>
    <row r="657" spans="1:2" x14ac:dyDescent="0.25">
      <c r="A657" s="63"/>
      <c r="B657" s="63"/>
    </row>
    <row r="658" spans="1:2" x14ac:dyDescent="0.25">
      <c r="A658" s="63"/>
      <c r="B658" s="63"/>
    </row>
    <row r="659" spans="1:2" x14ac:dyDescent="0.25">
      <c r="A659" s="63"/>
      <c r="B659" s="63"/>
    </row>
    <row r="660" spans="1:2" x14ac:dyDescent="0.25">
      <c r="A660" s="63"/>
      <c r="B660" s="63"/>
    </row>
    <row r="661" spans="1:2" x14ac:dyDescent="0.25">
      <c r="A661" s="63"/>
      <c r="B661" s="63"/>
    </row>
    <row r="662" spans="1:2" x14ac:dyDescent="0.25">
      <c r="A662" s="63"/>
      <c r="B662" s="63"/>
    </row>
    <row r="663" spans="1:2" x14ac:dyDescent="0.25">
      <c r="A663" s="63"/>
      <c r="B663" s="63"/>
    </row>
    <row r="664" spans="1:2" x14ac:dyDescent="0.25">
      <c r="A664" s="63"/>
      <c r="B664" s="63"/>
    </row>
    <row r="665" spans="1:2" x14ac:dyDescent="0.25">
      <c r="A665" s="63"/>
      <c r="B665" s="63"/>
    </row>
    <row r="666" spans="1:2" x14ac:dyDescent="0.25">
      <c r="A666" s="63"/>
      <c r="B666" s="63"/>
    </row>
    <row r="667" spans="1:2" x14ac:dyDescent="0.25">
      <c r="A667" s="63"/>
      <c r="B667" s="63"/>
    </row>
    <row r="668" spans="1:2" x14ac:dyDescent="0.25">
      <c r="A668" s="63"/>
      <c r="B668" s="63"/>
    </row>
    <row r="669" spans="1:2" x14ac:dyDescent="0.25">
      <c r="A669" s="63"/>
      <c r="B669" s="63"/>
    </row>
    <row r="670" spans="1:2" x14ac:dyDescent="0.25">
      <c r="A670" s="63"/>
    </row>
    <row r="671" spans="1:2" x14ac:dyDescent="0.25">
      <c r="A671" s="63"/>
    </row>
    <row r="672" spans="1:2" x14ac:dyDescent="0.25">
      <c r="A672" s="63"/>
    </row>
    <row r="673" spans="1:2" x14ac:dyDescent="0.25">
      <c r="A673" s="63"/>
    </row>
    <row r="674" spans="1:2" x14ac:dyDescent="0.25">
      <c r="A674" s="63"/>
    </row>
    <row r="675" spans="1:2" x14ac:dyDescent="0.25">
      <c r="A675" s="63"/>
    </row>
    <row r="676" spans="1:2" x14ac:dyDescent="0.25">
      <c r="A676" s="63"/>
    </row>
    <row r="677" spans="1:2" x14ac:dyDescent="0.25">
      <c r="A677" s="63"/>
    </row>
    <row r="678" spans="1:2" x14ac:dyDescent="0.25">
      <c r="A678" s="63"/>
    </row>
    <row r="679" spans="1:2" x14ac:dyDescent="0.25">
      <c r="A679" s="63"/>
    </row>
    <row r="680" spans="1:2" x14ac:dyDescent="0.25">
      <c r="A680" s="63"/>
      <c r="B680" s="63"/>
    </row>
    <row r="681" spans="1:2" x14ac:dyDescent="0.25">
      <c r="A681" s="63"/>
    </row>
    <row r="682" spans="1:2" x14ac:dyDescent="0.25">
      <c r="A682" s="63"/>
    </row>
    <row r="683" spans="1:2" x14ac:dyDescent="0.25">
      <c r="A683" s="63"/>
    </row>
    <row r="684" spans="1:2" x14ac:dyDescent="0.25">
      <c r="A684" s="63"/>
    </row>
    <row r="685" spans="1:2" x14ac:dyDescent="0.25">
      <c r="A685" s="63"/>
    </row>
    <row r="686" spans="1:2" x14ac:dyDescent="0.25">
      <c r="A686" s="63"/>
    </row>
    <row r="687" spans="1:2" x14ac:dyDescent="0.25">
      <c r="A687" s="63"/>
    </row>
    <row r="688" spans="1:2" x14ac:dyDescent="0.25">
      <c r="A688" s="63"/>
    </row>
    <row r="689" spans="1:2" x14ac:dyDescent="0.25">
      <c r="A689" s="63"/>
    </row>
    <row r="690" spans="1:2" x14ac:dyDescent="0.25">
      <c r="A690" s="63"/>
      <c r="B690" s="63"/>
    </row>
    <row r="691" spans="1:2" x14ac:dyDescent="0.25">
      <c r="A691" s="63"/>
      <c r="B691" s="63"/>
    </row>
    <row r="692" spans="1:2" x14ac:dyDescent="0.25">
      <c r="A692" s="63"/>
      <c r="B692" s="63"/>
    </row>
    <row r="693" spans="1:2" x14ac:dyDescent="0.25">
      <c r="A693" s="63"/>
      <c r="B693" s="63"/>
    </row>
    <row r="694" spans="1:2" x14ac:dyDescent="0.25">
      <c r="A694" s="63"/>
      <c r="B694" s="63"/>
    </row>
    <row r="695" spans="1:2" x14ac:dyDescent="0.25">
      <c r="A695" s="63"/>
      <c r="B695" s="63"/>
    </row>
    <row r="696" spans="1:2" x14ac:dyDescent="0.25">
      <c r="A696" s="63"/>
      <c r="B696" s="63"/>
    </row>
    <row r="697" spans="1:2" x14ac:dyDescent="0.25">
      <c r="A697" s="63"/>
      <c r="B697" s="63"/>
    </row>
    <row r="698" spans="1:2" x14ac:dyDescent="0.25">
      <c r="A698" s="63"/>
      <c r="B698" s="63"/>
    </row>
    <row r="699" spans="1:2" x14ac:dyDescent="0.25">
      <c r="A699" s="63"/>
      <c r="B699" s="63"/>
    </row>
    <row r="700" spans="1:2" x14ac:dyDescent="0.25">
      <c r="A700" s="63"/>
      <c r="B700" s="63"/>
    </row>
    <row r="701" spans="1:2" x14ac:dyDescent="0.25">
      <c r="A701" s="63"/>
      <c r="B701" s="63"/>
    </row>
    <row r="702" spans="1:2" x14ac:dyDescent="0.25">
      <c r="A702" s="63"/>
      <c r="B702" s="63"/>
    </row>
    <row r="703" spans="1:2" x14ac:dyDescent="0.25">
      <c r="A703" s="63"/>
      <c r="B703" s="63"/>
    </row>
    <row r="704" spans="1:2" x14ac:dyDescent="0.25">
      <c r="A704" s="63"/>
      <c r="B704" s="63"/>
    </row>
    <row r="705" spans="1:2" x14ac:dyDescent="0.25">
      <c r="A705" s="63"/>
      <c r="B705" s="63"/>
    </row>
    <row r="706" spans="1:2" x14ac:dyDescent="0.25">
      <c r="A706" s="63"/>
      <c r="B706" s="63"/>
    </row>
    <row r="707" spans="1:2" x14ac:dyDescent="0.25">
      <c r="A707" s="63"/>
      <c r="B707" s="63"/>
    </row>
    <row r="708" spans="1:2" x14ac:dyDescent="0.25">
      <c r="A708" s="63"/>
      <c r="B708" s="63"/>
    </row>
    <row r="709" spans="1:2" x14ac:dyDescent="0.25">
      <c r="A709" s="63"/>
      <c r="B709" s="63"/>
    </row>
    <row r="710" spans="1:2" x14ac:dyDescent="0.25">
      <c r="A710" s="63"/>
      <c r="B710" s="63"/>
    </row>
    <row r="711" spans="1:2" x14ac:dyDescent="0.25">
      <c r="A711" s="63"/>
      <c r="B711" s="63"/>
    </row>
    <row r="712" spans="1:2" x14ac:dyDescent="0.25">
      <c r="A712" s="63"/>
      <c r="B712" s="63"/>
    </row>
    <row r="713" spans="1:2" x14ac:dyDescent="0.25">
      <c r="A713" s="63"/>
      <c r="B713" s="63"/>
    </row>
    <row r="714" spans="1:2" x14ac:dyDescent="0.25">
      <c r="A714" s="63"/>
      <c r="B714" s="63"/>
    </row>
    <row r="715" spans="1:2" x14ac:dyDescent="0.25">
      <c r="A715" s="63"/>
      <c r="B715" s="63"/>
    </row>
    <row r="716" spans="1:2" x14ac:dyDescent="0.25">
      <c r="A716" s="63"/>
      <c r="B716" s="63"/>
    </row>
    <row r="717" spans="1:2" x14ac:dyDescent="0.25">
      <c r="A717" s="63"/>
      <c r="B717" s="63"/>
    </row>
    <row r="718" spans="1:2" x14ac:dyDescent="0.25">
      <c r="A718" s="63"/>
      <c r="B718" s="63"/>
    </row>
    <row r="719" spans="1:2" x14ac:dyDescent="0.25">
      <c r="A719" s="63"/>
      <c r="B719" s="63"/>
    </row>
    <row r="720" spans="1:2" x14ac:dyDescent="0.25">
      <c r="A720" s="63"/>
      <c r="B720" s="63"/>
    </row>
    <row r="721" spans="1:2" x14ac:dyDescent="0.25">
      <c r="A721" s="63"/>
      <c r="B721" s="63"/>
    </row>
    <row r="722" spans="1:2" x14ac:dyDescent="0.25">
      <c r="A722" s="63"/>
      <c r="B722" s="63"/>
    </row>
    <row r="723" spans="1:2" x14ac:dyDescent="0.25">
      <c r="A723" s="63"/>
      <c r="B723" s="63"/>
    </row>
    <row r="724" spans="1:2" x14ac:dyDescent="0.25">
      <c r="A724" s="63"/>
      <c r="B724" s="63"/>
    </row>
    <row r="725" spans="1:2" x14ac:dyDescent="0.25">
      <c r="A725" s="63"/>
      <c r="B725" s="63"/>
    </row>
    <row r="726" spans="1:2" x14ac:dyDescent="0.25">
      <c r="A726" s="63"/>
      <c r="B726" s="63"/>
    </row>
    <row r="727" spans="1:2" x14ac:dyDescent="0.25">
      <c r="A727" s="63"/>
      <c r="B727" s="63"/>
    </row>
    <row r="728" spans="1:2" x14ac:dyDescent="0.25">
      <c r="A728" s="63"/>
      <c r="B728" s="63"/>
    </row>
    <row r="729" spans="1:2" x14ac:dyDescent="0.25">
      <c r="A729" s="63"/>
      <c r="B729" s="63"/>
    </row>
    <row r="730" spans="1:2" x14ac:dyDescent="0.25">
      <c r="A730" s="63"/>
      <c r="B730" s="63"/>
    </row>
    <row r="731" spans="1:2" x14ac:dyDescent="0.25">
      <c r="A731" s="63"/>
      <c r="B731" s="63"/>
    </row>
    <row r="732" spans="1:2" x14ac:dyDescent="0.25">
      <c r="A732" s="63"/>
      <c r="B732" s="63"/>
    </row>
    <row r="733" spans="1:2" x14ac:dyDescent="0.25">
      <c r="A733" s="63"/>
      <c r="B733" s="63"/>
    </row>
    <row r="734" spans="1:2" x14ac:dyDescent="0.25">
      <c r="A734" s="63"/>
      <c r="B734" s="63"/>
    </row>
    <row r="735" spans="1:2" x14ac:dyDescent="0.25">
      <c r="A735" s="63"/>
      <c r="B735" s="63"/>
    </row>
    <row r="736" spans="1:2" x14ac:dyDescent="0.25">
      <c r="A736" s="63"/>
      <c r="B736" s="63"/>
    </row>
    <row r="737" spans="1:2" x14ac:dyDescent="0.25">
      <c r="A737" s="63"/>
      <c r="B737" s="63"/>
    </row>
    <row r="738" spans="1:2" x14ac:dyDescent="0.25">
      <c r="A738" s="63"/>
      <c r="B738" s="63"/>
    </row>
    <row r="739" spans="1:2" x14ac:dyDescent="0.25">
      <c r="A739" s="63"/>
      <c r="B739" s="63"/>
    </row>
    <row r="740" spans="1:2" x14ac:dyDescent="0.25">
      <c r="A740" s="63"/>
      <c r="B740" s="63"/>
    </row>
    <row r="741" spans="1:2" x14ac:dyDescent="0.25">
      <c r="A741" s="63"/>
      <c r="B741" s="63"/>
    </row>
    <row r="742" spans="1:2" x14ac:dyDescent="0.25">
      <c r="A742" s="63"/>
      <c r="B742" s="63"/>
    </row>
    <row r="743" spans="1:2" x14ac:dyDescent="0.25">
      <c r="A743" s="63"/>
      <c r="B743" s="63"/>
    </row>
    <row r="744" spans="1:2" x14ac:dyDescent="0.25">
      <c r="A744" s="63"/>
      <c r="B744" s="63"/>
    </row>
    <row r="745" spans="1:2" x14ac:dyDescent="0.25">
      <c r="A745" s="63"/>
      <c r="B745" s="63"/>
    </row>
    <row r="746" spans="1:2" x14ac:dyDescent="0.25">
      <c r="A746" s="63"/>
      <c r="B746" s="63"/>
    </row>
    <row r="747" spans="1:2" x14ac:dyDescent="0.25">
      <c r="A747" s="63"/>
      <c r="B747" s="63"/>
    </row>
    <row r="748" spans="1:2" x14ac:dyDescent="0.25">
      <c r="A748" s="63"/>
      <c r="B748" s="63"/>
    </row>
    <row r="749" spans="1:2" x14ac:dyDescent="0.25">
      <c r="A749" s="63"/>
      <c r="B749" s="63"/>
    </row>
    <row r="750" spans="1:2" x14ac:dyDescent="0.25">
      <c r="A750" s="63"/>
      <c r="B750" s="63"/>
    </row>
    <row r="751" spans="1:2" x14ac:dyDescent="0.25">
      <c r="A751" s="63"/>
      <c r="B751" s="63"/>
    </row>
    <row r="752" spans="1:2" x14ac:dyDescent="0.25">
      <c r="A752" s="63"/>
      <c r="B752" s="63"/>
    </row>
    <row r="753" spans="1:2" x14ac:dyDescent="0.25">
      <c r="A753" s="63"/>
      <c r="B753" s="63"/>
    </row>
    <row r="754" spans="1:2" x14ac:dyDescent="0.25">
      <c r="A754" s="63"/>
      <c r="B754" s="63"/>
    </row>
    <row r="755" spans="1:2" x14ac:dyDescent="0.25">
      <c r="A755" s="63"/>
      <c r="B755" s="63"/>
    </row>
    <row r="756" spans="1:2" x14ac:dyDescent="0.25">
      <c r="A756" s="63"/>
      <c r="B756" s="63"/>
    </row>
    <row r="757" spans="1:2" x14ac:dyDescent="0.25">
      <c r="A757" s="63"/>
      <c r="B757" s="63"/>
    </row>
    <row r="758" spans="1:2" x14ac:dyDescent="0.25">
      <c r="A758" s="63"/>
      <c r="B758" s="63"/>
    </row>
    <row r="759" spans="1:2" x14ac:dyDescent="0.25">
      <c r="A759" s="63"/>
      <c r="B759" s="63"/>
    </row>
    <row r="760" spans="1:2" x14ac:dyDescent="0.25">
      <c r="A760" s="63"/>
      <c r="B760" s="63"/>
    </row>
    <row r="761" spans="1:2" x14ac:dyDescent="0.25">
      <c r="A761" s="63"/>
      <c r="B761" s="63"/>
    </row>
    <row r="762" spans="1:2" x14ac:dyDescent="0.25">
      <c r="A762" s="63"/>
      <c r="B762" s="63"/>
    </row>
    <row r="763" spans="1:2" x14ac:dyDescent="0.25">
      <c r="A763" s="63"/>
      <c r="B763" s="63"/>
    </row>
    <row r="764" spans="1:2" x14ac:dyDescent="0.25">
      <c r="A764" s="63"/>
      <c r="B764" s="63"/>
    </row>
    <row r="765" spans="1:2" x14ac:dyDescent="0.25">
      <c r="A765" s="63"/>
      <c r="B765" s="63"/>
    </row>
    <row r="766" spans="1:2" x14ac:dyDescent="0.25">
      <c r="A766" s="63"/>
      <c r="B766" s="63"/>
    </row>
    <row r="767" spans="1:2" x14ac:dyDescent="0.25">
      <c r="A767" s="63"/>
      <c r="B767" s="63"/>
    </row>
    <row r="768" spans="1:2" x14ac:dyDescent="0.25">
      <c r="A768" s="63"/>
      <c r="B768" s="63"/>
    </row>
    <row r="769" spans="1:2" x14ac:dyDescent="0.25">
      <c r="A769" s="63"/>
      <c r="B769" s="63"/>
    </row>
    <row r="770" spans="1:2" x14ac:dyDescent="0.25">
      <c r="A770" s="63"/>
      <c r="B770" s="63"/>
    </row>
    <row r="771" spans="1:2" x14ac:dyDescent="0.25">
      <c r="A771" s="63"/>
      <c r="B771" s="63"/>
    </row>
    <row r="772" spans="1:2" x14ac:dyDescent="0.25">
      <c r="A772" s="63"/>
      <c r="B772" s="63"/>
    </row>
    <row r="773" spans="1:2" x14ac:dyDescent="0.25">
      <c r="A773" s="63"/>
      <c r="B773" s="63"/>
    </row>
    <row r="774" spans="1:2" x14ac:dyDescent="0.25">
      <c r="A774" s="63"/>
      <c r="B774" s="63"/>
    </row>
    <row r="775" spans="1:2" x14ac:dyDescent="0.25">
      <c r="A775" s="63"/>
      <c r="B775" s="63"/>
    </row>
    <row r="776" spans="1:2" x14ac:dyDescent="0.25">
      <c r="A776" s="63"/>
      <c r="B776" s="63"/>
    </row>
    <row r="777" spans="1:2" x14ac:dyDescent="0.25">
      <c r="A777" s="63"/>
      <c r="B777" s="63"/>
    </row>
    <row r="778" spans="1:2" x14ac:dyDescent="0.25">
      <c r="A778" s="63"/>
      <c r="B778" s="63"/>
    </row>
    <row r="779" spans="1:2" x14ac:dyDescent="0.25">
      <c r="A779" s="63"/>
      <c r="B779" s="63"/>
    </row>
    <row r="780" spans="1:2" x14ac:dyDescent="0.25">
      <c r="A780" s="63"/>
      <c r="B780" s="63"/>
    </row>
    <row r="781" spans="1:2" x14ac:dyDescent="0.25">
      <c r="A781" s="63"/>
      <c r="B781" s="63"/>
    </row>
    <row r="782" spans="1:2" x14ac:dyDescent="0.25">
      <c r="A782" s="63"/>
      <c r="B782" s="63"/>
    </row>
    <row r="783" spans="1:2" x14ac:dyDescent="0.25">
      <c r="A783" s="63"/>
      <c r="B783" s="63"/>
    </row>
    <row r="784" spans="1:2" x14ac:dyDescent="0.25">
      <c r="A784" s="63"/>
      <c r="B784" s="63"/>
    </row>
    <row r="785" spans="1:2" x14ac:dyDescent="0.25">
      <c r="A785" s="63"/>
      <c r="B785" s="63"/>
    </row>
    <row r="786" spans="1:2" x14ac:dyDescent="0.25">
      <c r="A786" s="63"/>
      <c r="B786" s="63"/>
    </row>
    <row r="787" spans="1:2" x14ac:dyDescent="0.25">
      <c r="A787" s="63"/>
      <c r="B787" s="63"/>
    </row>
    <row r="788" spans="1:2" x14ac:dyDescent="0.25">
      <c r="A788" s="63"/>
      <c r="B788" s="63"/>
    </row>
    <row r="789" spans="1:2" x14ac:dyDescent="0.25">
      <c r="A789" s="63"/>
      <c r="B789" s="63"/>
    </row>
    <row r="790" spans="1:2" x14ac:dyDescent="0.25">
      <c r="A790" s="63"/>
      <c r="B790" s="63"/>
    </row>
    <row r="791" spans="1:2" x14ac:dyDescent="0.25">
      <c r="A791" s="63"/>
      <c r="B791" s="63"/>
    </row>
    <row r="792" spans="1:2" x14ac:dyDescent="0.25">
      <c r="A792" s="63"/>
      <c r="B792" s="63"/>
    </row>
    <row r="793" spans="1:2" x14ac:dyDescent="0.25">
      <c r="A793" s="63"/>
      <c r="B793" s="63"/>
    </row>
    <row r="794" spans="1:2" x14ac:dyDescent="0.25">
      <c r="A794" s="63"/>
      <c r="B794" s="63"/>
    </row>
    <row r="795" spans="1:2" x14ac:dyDescent="0.25">
      <c r="A795" s="63"/>
      <c r="B795" s="63"/>
    </row>
    <row r="796" spans="1:2" x14ac:dyDescent="0.25">
      <c r="A796" s="63"/>
      <c r="B796" s="63"/>
    </row>
    <row r="797" spans="1:2" x14ac:dyDescent="0.25">
      <c r="A797" s="63"/>
      <c r="B797" s="63"/>
    </row>
    <row r="798" spans="1:2" x14ac:dyDescent="0.25">
      <c r="A798" s="63"/>
      <c r="B798" s="63"/>
    </row>
    <row r="799" spans="1:2" x14ac:dyDescent="0.25">
      <c r="A799" s="63"/>
      <c r="B799" s="63"/>
    </row>
    <row r="800" spans="1:2" x14ac:dyDescent="0.25">
      <c r="A800" s="63"/>
      <c r="B800" s="63"/>
    </row>
    <row r="801" spans="1:2" x14ac:dyDescent="0.25">
      <c r="A801" s="63"/>
      <c r="B801" s="63"/>
    </row>
    <row r="802" spans="1:2" x14ac:dyDescent="0.25">
      <c r="A802" s="63"/>
      <c r="B802" s="63"/>
    </row>
    <row r="803" spans="1:2" x14ac:dyDescent="0.25">
      <c r="A803" s="63"/>
      <c r="B803" s="63"/>
    </row>
    <row r="804" spans="1:2" x14ac:dyDescent="0.25">
      <c r="A804" s="63"/>
      <c r="B804" s="63"/>
    </row>
    <row r="805" spans="1:2" x14ac:dyDescent="0.25">
      <c r="A805" s="63"/>
      <c r="B805" s="63"/>
    </row>
    <row r="806" spans="1:2" x14ac:dyDescent="0.25">
      <c r="A806" s="63"/>
      <c r="B806" s="63"/>
    </row>
    <row r="807" spans="1:2" x14ac:dyDescent="0.25">
      <c r="A807" s="63"/>
      <c r="B807" s="63"/>
    </row>
    <row r="808" spans="1:2" x14ac:dyDescent="0.25">
      <c r="A808" s="63"/>
      <c r="B808" s="63"/>
    </row>
    <row r="809" spans="1:2" x14ac:dyDescent="0.25">
      <c r="A809" s="63"/>
      <c r="B809" s="63"/>
    </row>
    <row r="810" spans="1:2" x14ac:dyDescent="0.25">
      <c r="A810" s="63"/>
      <c r="B810" s="63"/>
    </row>
    <row r="811" spans="1:2" x14ac:dyDescent="0.25">
      <c r="A811" s="63"/>
      <c r="B811" s="63"/>
    </row>
    <row r="812" spans="1:2" x14ac:dyDescent="0.25">
      <c r="A812" s="63"/>
      <c r="B812" s="63"/>
    </row>
    <row r="813" spans="1:2" x14ac:dyDescent="0.25">
      <c r="A813" s="63"/>
      <c r="B813" s="63"/>
    </row>
    <row r="814" spans="1:2" x14ac:dyDescent="0.25">
      <c r="A814" s="63"/>
      <c r="B814" s="63"/>
    </row>
    <row r="815" spans="1:2" x14ac:dyDescent="0.25">
      <c r="A815" s="63"/>
      <c r="B815" s="63"/>
    </row>
    <row r="816" spans="1:2" x14ac:dyDescent="0.25">
      <c r="A816" s="63"/>
      <c r="B816" s="63"/>
    </row>
    <row r="817" spans="1:2" x14ac:dyDescent="0.25">
      <c r="A817" s="63"/>
      <c r="B817" s="63"/>
    </row>
    <row r="818" spans="1:2" x14ac:dyDescent="0.25">
      <c r="A818" s="63"/>
      <c r="B818" s="63"/>
    </row>
    <row r="819" spans="1:2" x14ac:dyDescent="0.25">
      <c r="A819" s="63"/>
      <c r="B819" s="63"/>
    </row>
    <row r="820" spans="1:2" x14ac:dyDescent="0.25">
      <c r="A820" s="63"/>
      <c r="B820" s="63"/>
    </row>
    <row r="821" spans="1:2" x14ac:dyDescent="0.25">
      <c r="A821" s="63"/>
      <c r="B821" s="63"/>
    </row>
    <row r="822" spans="1:2" x14ac:dyDescent="0.25">
      <c r="A822" s="63"/>
      <c r="B822" s="63"/>
    </row>
    <row r="823" spans="1:2" x14ac:dyDescent="0.25">
      <c r="A823" s="63"/>
      <c r="B823" s="63"/>
    </row>
    <row r="824" spans="1:2" x14ac:dyDescent="0.25">
      <c r="A824" s="63"/>
      <c r="B824" s="63"/>
    </row>
    <row r="825" spans="1:2" x14ac:dyDescent="0.25">
      <c r="A825" s="63"/>
      <c r="B825" s="63"/>
    </row>
    <row r="826" spans="1:2" x14ac:dyDescent="0.25">
      <c r="A826" s="63"/>
      <c r="B826" s="63"/>
    </row>
    <row r="827" spans="1:2" x14ac:dyDescent="0.25">
      <c r="A827" s="63"/>
      <c r="B827" s="63"/>
    </row>
    <row r="828" spans="1:2" x14ac:dyDescent="0.25">
      <c r="A828" s="63"/>
      <c r="B828" s="63"/>
    </row>
    <row r="829" spans="1:2" x14ac:dyDescent="0.25">
      <c r="A829" s="63"/>
      <c r="B829" s="63"/>
    </row>
    <row r="830" spans="1:2" x14ac:dyDescent="0.25">
      <c r="A830" s="63"/>
      <c r="B830" s="63"/>
    </row>
    <row r="831" spans="1:2" x14ac:dyDescent="0.25">
      <c r="A831" s="63"/>
      <c r="B831" s="63"/>
    </row>
    <row r="832" spans="1:2" x14ac:dyDescent="0.25">
      <c r="A832" s="63"/>
      <c r="B832" s="63"/>
    </row>
    <row r="833" spans="1:2" x14ac:dyDescent="0.25">
      <c r="A833" s="63"/>
      <c r="B833" s="63"/>
    </row>
    <row r="834" spans="1:2" x14ac:dyDescent="0.25">
      <c r="A834" s="63"/>
      <c r="B834" s="63"/>
    </row>
    <row r="835" spans="1:2" x14ac:dyDescent="0.25">
      <c r="A835" s="63"/>
      <c r="B835" s="63"/>
    </row>
    <row r="836" spans="1:2" x14ac:dyDescent="0.25">
      <c r="A836" s="63"/>
      <c r="B836" s="63"/>
    </row>
    <row r="837" spans="1:2" x14ac:dyDescent="0.25">
      <c r="A837" s="63"/>
      <c r="B837" s="63"/>
    </row>
    <row r="838" spans="1:2" x14ac:dyDescent="0.25">
      <c r="A838" s="63"/>
      <c r="B838" s="63"/>
    </row>
    <row r="839" spans="1:2" x14ac:dyDescent="0.25">
      <c r="A839" s="63"/>
      <c r="B839" s="63"/>
    </row>
    <row r="840" spans="1:2" x14ac:dyDescent="0.25">
      <c r="A840" s="63"/>
      <c r="B840" s="63"/>
    </row>
    <row r="841" spans="1:2" x14ac:dyDescent="0.25">
      <c r="A841" s="63"/>
      <c r="B841" s="63"/>
    </row>
    <row r="842" spans="1:2" x14ac:dyDescent="0.25">
      <c r="A842" s="63"/>
      <c r="B842" s="63"/>
    </row>
    <row r="843" spans="1:2" x14ac:dyDescent="0.25">
      <c r="A843" s="63"/>
      <c r="B843" s="63"/>
    </row>
    <row r="844" spans="1:2" x14ac:dyDescent="0.25">
      <c r="A844" s="63"/>
      <c r="B844" s="63"/>
    </row>
    <row r="845" spans="1:2" x14ac:dyDescent="0.25">
      <c r="A845" s="63"/>
      <c r="B845" s="63"/>
    </row>
    <row r="846" spans="1:2" x14ac:dyDescent="0.25">
      <c r="A846" s="63"/>
      <c r="B846" s="63"/>
    </row>
    <row r="847" spans="1:2" x14ac:dyDescent="0.25">
      <c r="A847" s="63"/>
      <c r="B847" s="63"/>
    </row>
    <row r="848" spans="1:2" x14ac:dyDescent="0.25">
      <c r="A848" s="63"/>
      <c r="B848" s="63"/>
    </row>
    <row r="849" spans="1:2" x14ac:dyDescent="0.25">
      <c r="A849" s="63"/>
      <c r="B849" s="63"/>
    </row>
    <row r="850" spans="1:2" x14ac:dyDescent="0.25">
      <c r="A850" s="63"/>
      <c r="B850" s="63"/>
    </row>
    <row r="851" spans="1:2" x14ac:dyDescent="0.25">
      <c r="A851" s="63"/>
      <c r="B851" s="63"/>
    </row>
    <row r="852" spans="1:2" x14ac:dyDescent="0.25">
      <c r="A852" s="63"/>
      <c r="B852" s="63"/>
    </row>
    <row r="853" spans="1:2" x14ac:dyDescent="0.25">
      <c r="A853" s="63"/>
      <c r="B853" s="63"/>
    </row>
    <row r="854" spans="1:2" x14ac:dyDescent="0.25">
      <c r="A854" s="63"/>
      <c r="B854" s="63"/>
    </row>
    <row r="855" spans="1:2" x14ac:dyDescent="0.25">
      <c r="A855" s="63"/>
      <c r="B855" s="63"/>
    </row>
    <row r="856" spans="1:2" x14ac:dyDescent="0.25">
      <c r="A856" s="63"/>
      <c r="B856" s="63"/>
    </row>
    <row r="857" spans="1:2" x14ac:dyDescent="0.25">
      <c r="A857" s="63"/>
      <c r="B857" s="63"/>
    </row>
    <row r="858" spans="1:2" x14ac:dyDescent="0.25">
      <c r="A858" s="63"/>
      <c r="B858" s="63"/>
    </row>
    <row r="859" spans="1:2" x14ac:dyDescent="0.25">
      <c r="A859" s="63"/>
      <c r="B859" s="63"/>
    </row>
    <row r="860" spans="1:2" x14ac:dyDescent="0.25">
      <c r="A860" s="63"/>
      <c r="B860" s="63"/>
    </row>
    <row r="861" spans="1:2" x14ac:dyDescent="0.25">
      <c r="A861" s="63"/>
      <c r="B861" s="63"/>
    </row>
    <row r="862" spans="1:2" x14ac:dyDescent="0.25">
      <c r="A862" s="63"/>
      <c r="B862" s="63"/>
    </row>
    <row r="863" spans="1:2" x14ac:dyDescent="0.25">
      <c r="A863" s="63"/>
      <c r="B863" s="63"/>
    </row>
    <row r="864" spans="1:2" x14ac:dyDescent="0.25">
      <c r="A864" s="63"/>
      <c r="B864" s="63"/>
    </row>
    <row r="865" spans="1:2" x14ac:dyDescent="0.25">
      <c r="A865" s="63"/>
      <c r="B865" s="63"/>
    </row>
    <row r="866" spans="1:2" x14ac:dyDescent="0.25">
      <c r="A866" s="63"/>
      <c r="B866" s="63"/>
    </row>
    <row r="867" spans="1:2" x14ac:dyDescent="0.25">
      <c r="A867" s="63"/>
      <c r="B867" s="63"/>
    </row>
    <row r="868" spans="1:2" x14ac:dyDescent="0.25">
      <c r="A868" s="63"/>
      <c r="B868" s="63"/>
    </row>
    <row r="869" spans="1:2" x14ac:dyDescent="0.25">
      <c r="A869" s="63"/>
      <c r="B869" s="63"/>
    </row>
    <row r="870" spans="1:2" x14ac:dyDescent="0.25">
      <c r="A870" s="63"/>
      <c r="B870" s="63"/>
    </row>
    <row r="871" spans="1:2" x14ac:dyDescent="0.25">
      <c r="A871" s="63"/>
      <c r="B871" s="63"/>
    </row>
    <row r="872" spans="1:2" x14ac:dyDescent="0.25">
      <c r="A872" s="63"/>
      <c r="B872" s="63"/>
    </row>
    <row r="873" spans="1:2" x14ac:dyDescent="0.25">
      <c r="A873" s="63"/>
      <c r="B873" s="63"/>
    </row>
    <row r="874" spans="1:2" x14ac:dyDescent="0.25">
      <c r="A874" s="63"/>
      <c r="B874" s="63"/>
    </row>
    <row r="875" spans="1:2" x14ac:dyDescent="0.25">
      <c r="A875" s="63"/>
      <c r="B875" s="63"/>
    </row>
    <row r="876" spans="1:2" x14ac:dyDescent="0.25">
      <c r="A876" s="63"/>
      <c r="B876" s="63"/>
    </row>
    <row r="877" spans="1:2" x14ac:dyDescent="0.25">
      <c r="A877" s="63"/>
      <c r="B877" s="63"/>
    </row>
    <row r="878" spans="1:2" x14ac:dyDescent="0.25">
      <c r="A878" s="63"/>
      <c r="B878" s="63"/>
    </row>
    <row r="879" spans="1:2" x14ac:dyDescent="0.25">
      <c r="A879" s="63"/>
      <c r="B879" s="63"/>
    </row>
    <row r="880" spans="1:2" x14ac:dyDescent="0.25">
      <c r="A880" s="63"/>
      <c r="B880" s="63"/>
    </row>
    <row r="881" spans="1:2" x14ac:dyDescent="0.25">
      <c r="A881" s="63"/>
      <c r="B881" s="63"/>
    </row>
    <row r="882" spans="1:2" x14ac:dyDescent="0.25">
      <c r="A882" s="63"/>
      <c r="B882" s="63"/>
    </row>
    <row r="883" spans="1:2" x14ac:dyDescent="0.25">
      <c r="A883" s="63"/>
      <c r="B883" s="63"/>
    </row>
    <row r="884" spans="1:2" x14ac:dyDescent="0.25">
      <c r="A884" s="63"/>
      <c r="B884" s="63"/>
    </row>
    <row r="885" spans="1:2" x14ac:dyDescent="0.25">
      <c r="A885" s="63"/>
      <c r="B885" s="63"/>
    </row>
    <row r="886" spans="1:2" x14ac:dyDescent="0.25">
      <c r="A886" s="63"/>
      <c r="B886" s="63"/>
    </row>
    <row r="887" spans="1:2" x14ac:dyDescent="0.25">
      <c r="A887" s="63"/>
      <c r="B887" s="63"/>
    </row>
    <row r="888" spans="1:2" x14ac:dyDescent="0.25">
      <c r="A888" s="63"/>
      <c r="B888" s="63"/>
    </row>
    <row r="889" spans="1:2" x14ac:dyDescent="0.25">
      <c r="A889" s="63"/>
      <c r="B889" s="63"/>
    </row>
    <row r="890" spans="1:2" x14ac:dyDescent="0.25">
      <c r="A890" s="63"/>
      <c r="B890" s="63"/>
    </row>
    <row r="891" spans="1:2" x14ac:dyDescent="0.25">
      <c r="A891" s="63"/>
    </row>
    <row r="892" spans="1:2" x14ac:dyDescent="0.25">
      <c r="A892" s="63"/>
      <c r="B892" s="63"/>
    </row>
    <row r="893" spans="1:2" x14ac:dyDescent="0.25">
      <c r="A893" s="63"/>
      <c r="B893" s="63"/>
    </row>
    <row r="894" spans="1:2" x14ac:dyDescent="0.25">
      <c r="A894" s="63"/>
      <c r="B894" s="63"/>
    </row>
    <row r="895" spans="1:2" x14ac:dyDescent="0.25">
      <c r="A895" s="63"/>
      <c r="B895" s="63"/>
    </row>
    <row r="896" spans="1:2" x14ac:dyDescent="0.25">
      <c r="A896" s="63"/>
    </row>
    <row r="897" spans="1:2" x14ac:dyDescent="0.25">
      <c r="A897" s="63"/>
      <c r="B897" s="63"/>
    </row>
    <row r="898" spans="1:2" x14ac:dyDescent="0.25">
      <c r="A898" s="63"/>
      <c r="B898" s="63"/>
    </row>
    <row r="899" spans="1:2" x14ac:dyDescent="0.25">
      <c r="A899" s="63"/>
      <c r="B899" s="63"/>
    </row>
    <row r="900" spans="1:2" x14ac:dyDescent="0.25">
      <c r="A900" s="63"/>
      <c r="B900" s="63"/>
    </row>
    <row r="901" spans="1:2" x14ac:dyDescent="0.25">
      <c r="A901" s="63"/>
    </row>
    <row r="902" spans="1:2" x14ac:dyDescent="0.25">
      <c r="A902" s="63"/>
      <c r="B902" s="63"/>
    </row>
    <row r="903" spans="1:2" x14ac:dyDescent="0.25">
      <c r="A903" s="63"/>
      <c r="B903" s="63"/>
    </row>
    <row r="904" spans="1:2" x14ac:dyDescent="0.25">
      <c r="A904" s="63"/>
      <c r="B904" s="63"/>
    </row>
    <row r="905" spans="1:2" x14ac:dyDescent="0.25">
      <c r="A905" s="63"/>
      <c r="B905" s="63"/>
    </row>
    <row r="906" spans="1:2" x14ac:dyDescent="0.25">
      <c r="A906" s="63"/>
    </row>
    <row r="907" spans="1:2" x14ac:dyDescent="0.25">
      <c r="A907" s="63"/>
      <c r="B907" s="63"/>
    </row>
    <row r="908" spans="1:2" x14ac:dyDescent="0.25">
      <c r="A908" s="63"/>
      <c r="B908" s="63"/>
    </row>
    <row r="909" spans="1:2" x14ac:dyDescent="0.25">
      <c r="A909" s="63"/>
      <c r="B909" s="63"/>
    </row>
    <row r="910" spans="1:2" x14ac:dyDescent="0.25">
      <c r="A910" s="63"/>
      <c r="B910" s="63"/>
    </row>
    <row r="911" spans="1:2" x14ac:dyDescent="0.25">
      <c r="A911" s="63"/>
      <c r="B911" s="63"/>
    </row>
    <row r="912" spans="1:2" x14ac:dyDescent="0.25">
      <c r="A912" s="63"/>
      <c r="B912" s="63"/>
    </row>
    <row r="913" spans="1:2" x14ac:dyDescent="0.25">
      <c r="A913" s="63"/>
      <c r="B913" s="63"/>
    </row>
    <row r="914" spans="1:2" x14ac:dyDescent="0.25">
      <c r="A914" s="63"/>
      <c r="B914" s="63"/>
    </row>
    <row r="915" spans="1:2" x14ac:dyDescent="0.25">
      <c r="A915" s="63"/>
      <c r="B915" s="63"/>
    </row>
    <row r="916" spans="1:2" x14ac:dyDescent="0.25">
      <c r="A916" s="63"/>
      <c r="B916" s="63"/>
    </row>
    <row r="917" spans="1:2" x14ac:dyDescent="0.25">
      <c r="A917" s="63"/>
      <c r="B917" s="63"/>
    </row>
    <row r="918" spans="1:2" x14ac:dyDescent="0.25">
      <c r="A918" s="63"/>
      <c r="B918" s="63"/>
    </row>
    <row r="919" spans="1:2" x14ac:dyDescent="0.25">
      <c r="A919" s="63"/>
      <c r="B919" s="63"/>
    </row>
    <row r="920" spans="1:2" x14ac:dyDescent="0.25">
      <c r="A920" s="63"/>
      <c r="B920" s="63"/>
    </row>
    <row r="921" spans="1:2" x14ac:dyDescent="0.25">
      <c r="A921" s="63"/>
      <c r="B921" s="63"/>
    </row>
    <row r="922" spans="1:2" x14ac:dyDescent="0.25">
      <c r="A922" s="63"/>
      <c r="B922" s="63"/>
    </row>
    <row r="923" spans="1:2" x14ac:dyDescent="0.25">
      <c r="A923" s="63"/>
      <c r="B923" s="63"/>
    </row>
    <row r="924" spans="1:2" x14ac:dyDescent="0.25">
      <c r="A924" s="63"/>
      <c r="B924" s="63"/>
    </row>
    <row r="925" spans="1:2" x14ac:dyDescent="0.25">
      <c r="A925" s="63"/>
      <c r="B925" s="63"/>
    </row>
    <row r="926" spans="1:2" x14ac:dyDescent="0.25">
      <c r="A926" s="63"/>
      <c r="B926" s="63"/>
    </row>
    <row r="927" spans="1:2" x14ac:dyDescent="0.25">
      <c r="A927" s="63"/>
      <c r="B927" s="63"/>
    </row>
    <row r="928" spans="1:2" x14ac:dyDescent="0.25">
      <c r="A928" s="63"/>
      <c r="B928" s="63"/>
    </row>
    <row r="929" spans="1:2" x14ac:dyDescent="0.25">
      <c r="A929" s="63"/>
      <c r="B929" s="63"/>
    </row>
    <row r="930" spans="1:2" x14ac:dyDescent="0.25">
      <c r="A930" s="63"/>
      <c r="B930" s="63"/>
    </row>
    <row r="931" spans="1:2" x14ac:dyDescent="0.25">
      <c r="A931" s="63"/>
      <c r="B931" s="63"/>
    </row>
    <row r="932" spans="1:2" x14ac:dyDescent="0.25">
      <c r="A932" s="63"/>
      <c r="B932" s="63"/>
    </row>
    <row r="933" spans="1:2" x14ac:dyDescent="0.25">
      <c r="A933" s="63"/>
      <c r="B933" s="63"/>
    </row>
    <row r="934" spans="1:2" x14ac:dyDescent="0.25">
      <c r="A934" s="63"/>
      <c r="B934" s="63"/>
    </row>
    <row r="935" spans="1:2" x14ac:dyDescent="0.25">
      <c r="A935" s="63"/>
      <c r="B935" s="63"/>
    </row>
    <row r="936" spans="1:2" x14ac:dyDescent="0.25">
      <c r="A936" s="63"/>
      <c r="B936" s="63"/>
    </row>
    <row r="937" spans="1:2" x14ac:dyDescent="0.25">
      <c r="A937" s="63"/>
      <c r="B937" s="63"/>
    </row>
    <row r="938" spans="1:2" x14ac:dyDescent="0.25">
      <c r="A938" s="63"/>
      <c r="B938" s="63"/>
    </row>
    <row r="939" spans="1:2" x14ac:dyDescent="0.25">
      <c r="A939" s="63"/>
      <c r="B939" s="63"/>
    </row>
    <row r="940" spans="1:2" x14ac:dyDescent="0.25">
      <c r="A940" s="63"/>
      <c r="B940" s="63"/>
    </row>
    <row r="941" spans="1:2" x14ac:dyDescent="0.25">
      <c r="A941" s="63"/>
      <c r="B941" s="63"/>
    </row>
    <row r="942" spans="1:2" x14ac:dyDescent="0.25">
      <c r="A942" s="63"/>
      <c r="B942" s="63"/>
    </row>
    <row r="943" spans="1:2" x14ac:dyDescent="0.25">
      <c r="A943" s="63"/>
      <c r="B943" s="63"/>
    </row>
    <row r="944" spans="1:2" x14ac:dyDescent="0.25">
      <c r="A944" s="63"/>
      <c r="B944" s="63"/>
    </row>
    <row r="945" spans="1:2" x14ac:dyDescent="0.25">
      <c r="A945" s="63"/>
      <c r="B945" s="63"/>
    </row>
    <row r="946" spans="1:2" x14ac:dyDescent="0.25">
      <c r="A946" s="63"/>
      <c r="B946" s="63"/>
    </row>
    <row r="947" spans="1:2" x14ac:dyDescent="0.25">
      <c r="A947" s="63"/>
      <c r="B947" s="63"/>
    </row>
    <row r="948" spans="1:2" x14ac:dyDescent="0.25">
      <c r="A948" s="63"/>
      <c r="B948" s="63"/>
    </row>
    <row r="949" spans="1:2" x14ac:dyDescent="0.25">
      <c r="A949" s="63"/>
      <c r="B949" s="63"/>
    </row>
    <row r="950" spans="1:2" x14ac:dyDescent="0.25">
      <c r="A950" s="63"/>
      <c r="B950" s="63"/>
    </row>
    <row r="951" spans="1:2" x14ac:dyDescent="0.25">
      <c r="A951" s="63"/>
      <c r="B951" s="63"/>
    </row>
    <row r="952" spans="1:2" x14ac:dyDescent="0.25">
      <c r="A952" s="63"/>
      <c r="B952" s="63"/>
    </row>
    <row r="953" spans="1:2" x14ac:dyDescent="0.25">
      <c r="A953" s="63"/>
      <c r="B953" s="63"/>
    </row>
    <row r="954" spans="1:2" x14ac:dyDescent="0.25">
      <c r="A954" s="63"/>
      <c r="B954" s="63"/>
    </row>
    <row r="955" spans="1:2" x14ac:dyDescent="0.25">
      <c r="A955" s="63"/>
      <c r="B955" s="63"/>
    </row>
    <row r="956" spans="1:2" x14ac:dyDescent="0.25">
      <c r="A956" s="63"/>
      <c r="B956" s="63"/>
    </row>
    <row r="957" spans="1:2" x14ac:dyDescent="0.25">
      <c r="A957" s="63"/>
      <c r="B957" s="63"/>
    </row>
    <row r="958" spans="1:2" x14ac:dyDescent="0.25">
      <c r="A958" s="63"/>
      <c r="B958" s="63"/>
    </row>
    <row r="959" spans="1:2" x14ac:dyDescent="0.25">
      <c r="A959" s="63"/>
      <c r="B959" s="63"/>
    </row>
    <row r="960" spans="1:2" x14ac:dyDescent="0.25">
      <c r="A960" s="63"/>
      <c r="B960" s="63"/>
    </row>
    <row r="961" spans="1:2" x14ac:dyDescent="0.25">
      <c r="A961" s="63"/>
      <c r="B961" s="63"/>
    </row>
    <row r="962" spans="1:2" x14ac:dyDescent="0.25">
      <c r="A962" s="63"/>
      <c r="B962" s="63"/>
    </row>
    <row r="963" spans="1:2" x14ac:dyDescent="0.25">
      <c r="A963" s="63"/>
      <c r="B963" s="63"/>
    </row>
    <row r="964" spans="1:2" x14ac:dyDescent="0.25">
      <c r="A964" s="63"/>
      <c r="B964" s="63"/>
    </row>
    <row r="965" spans="1:2" x14ac:dyDescent="0.25">
      <c r="A965" s="63"/>
      <c r="B965" s="63"/>
    </row>
    <row r="966" spans="1:2" x14ac:dyDescent="0.25">
      <c r="A966" s="63"/>
      <c r="B966" s="63"/>
    </row>
    <row r="967" spans="1:2" x14ac:dyDescent="0.25">
      <c r="A967" s="63"/>
      <c r="B967" s="63"/>
    </row>
    <row r="968" spans="1:2" x14ac:dyDescent="0.25">
      <c r="A968" s="63"/>
      <c r="B968" s="63"/>
    </row>
    <row r="969" spans="1:2" x14ac:dyDescent="0.25">
      <c r="A969" s="63"/>
      <c r="B969" s="63"/>
    </row>
    <row r="970" spans="1:2" x14ac:dyDescent="0.25">
      <c r="A970" s="63"/>
      <c r="B970" s="63"/>
    </row>
    <row r="971" spans="1:2" x14ac:dyDescent="0.25">
      <c r="A971" s="63"/>
      <c r="B971" s="63"/>
    </row>
    <row r="972" spans="1:2" x14ac:dyDescent="0.25">
      <c r="A972" s="63"/>
      <c r="B972" s="63"/>
    </row>
    <row r="973" spans="1:2" x14ac:dyDescent="0.25">
      <c r="A973" s="63"/>
      <c r="B973" s="63"/>
    </row>
    <row r="974" spans="1:2" x14ac:dyDescent="0.25">
      <c r="A974" s="63"/>
      <c r="B974" s="63"/>
    </row>
    <row r="975" spans="1:2" x14ac:dyDescent="0.25">
      <c r="A975" s="63"/>
      <c r="B975" s="63"/>
    </row>
    <row r="976" spans="1:2" x14ac:dyDescent="0.25">
      <c r="A976" s="63"/>
      <c r="B976" s="63"/>
    </row>
    <row r="977" spans="1:2" x14ac:dyDescent="0.25">
      <c r="A977" s="63"/>
      <c r="B977" s="63"/>
    </row>
    <row r="978" spans="1:2" x14ac:dyDescent="0.25">
      <c r="A978" s="63"/>
      <c r="B978" s="63"/>
    </row>
    <row r="979" spans="1:2" x14ac:dyDescent="0.25">
      <c r="A979" s="63"/>
      <c r="B979" s="63"/>
    </row>
    <row r="980" spans="1:2" x14ac:dyDescent="0.25">
      <c r="A980" s="63"/>
      <c r="B980" s="63"/>
    </row>
    <row r="981" spans="1:2" x14ac:dyDescent="0.25">
      <c r="A981" s="63"/>
      <c r="B981" s="63"/>
    </row>
    <row r="982" spans="1:2" x14ac:dyDescent="0.25">
      <c r="A982" s="63"/>
      <c r="B982" s="63"/>
    </row>
    <row r="983" spans="1:2" x14ac:dyDescent="0.25">
      <c r="A983" s="63"/>
      <c r="B983" s="63"/>
    </row>
    <row r="984" spans="1:2" x14ac:dyDescent="0.25">
      <c r="A984" s="63"/>
      <c r="B984" s="63"/>
    </row>
    <row r="985" spans="1:2" x14ac:dyDescent="0.25">
      <c r="A985" s="63"/>
      <c r="B985" s="63"/>
    </row>
    <row r="986" spans="1:2" x14ac:dyDescent="0.25">
      <c r="A986" s="63"/>
      <c r="B986" s="63"/>
    </row>
    <row r="987" spans="1:2" x14ac:dyDescent="0.25">
      <c r="A987" s="63"/>
      <c r="B987" s="63"/>
    </row>
    <row r="988" spans="1:2" x14ac:dyDescent="0.25">
      <c r="A988" s="63"/>
      <c r="B988" s="63"/>
    </row>
    <row r="989" spans="1:2" x14ac:dyDescent="0.25">
      <c r="A989" s="63"/>
      <c r="B989" s="63"/>
    </row>
    <row r="990" spans="1:2" x14ac:dyDescent="0.25">
      <c r="A990" s="63"/>
      <c r="B990" s="63"/>
    </row>
    <row r="991" spans="1:2" x14ac:dyDescent="0.25">
      <c r="A991" s="63"/>
      <c r="B991" s="63"/>
    </row>
    <row r="992" spans="1:2" x14ac:dyDescent="0.25">
      <c r="A992" s="63"/>
      <c r="B992" s="63"/>
    </row>
    <row r="993" spans="1:2" x14ac:dyDescent="0.25">
      <c r="A993" s="63"/>
      <c r="B993" s="63"/>
    </row>
    <row r="994" spans="1:2" x14ac:dyDescent="0.25">
      <c r="A994" s="63"/>
      <c r="B994" s="63"/>
    </row>
    <row r="995" spans="1:2" x14ac:dyDescent="0.25">
      <c r="A995" s="63"/>
      <c r="B995" s="63"/>
    </row>
    <row r="996" spans="1:2" x14ac:dyDescent="0.25">
      <c r="A996" s="63"/>
      <c r="B996" s="63"/>
    </row>
    <row r="997" spans="1:2" x14ac:dyDescent="0.25">
      <c r="A997" s="63"/>
      <c r="B997" s="63"/>
    </row>
    <row r="998" spans="1:2" x14ac:dyDescent="0.25">
      <c r="A998" s="63"/>
      <c r="B998" s="63"/>
    </row>
    <row r="999" spans="1:2" x14ac:dyDescent="0.25">
      <c r="A999" s="63"/>
      <c r="B999" s="63"/>
    </row>
    <row r="1000" spans="1:2" x14ac:dyDescent="0.25">
      <c r="A1000" s="63"/>
      <c r="B1000" s="63"/>
    </row>
    <row r="1001" spans="1:2" x14ac:dyDescent="0.25">
      <c r="A1001" s="63"/>
      <c r="B1001" s="63"/>
    </row>
    <row r="1002" spans="1:2" x14ac:dyDescent="0.25">
      <c r="A1002" s="63"/>
      <c r="B1002" s="63"/>
    </row>
    <row r="1003" spans="1:2" x14ac:dyDescent="0.25">
      <c r="A1003" s="63"/>
      <c r="B1003" s="63"/>
    </row>
    <row r="1004" spans="1:2" x14ac:dyDescent="0.25">
      <c r="A1004" s="63"/>
      <c r="B1004" s="63"/>
    </row>
    <row r="1005" spans="1:2" x14ac:dyDescent="0.25">
      <c r="A1005" s="63"/>
      <c r="B1005" s="63"/>
    </row>
    <row r="1006" spans="1:2" x14ac:dyDescent="0.25">
      <c r="A1006" s="63"/>
      <c r="B1006" s="63"/>
    </row>
    <row r="1007" spans="1:2" x14ac:dyDescent="0.25">
      <c r="A1007" s="63"/>
      <c r="B1007" s="63"/>
    </row>
    <row r="1008" spans="1:2" x14ac:dyDescent="0.25">
      <c r="A1008" s="63"/>
      <c r="B1008" s="63"/>
    </row>
    <row r="1009" spans="1:2" x14ac:dyDescent="0.25">
      <c r="A1009" s="63"/>
      <c r="B1009" s="63"/>
    </row>
    <row r="1010" spans="1:2" x14ac:dyDescent="0.25">
      <c r="A1010" s="63"/>
      <c r="B1010" s="63"/>
    </row>
    <row r="1011" spans="1:2" x14ac:dyDescent="0.25">
      <c r="A1011" s="63"/>
      <c r="B1011" s="63"/>
    </row>
    <row r="1012" spans="1:2" x14ac:dyDescent="0.25">
      <c r="A1012" s="63"/>
      <c r="B1012" s="63"/>
    </row>
    <row r="1013" spans="1:2" x14ac:dyDescent="0.25">
      <c r="A1013" s="63"/>
      <c r="B1013" s="63"/>
    </row>
    <row r="1014" spans="1:2" x14ac:dyDescent="0.25">
      <c r="A1014" s="63"/>
      <c r="B1014" s="63"/>
    </row>
    <row r="1015" spans="1:2" x14ac:dyDescent="0.25">
      <c r="A1015" s="63"/>
      <c r="B1015" s="63"/>
    </row>
    <row r="1016" spans="1:2" x14ac:dyDescent="0.25">
      <c r="A1016" s="63"/>
      <c r="B1016" s="63"/>
    </row>
    <row r="1017" spans="1:2" x14ac:dyDescent="0.25">
      <c r="A1017" s="63"/>
      <c r="B1017" s="63"/>
    </row>
    <row r="1018" spans="1:2" x14ac:dyDescent="0.25">
      <c r="A1018" s="63"/>
      <c r="B1018" s="63"/>
    </row>
    <row r="1019" spans="1:2" x14ac:dyDescent="0.25">
      <c r="A1019" s="63"/>
      <c r="B1019" s="63"/>
    </row>
    <row r="1020" spans="1:2" x14ac:dyDescent="0.25">
      <c r="A1020" s="63"/>
      <c r="B1020" s="63"/>
    </row>
    <row r="1021" spans="1:2" x14ac:dyDescent="0.25">
      <c r="A1021" s="63"/>
      <c r="B1021" s="63"/>
    </row>
    <row r="1022" spans="1:2" x14ac:dyDescent="0.25">
      <c r="A1022" s="63"/>
      <c r="B1022" s="63"/>
    </row>
    <row r="1023" spans="1:2" x14ac:dyDescent="0.25">
      <c r="A1023" s="63"/>
      <c r="B1023" s="63"/>
    </row>
    <row r="1024" spans="1:2" x14ac:dyDescent="0.25">
      <c r="A1024" s="63"/>
      <c r="B1024" s="63"/>
    </row>
    <row r="1025" spans="1:2" x14ac:dyDescent="0.25">
      <c r="A1025" s="63"/>
      <c r="B1025" s="63"/>
    </row>
    <row r="1026" spans="1:2" x14ac:dyDescent="0.25">
      <c r="A1026" s="63"/>
      <c r="B1026" s="63"/>
    </row>
    <row r="1027" spans="1:2" x14ac:dyDescent="0.25">
      <c r="A1027" s="63"/>
      <c r="B1027" s="63"/>
    </row>
    <row r="1028" spans="1:2" x14ac:dyDescent="0.25">
      <c r="A1028" s="63"/>
      <c r="B1028" s="63"/>
    </row>
    <row r="1029" spans="1:2" x14ac:dyDescent="0.25">
      <c r="A1029" s="63"/>
      <c r="B1029" s="63"/>
    </row>
    <row r="1030" spans="1:2" x14ac:dyDescent="0.25">
      <c r="A1030" s="63"/>
      <c r="B1030" s="63"/>
    </row>
    <row r="1031" spans="1:2" x14ac:dyDescent="0.25">
      <c r="A1031" s="63"/>
      <c r="B1031" s="63"/>
    </row>
    <row r="1032" spans="1:2" x14ac:dyDescent="0.25">
      <c r="A1032" s="63"/>
      <c r="B1032" s="63"/>
    </row>
    <row r="1033" spans="1:2" x14ac:dyDescent="0.25">
      <c r="A1033" s="63"/>
      <c r="B1033" s="63"/>
    </row>
    <row r="1034" spans="1:2" x14ac:dyDescent="0.25">
      <c r="A1034" s="63"/>
    </row>
    <row r="1035" spans="1:2" x14ac:dyDescent="0.25">
      <c r="A1035" s="63"/>
      <c r="B1035" s="63"/>
    </row>
    <row r="1036" spans="1:2" x14ac:dyDescent="0.25">
      <c r="A1036" s="63"/>
      <c r="B1036" s="63"/>
    </row>
    <row r="1037" spans="1:2" x14ac:dyDescent="0.25">
      <c r="A1037" s="63"/>
      <c r="B1037" s="63"/>
    </row>
    <row r="1038" spans="1:2" x14ac:dyDescent="0.25">
      <c r="A1038" s="63"/>
      <c r="B1038" s="63"/>
    </row>
    <row r="1039" spans="1:2" x14ac:dyDescent="0.25">
      <c r="A1039" s="63"/>
      <c r="B1039" s="63"/>
    </row>
    <row r="1040" spans="1:2" x14ac:dyDescent="0.25">
      <c r="A1040" s="63"/>
      <c r="B1040" s="63"/>
    </row>
    <row r="1041" spans="1:2" x14ac:dyDescent="0.25">
      <c r="A1041" s="63"/>
      <c r="B1041" s="63"/>
    </row>
    <row r="1042" spans="1:2" x14ac:dyDescent="0.25">
      <c r="A1042" s="63"/>
      <c r="B1042" s="63"/>
    </row>
    <row r="1043" spans="1:2" x14ac:dyDescent="0.25">
      <c r="A1043" s="63"/>
      <c r="B1043" s="63"/>
    </row>
    <row r="1044" spans="1:2" x14ac:dyDescent="0.25">
      <c r="A1044" s="63"/>
      <c r="B1044" s="63"/>
    </row>
    <row r="1045" spans="1:2" x14ac:dyDescent="0.25">
      <c r="A1045" s="63"/>
      <c r="B1045" s="63"/>
    </row>
    <row r="1046" spans="1:2" x14ac:dyDescent="0.25">
      <c r="A1046" s="63"/>
      <c r="B1046" s="63"/>
    </row>
    <row r="1047" spans="1:2" x14ac:dyDescent="0.25">
      <c r="A1047" s="63"/>
      <c r="B1047" s="63"/>
    </row>
    <row r="1048" spans="1:2" x14ac:dyDescent="0.25">
      <c r="A1048" s="63"/>
      <c r="B1048" s="63"/>
    </row>
    <row r="1049" spans="1:2" x14ac:dyDescent="0.25">
      <c r="A1049" s="63"/>
      <c r="B1049" s="63"/>
    </row>
    <row r="1050" spans="1:2" x14ac:dyDescent="0.25">
      <c r="A1050" s="63"/>
      <c r="B1050" s="63"/>
    </row>
    <row r="1051" spans="1:2" x14ac:dyDescent="0.25">
      <c r="A1051" s="63"/>
      <c r="B1051" s="63"/>
    </row>
    <row r="1052" spans="1:2" x14ac:dyDescent="0.25">
      <c r="A1052" s="63"/>
      <c r="B1052" s="63"/>
    </row>
    <row r="1053" spans="1:2" x14ac:dyDescent="0.25">
      <c r="A1053" s="63"/>
      <c r="B1053" s="63"/>
    </row>
    <row r="1054" spans="1:2" x14ac:dyDescent="0.25">
      <c r="A1054" s="63"/>
      <c r="B1054" s="63"/>
    </row>
    <row r="1055" spans="1:2" x14ac:dyDescent="0.25">
      <c r="A1055" s="63"/>
      <c r="B1055" s="63"/>
    </row>
    <row r="1056" spans="1:2" x14ac:dyDescent="0.25">
      <c r="A1056" s="63"/>
      <c r="B1056" s="63"/>
    </row>
    <row r="1057" spans="1:2" x14ac:dyDescent="0.25">
      <c r="A1057" s="63"/>
      <c r="B1057" s="63"/>
    </row>
    <row r="1058" spans="1:2" x14ac:dyDescent="0.25">
      <c r="A1058" s="63"/>
      <c r="B1058" s="63"/>
    </row>
    <row r="1059" spans="1:2" x14ac:dyDescent="0.25">
      <c r="A1059" s="63"/>
      <c r="B1059" s="63"/>
    </row>
    <row r="1060" spans="1:2" x14ac:dyDescent="0.25">
      <c r="A1060" s="63"/>
      <c r="B1060" s="63"/>
    </row>
    <row r="1061" spans="1:2" x14ac:dyDescent="0.25">
      <c r="A1061" s="63"/>
      <c r="B1061" s="63"/>
    </row>
    <row r="1062" spans="1:2" x14ac:dyDescent="0.25">
      <c r="A1062" s="63"/>
      <c r="B1062" s="63"/>
    </row>
    <row r="1063" spans="1:2" x14ac:dyDescent="0.25">
      <c r="A1063" s="63"/>
      <c r="B1063" s="63"/>
    </row>
    <row r="1064" spans="1:2" x14ac:dyDescent="0.25">
      <c r="A1064" s="63"/>
      <c r="B1064" s="63"/>
    </row>
    <row r="1065" spans="1:2" x14ac:dyDescent="0.25">
      <c r="A1065" s="63"/>
      <c r="B1065" s="63"/>
    </row>
    <row r="1066" spans="1:2" x14ac:dyDescent="0.25">
      <c r="A1066" s="63"/>
      <c r="B1066" s="63"/>
    </row>
    <row r="1067" spans="1:2" x14ac:dyDescent="0.25">
      <c r="A1067" s="63"/>
      <c r="B1067" s="63"/>
    </row>
    <row r="1068" spans="1:2" x14ac:dyDescent="0.25">
      <c r="A1068" s="63"/>
      <c r="B1068" s="63"/>
    </row>
    <row r="1069" spans="1:2" x14ac:dyDescent="0.25">
      <c r="A1069" s="63"/>
      <c r="B1069" s="63"/>
    </row>
    <row r="1070" spans="1:2" x14ac:dyDescent="0.25">
      <c r="A1070" s="63"/>
    </row>
    <row r="1071" spans="1:2" x14ac:dyDescent="0.25">
      <c r="A1071" s="63"/>
      <c r="B1071" s="63"/>
    </row>
    <row r="1072" spans="1:2" x14ac:dyDescent="0.25">
      <c r="A1072" s="63"/>
      <c r="B1072" s="63"/>
    </row>
    <row r="1073" spans="1:2" x14ac:dyDescent="0.25">
      <c r="A1073" s="63"/>
      <c r="B1073" s="63"/>
    </row>
    <row r="1074" spans="1:2" x14ac:dyDescent="0.25">
      <c r="A1074" s="63"/>
      <c r="B1074" s="63"/>
    </row>
    <row r="1075" spans="1:2" x14ac:dyDescent="0.25">
      <c r="A1075" s="63"/>
      <c r="B1075" s="63"/>
    </row>
    <row r="1076" spans="1:2" x14ac:dyDescent="0.25">
      <c r="A1076" s="63"/>
      <c r="B1076" s="63"/>
    </row>
    <row r="1077" spans="1:2" x14ac:dyDescent="0.25">
      <c r="A1077" s="63"/>
      <c r="B1077" s="63"/>
    </row>
    <row r="1078" spans="1:2" x14ac:dyDescent="0.25">
      <c r="A1078" s="63"/>
      <c r="B1078" s="63"/>
    </row>
    <row r="1079" spans="1:2" x14ac:dyDescent="0.25">
      <c r="A1079" s="63"/>
      <c r="B1079" s="63"/>
    </row>
    <row r="1080" spans="1:2" x14ac:dyDescent="0.25">
      <c r="A1080" s="63"/>
      <c r="B1080" s="63"/>
    </row>
    <row r="1081" spans="1:2" x14ac:dyDescent="0.25">
      <c r="A1081" s="63"/>
      <c r="B1081" s="63"/>
    </row>
    <row r="1082" spans="1:2" x14ac:dyDescent="0.25">
      <c r="A1082" s="63"/>
      <c r="B1082" s="63"/>
    </row>
    <row r="1083" spans="1:2" x14ac:dyDescent="0.25">
      <c r="A1083" s="63"/>
      <c r="B1083" s="63"/>
    </row>
    <row r="1084" spans="1:2" x14ac:dyDescent="0.25">
      <c r="A1084" s="63"/>
      <c r="B1084" s="63"/>
    </row>
    <row r="1085" spans="1:2" x14ac:dyDescent="0.25">
      <c r="A1085" s="63"/>
      <c r="B1085" s="63"/>
    </row>
    <row r="1086" spans="1:2" x14ac:dyDescent="0.25">
      <c r="A1086" s="63"/>
      <c r="B1086" s="63"/>
    </row>
    <row r="1087" spans="1:2" x14ac:dyDescent="0.25">
      <c r="A1087" s="63"/>
      <c r="B1087" s="63"/>
    </row>
    <row r="1088" spans="1:2" x14ac:dyDescent="0.25">
      <c r="A1088" s="63"/>
      <c r="B1088" s="63"/>
    </row>
    <row r="1089" spans="1:2" x14ac:dyDescent="0.25">
      <c r="A1089" s="63"/>
      <c r="B1089" s="63"/>
    </row>
    <row r="1090" spans="1:2" x14ac:dyDescent="0.25">
      <c r="A1090" s="63"/>
      <c r="B1090" s="63"/>
    </row>
    <row r="1091" spans="1:2" x14ac:dyDescent="0.25">
      <c r="A1091" s="63"/>
      <c r="B1091" s="63"/>
    </row>
    <row r="1092" spans="1:2" x14ac:dyDescent="0.25">
      <c r="A1092" s="63"/>
      <c r="B1092" s="63"/>
    </row>
    <row r="1093" spans="1:2" x14ac:dyDescent="0.25">
      <c r="A1093" s="63"/>
      <c r="B1093" s="63"/>
    </row>
    <row r="1094" spans="1:2" x14ac:dyDescent="0.25">
      <c r="A1094" s="63"/>
      <c r="B1094" s="63"/>
    </row>
    <row r="1095" spans="1:2" x14ac:dyDescent="0.25">
      <c r="A1095" s="63"/>
      <c r="B1095" s="63"/>
    </row>
    <row r="1096" spans="1:2" x14ac:dyDescent="0.25">
      <c r="A1096" s="63"/>
      <c r="B1096" s="63"/>
    </row>
    <row r="1097" spans="1:2" x14ac:dyDescent="0.25">
      <c r="A1097" s="63"/>
      <c r="B1097" s="63"/>
    </row>
    <row r="1098" spans="1:2" x14ac:dyDescent="0.25">
      <c r="A1098" s="63"/>
      <c r="B1098" s="63"/>
    </row>
    <row r="1099" spans="1:2" x14ac:dyDescent="0.25">
      <c r="A1099" s="63"/>
      <c r="B1099" s="63"/>
    </row>
    <row r="1100" spans="1:2" x14ac:dyDescent="0.25">
      <c r="A1100" s="63"/>
      <c r="B1100" s="63"/>
    </row>
    <row r="1101" spans="1:2" x14ac:dyDescent="0.25">
      <c r="A1101" s="63"/>
      <c r="B1101" s="63"/>
    </row>
    <row r="1102" spans="1:2" x14ac:dyDescent="0.25">
      <c r="A1102" s="63"/>
      <c r="B1102" s="63"/>
    </row>
    <row r="1103" spans="1:2" x14ac:dyDescent="0.25">
      <c r="A1103" s="63"/>
      <c r="B1103" s="63"/>
    </row>
    <row r="1104" spans="1:2" x14ac:dyDescent="0.25">
      <c r="A1104" s="63"/>
      <c r="B1104" s="63"/>
    </row>
    <row r="1105" spans="1:2" x14ac:dyDescent="0.25">
      <c r="A1105" s="63"/>
      <c r="B1105" s="63"/>
    </row>
    <row r="1106" spans="1:2" x14ac:dyDescent="0.25">
      <c r="A1106" s="63"/>
    </row>
    <row r="1107" spans="1:2" x14ac:dyDescent="0.25">
      <c r="A1107" s="63"/>
      <c r="B1107" s="63"/>
    </row>
    <row r="1108" spans="1:2" x14ac:dyDescent="0.25">
      <c r="A1108" s="63"/>
      <c r="B1108" s="63"/>
    </row>
    <row r="1109" spans="1:2" x14ac:dyDescent="0.25">
      <c r="A1109" s="63"/>
      <c r="B1109" s="63"/>
    </row>
    <row r="1110" spans="1:2" x14ac:dyDescent="0.25">
      <c r="A1110" s="63"/>
      <c r="B1110" s="63"/>
    </row>
    <row r="1111" spans="1:2" x14ac:dyDescent="0.25">
      <c r="A1111" s="63"/>
      <c r="B1111" s="63"/>
    </row>
    <row r="1112" spans="1:2" x14ac:dyDescent="0.25">
      <c r="A1112" s="63"/>
      <c r="B1112" s="63"/>
    </row>
    <row r="1113" spans="1:2" x14ac:dyDescent="0.25">
      <c r="A1113" s="63"/>
      <c r="B1113" s="63"/>
    </row>
    <row r="1114" spans="1:2" x14ac:dyDescent="0.25">
      <c r="A1114" s="63"/>
      <c r="B1114" s="63"/>
    </row>
    <row r="1115" spans="1:2" x14ac:dyDescent="0.25">
      <c r="A1115" s="63"/>
      <c r="B1115" s="63"/>
    </row>
    <row r="1116" spans="1:2" x14ac:dyDescent="0.25">
      <c r="A1116" s="63"/>
      <c r="B1116" s="63"/>
    </row>
    <row r="1117" spans="1:2" x14ac:dyDescent="0.25">
      <c r="A1117" s="63"/>
      <c r="B1117" s="63"/>
    </row>
    <row r="1118" spans="1:2" x14ac:dyDescent="0.25">
      <c r="A1118" s="63"/>
      <c r="B1118" s="63"/>
    </row>
    <row r="1119" spans="1:2" x14ac:dyDescent="0.25">
      <c r="A1119" s="63"/>
      <c r="B1119" s="63"/>
    </row>
    <row r="1120" spans="1:2" x14ac:dyDescent="0.25">
      <c r="A1120" s="63"/>
      <c r="B1120" s="63"/>
    </row>
    <row r="1121" spans="1:2" x14ac:dyDescent="0.25">
      <c r="A1121" s="63"/>
      <c r="B1121" s="63"/>
    </row>
    <row r="1122" spans="1:2" x14ac:dyDescent="0.25">
      <c r="A1122" s="63"/>
      <c r="B1122" s="63"/>
    </row>
    <row r="1123" spans="1:2" x14ac:dyDescent="0.25">
      <c r="A1123" s="63"/>
      <c r="B1123" s="63"/>
    </row>
    <row r="1124" spans="1:2" x14ac:dyDescent="0.25">
      <c r="A1124" s="63"/>
      <c r="B1124" s="63"/>
    </row>
    <row r="1125" spans="1:2" x14ac:dyDescent="0.25">
      <c r="A1125" s="63"/>
      <c r="B1125" s="63"/>
    </row>
    <row r="1126" spans="1:2" x14ac:dyDescent="0.25">
      <c r="A1126" s="63"/>
      <c r="B1126" s="63"/>
    </row>
    <row r="1127" spans="1:2" x14ac:dyDescent="0.25">
      <c r="A1127" s="63"/>
      <c r="B1127" s="63"/>
    </row>
    <row r="1128" spans="1:2" x14ac:dyDescent="0.25">
      <c r="A1128" s="63"/>
      <c r="B1128" s="63"/>
    </row>
    <row r="1129" spans="1:2" x14ac:dyDescent="0.25">
      <c r="A1129" s="63"/>
      <c r="B1129" s="63"/>
    </row>
    <row r="1130" spans="1:2" x14ac:dyDescent="0.25">
      <c r="A1130" s="63"/>
      <c r="B1130" s="63"/>
    </row>
    <row r="1131" spans="1:2" x14ac:dyDescent="0.25">
      <c r="A1131" s="63"/>
      <c r="B1131" s="63"/>
    </row>
    <row r="1132" spans="1:2" x14ac:dyDescent="0.25">
      <c r="A1132" s="63"/>
      <c r="B1132" s="63"/>
    </row>
    <row r="1133" spans="1:2" x14ac:dyDescent="0.25">
      <c r="A1133" s="63"/>
      <c r="B1133" s="63"/>
    </row>
    <row r="1134" spans="1:2" x14ac:dyDescent="0.25">
      <c r="A1134" s="63"/>
      <c r="B1134" s="63"/>
    </row>
    <row r="1135" spans="1:2" x14ac:dyDescent="0.25">
      <c r="A1135" s="63"/>
      <c r="B1135" s="63"/>
    </row>
    <row r="1136" spans="1:2" x14ac:dyDescent="0.25">
      <c r="A1136" s="63"/>
      <c r="B1136" s="63"/>
    </row>
    <row r="1137" spans="1:2" x14ac:dyDescent="0.25">
      <c r="A1137" s="63"/>
      <c r="B1137" s="63"/>
    </row>
    <row r="1138" spans="1:2" x14ac:dyDescent="0.25">
      <c r="A1138" s="63"/>
      <c r="B1138" s="63"/>
    </row>
    <row r="1139" spans="1:2" x14ac:dyDescent="0.25">
      <c r="A1139" s="63"/>
      <c r="B1139" s="63"/>
    </row>
    <row r="1140" spans="1:2" x14ac:dyDescent="0.25">
      <c r="A1140" s="63"/>
      <c r="B1140" s="63"/>
    </row>
    <row r="1141" spans="1:2" x14ac:dyDescent="0.25">
      <c r="A1141" s="63"/>
      <c r="B1141" s="63"/>
    </row>
    <row r="1142" spans="1:2" x14ac:dyDescent="0.25">
      <c r="A1142" s="63"/>
    </row>
    <row r="1143" spans="1:2" x14ac:dyDescent="0.25">
      <c r="A1143" s="63"/>
      <c r="B1143" s="63"/>
    </row>
    <row r="1144" spans="1:2" x14ac:dyDescent="0.25">
      <c r="A1144" s="63"/>
      <c r="B1144" s="63"/>
    </row>
    <row r="1145" spans="1:2" x14ac:dyDescent="0.25">
      <c r="A1145" s="63"/>
      <c r="B1145" s="63"/>
    </row>
    <row r="1146" spans="1:2" x14ac:dyDescent="0.25">
      <c r="A1146" s="63"/>
      <c r="B1146" s="63"/>
    </row>
    <row r="1147" spans="1:2" x14ac:dyDescent="0.25">
      <c r="A1147" s="63"/>
      <c r="B1147" s="63"/>
    </row>
    <row r="1148" spans="1:2" x14ac:dyDescent="0.25">
      <c r="A1148" s="63"/>
      <c r="B1148" s="63"/>
    </row>
    <row r="1149" spans="1:2" x14ac:dyDescent="0.25">
      <c r="A1149" s="63"/>
      <c r="B1149" s="63"/>
    </row>
    <row r="1150" spans="1:2" x14ac:dyDescent="0.25">
      <c r="A1150" s="63"/>
      <c r="B1150" s="63"/>
    </row>
    <row r="1151" spans="1:2" x14ac:dyDescent="0.25">
      <c r="A1151" s="63"/>
      <c r="B1151" s="63"/>
    </row>
    <row r="1152" spans="1:2" x14ac:dyDescent="0.25">
      <c r="A1152" s="63"/>
      <c r="B1152" s="63"/>
    </row>
    <row r="1153" spans="1:2" x14ac:dyDescent="0.25">
      <c r="A1153" s="63"/>
      <c r="B1153" s="63"/>
    </row>
    <row r="1154" spans="1:2" x14ac:dyDescent="0.25">
      <c r="A1154" s="63"/>
      <c r="B1154" s="63"/>
    </row>
    <row r="1155" spans="1:2" x14ac:dyDescent="0.25">
      <c r="A1155" s="63"/>
      <c r="B1155" s="63"/>
    </row>
    <row r="1156" spans="1:2" x14ac:dyDescent="0.25">
      <c r="A1156" s="63"/>
      <c r="B1156" s="63"/>
    </row>
    <row r="1157" spans="1:2" x14ac:dyDescent="0.25">
      <c r="A1157" s="63"/>
      <c r="B1157" s="63"/>
    </row>
    <row r="1158" spans="1:2" x14ac:dyDescent="0.25">
      <c r="A1158" s="63"/>
      <c r="B1158" s="63"/>
    </row>
    <row r="1159" spans="1:2" x14ac:dyDescent="0.25">
      <c r="A1159" s="63"/>
      <c r="B1159" s="63"/>
    </row>
    <row r="1160" spans="1:2" x14ac:dyDescent="0.25">
      <c r="A1160" s="63"/>
      <c r="B1160" s="63"/>
    </row>
    <row r="1161" spans="1:2" x14ac:dyDescent="0.25">
      <c r="A1161" s="63"/>
      <c r="B1161" s="63"/>
    </row>
    <row r="1162" spans="1:2" x14ac:dyDescent="0.25">
      <c r="A1162" s="63"/>
      <c r="B1162" s="63"/>
    </row>
    <row r="1163" spans="1:2" x14ac:dyDescent="0.25">
      <c r="A1163" s="63"/>
      <c r="B1163" s="63"/>
    </row>
    <row r="1164" spans="1:2" x14ac:dyDescent="0.25">
      <c r="A1164" s="63"/>
      <c r="B1164" s="63"/>
    </row>
    <row r="1165" spans="1:2" x14ac:dyDescent="0.25">
      <c r="A1165" s="63"/>
      <c r="B1165" s="63"/>
    </row>
    <row r="1166" spans="1:2" x14ac:dyDescent="0.25">
      <c r="A1166" s="63"/>
      <c r="B1166" s="63"/>
    </row>
    <row r="1167" spans="1:2" x14ac:dyDescent="0.25">
      <c r="A1167" s="63"/>
      <c r="B1167" s="63"/>
    </row>
    <row r="1168" spans="1:2" x14ac:dyDescent="0.25">
      <c r="A1168" s="63"/>
      <c r="B1168" s="63"/>
    </row>
    <row r="1169" spans="1:2" x14ac:dyDescent="0.25">
      <c r="A1169" s="63"/>
      <c r="B1169" s="63"/>
    </row>
    <row r="1170" spans="1:2" x14ac:dyDescent="0.25">
      <c r="A1170" s="63"/>
      <c r="B1170" s="63"/>
    </row>
    <row r="1171" spans="1:2" x14ac:dyDescent="0.25">
      <c r="A1171" s="63"/>
      <c r="B1171" s="63"/>
    </row>
    <row r="1172" spans="1:2" x14ac:dyDescent="0.25">
      <c r="A1172" s="63"/>
      <c r="B1172" s="63"/>
    </row>
    <row r="1173" spans="1:2" x14ac:dyDescent="0.25">
      <c r="A1173" s="63"/>
      <c r="B1173" s="63"/>
    </row>
    <row r="1174" spans="1:2" x14ac:dyDescent="0.25">
      <c r="A1174" s="63"/>
    </row>
    <row r="1175" spans="1:2" x14ac:dyDescent="0.25">
      <c r="A1175" s="63"/>
      <c r="B1175" s="63"/>
    </row>
    <row r="1176" spans="1:2" x14ac:dyDescent="0.25">
      <c r="A1176" s="63"/>
      <c r="B1176" s="63"/>
    </row>
    <row r="1177" spans="1:2" x14ac:dyDescent="0.25">
      <c r="A1177" s="63"/>
      <c r="B1177" s="63"/>
    </row>
    <row r="1178" spans="1:2" x14ac:dyDescent="0.25">
      <c r="A1178" s="63"/>
      <c r="B1178" s="63"/>
    </row>
    <row r="1179" spans="1:2" x14ac:dyDescent="0.25">
      <c r="A1179" s="63"/>
      <c r="B1179" s="63"/>
    </row>
    <row r="1180" spans="1:2" x14ac:dyDescent="0.25">
      <c r="A1180" s="63"/>
      <c r="B1180" s="63"/>
    </row>
    <row r="1181" spans="1:2" x14ac:dyDescent="0.25">
      <c r="A1181" s="63"/>
      <c r="B1181" s="63"/>
    </row>
    <row r="1182" spans="1:2" x14ac:dyDescent="0.25">
      <c r="A1182" s="63"/>
      <c r="B1182" s="63"/>
    </row>
    <row r="1183" spans="1:2" x14ac:dyDescent="0.25">
      <c r="A1183" s="63"/>
      <c r="B1183" s="63"/>
    </row>
    <row r="1184" spans="1:2" x14ac:dyDescent="0.25">
      <c r="A1184" s="63"/>
      <c r="B1184" s="63"/>
    </row>
    <row r="1185" spans="1:2" x14ac:dyDescent="0.25">
      <c r="A1185" s="63"/>
      <c r="B1185" s="63"/>
    </row>
    <row r="1186" spans="1:2" x14ac:dyDescent="0.25">
      <c r="A1186" s="63"/>
      <c r="B1186" s="63"/>
    </row>
    <row r="1187" spans="1:2" x14ac:dyDescent="0.25">
      <c r="A1187" s="63"/>
      <c r="B1187" s="63"/>
    </row>
    <row r="1188" spans="1:2" x14ac:dyDescent="0.25">
      <c r="A1188" s="63"/>
      <c r="B1188" s="63"/>
    </row>
    <row r="1189" spans="1:2" x14ac:dyDescent="0.25">
      <c r="A1189" s="63"/>
      <c r="B1189" s="63"/>
    </row>
    <row r="1190" spans="1:2" x14ac:dyDescent="0.25">
      <c r="A1190" s="63"/>
      <c r="B1190" s="63"/>
    </row>
    <row r="1191" spans="1:2" x14ac:dyDescent="0.25">
      <c r="A1191" s="63"/>
      <c r="B1191" s="63"/>
    </row>
    <row r="1192" spans="1:2" x14ac:dyDescent="0.25">
      <c r="A1192" s="63"/>
      <c r="B1192" s="63"/>
    </row>
    <row r="1193" spans="1:2" x14ac:dyDescent="0.25">
      <c r="A1193" s="63"/>
    </row>
    <row r="1194" spans="1:2" x14ac:dyDescent="0.25">
      <c r="A1194" s="63"/>
      <c r="B1194" s="63"/>
    </row>
    <row r="1195" spans="1:2" x14ac:dyDescent="0.25">
      <c r="A1195" s="63"/>
      <c r="B1195" s="63"/>
    </row>
    <row r="1196" spans="1:2" x14ac:dyDescent="0.25">
      <c r="A1196" s="63"/>
      <c r="B1196" s="63"/>
    </row>
    <row r="1197" spans="1:2" x14ac:dyDescent="0.25">
      <c r="A1197" s="63"/>
      <c r="B1197" s="63"/>
    </row>
    <row r="1198" spans="1:2" x14ac:dyDescent="0.25">
      <c r="A1198" s="63"/>
      <c r="B1198" s="63"/>
    </row>
    <row r="1199" spans="1:2" x14ac:dyDescent="0.25">
      <c r="A1199" s="63"/>
      <c r="B1199" s="63"/>
    </row>
    <row r="1200" spans="1:2" x14ac:dyDescent="0.25">
      <c r="A1200" s="63"/>
      <c r="B1200" s="63"/>
    </row>
    <row r="1201" spans="1:2" x14ac:dyDescent="0.25">
      <c r="A1201" s="63"/>
      <c r="B1201" s="63"/>
    </row>
    <row r="1202" spans="1:2" x14ac:dyDescent="0.25">
      <c r="A1202" s="63"/>
      <c r="B1202" s="63"/>
    </row>
    <row r="1203" spans="1:2" x14ac:dyDescent="0.25">
      <c r="A1203" s="63"/>
      <c r="B1203" s="63"/>
    </row>
    <row r="1204" spans="1:2" x14ac:dyDescent="0.25">
      <c r="A1204" s="63"/>
      <c r="B1204" s="63"/>
    </row>
    <row r="1205" spans="1:2" x14ac:dyDescent="0.25">
      <c r="A1205" s="63"/>
      <c r="B1205" s="63"/>
    </row>
    <row r="1206" spans="1:2" x14ac:dyDescent="0.25">
      <c r="A1206" s="63"/>
      <c r="B1206" s="63"/>
    </row>
    <row r="1207" spans="1:2" x14ac:dyDescent="0.25">
      <c r="A1207" s="63"/>
      <c r="B1207" s="63"/>
    </row>
    <row r="1208" spans="1:2" x14ac:dyDescent="0.25">
      <c r="A1208" s="63"/>
      <c r="B1208" s="63"/>
    </row>
    <row r="1209" spans="1:2" x14ac:dyDescent="0.25">
      <c r="A1209" s="63"/>
      <c r="B1209" s="63"/>
    </row>
    <row r="1210" spans="1:2" x14ac:dyDescent="0.25">
      <c r="A1210" s="63"/>
      <c r="B1210" s="63"/>
    </row>
    <row r="1211" spans="1:2" x14ac:dyDescent="0.25">
      <c r="A1211" s="63"/>
      <c r="B1211" s="63"/>
    </row>
    <row r="1212" spans="1:2" x14ac:dyDescent="0.25">
      <c r="A1212" s="63"/>
      <c r="B1212" s="63"/>
    </row>
    <row r="1213" spans="1:2" x14ac:dyDescent="0.25">
      <c r="A1213" s="63"/>
      <c r="B1213" s="63"/>
    </row>
    <row r="1214" spans="1:2" x14ac:dyDescent="0.25">
      <c r="A1214" s="63"/>
      <c r="B1214" s="63"/>
    </row>
    <row r="1215" spans="1:2" x14ac:dyDescent="0.25">
      <c r="A1215" s="63"/>
      <c r="B1215" s="63"/>
    </row>
    <row r="1216" spans="1:2" x14ac:dyDescent="0.25">
      <c r="A1216" s="63"/>
      <c r="B1216" s="63"/>
    </row>
    <row r="1217" spans="1:2" x14ac:dyDescent="0.25">
      <c r="A1217" s="63"/>
      <c r="B1217" s="63"/>
    </row>
    <row r="1218" spans="1:2" x14ac:dyDescent="0.25">
      <c r="A1218" s="63"/>
      <c r="B1218" s="63"/>
    </row>
    <row r="1219" spans="1:2" x14ac:dyDescent="0.25">
      <c r="A1219" s="63"/>
      <c r="B1219" s="63"/>
    </row>
    <row r="1220" spans="1:2" x14ac:dyDescent="0.25">
      <c r="A1220" s="63"/>
      <c r="B1220" s="63"/>
    </row>
    <row r="1221" spans="1:2" x14ac:dyDescent="0.25">
      <c r="A1221" s="63"/>
      <c r="B1221" s="63"/>
    </row>
    <row r="1222" spans="1:2" x14ac:dyDescent="0.25">
      <c r="A1222" s="63"/>
      <c r="B1222" s="63"/>
    </row>
    <row r="1223" spans="1:2" x14ac:dyDescent="0.25">
      <c r="A1223" s="63"/>
      <c r="B1223" s="63"/>
    </row>
    <row r="1224" spans="1:2" x14ac:dyDescent="0.25">
      <c r="A1224" s="63"/>
      <c r="B1224" s="63"/>
    </row>
    <row r="1225" spans="1:2" x14ac:dyDescent="0.25">
      <c r="A1225" s="63"/>
      <c r="B1225" s="63"/>
    </row>
    <row r="1226" spans="1:2" x14ac:dyDescent="0.25">
      <c r="A1226" s="63"/>
      <c r="B1226" s="63"/>
    </row>
    <row r="1227" spans="1:2" x14ac:dyDescent="0.25">
      <c r="A1227" s="63"/>
      <c r="B1227" s="63"/>
    </row>
    <row r="1228" spans="1:2" x14ac:dyDescent="0.25">
      <c r="A1228" s="63"/>
    </row>
    <row r="1229" spans="1:2" x14ac:dyDescent="0.25">
      <c r="A1229" s="63"/>
      <c r="B1229" s="63"/>
    </row>
    <row r="1230" spans="1:2" x14ac:dyDescent="0.25">
      <c r="A1230" s="63"/>
      <c r="B1230" s="63"/>
    </row>
    <row r="1231" spans="1:2" x14ac:dyDescent="0.25">
      <c r="A1231" s="63"/>
      <c r="B1231" s="63"/>
    </row>
    <row r="1232" spans="1:2" x14ac:dyDescent="0.25">
      <c r="A1232" s="63"/>
      <c r="B1232" s="63"/>
    </row>
    <row r="1233" spans="1:2" x14ac:dyDescent="0.25">
      <c r="A1233" s="63"/>
      <c r="B1233" s="63"/>
    </row>
    <row r="1234" spans="1:2" x14ac:dyDescent="0.25">
      <c r="A1234" s="63"/>
      <c r="B1234" s="63"/>
    </row>
    <row r="1235" spans="1:2" x14ac:dyDescent="0.25">
      <c r="A1235" s="63"/>
      <c r="B1235" s="63"/>
    </row>
    <row r="1236" spans="1:2" x14ac:dyDescent="0.25">
      <c r="A1236" s="63"/>
      <c r="B1236" s="63"/>
    </row>
    <row r="1237" spans="1:2" x14ac:dyDescent="0.25">
      <c r="A1237" s="63"/>
      <c r="B1237" s="63"/>
    </row>
    <row r="1238" spans="1:2" x14ac:dyDescent="0.25">
      <c r="A1238" s="63"/>
      <c r="B1238" s="63"/>
    </row>
    <row r="1239" spans="1:2" x14ac:dyDescent="0.25">
      <c r="A1239" s="63"/>
      <c r="B1239" s="63"/>
    </row>
    <row r="1240" spans="1:2" x14ac:dyDescent="0.25">
      <c r="A1240" s="63"/>
      <c r="B1240" s="63"/>
    </row>
    <row r="1241" spans="1:2" x14ac:dyDescent="0.25">
      <c r="A1241" s="63"/>
      <c r="B1241" s="63"/>
    </row>
    <row r="1242" spans="1:2" x14ac:dyDescent="0.25">
      <c r="A1242" s="63"/>
      <c r="B1242" s="63"/>
    </row>
    <row r="1243" spans="1:2" x14ac:dyDescent="0.25">
      <c r="A1243" s="63"/>
      <c r="B1243" s="63"/>
    </row>
    <row r="1244" spans="1:2" x14ac:dyDescent="0.25">
      <c r="A1244" s="63"/>
      <c r="B1244" s="63"/>
    </row>
    <row r="1245" spans="1:2" x14ac:dyDescent="0.25">
      <c r="A1245" s="63"/>
      <c r="B1245" s="63"/>
    </row>
    <row r="1246" spans="1:2" x14ac:dyDescent="0.25">
      <c r="A1246" s="63"/>
      <c r="B1246" s="63"/>
    </row>
    <row r="1247" spans="1:2" x14ac:dyDescent="0.25">
      <c r="A1247" s="63"/>
      <c r="B1247" s="63"/>
    </row>
    <row r="1248" spans="1:2" x14ac:dyDescent="0.25">
      <c r="A1248" s="63"/>
      <c r="B1248" s="63"/>
    </row>
    <row r="1249" spans="1:2" x14ac:dyDescent="0.25">
      <c r="A1249" s="63"/>
      <c r="B1249" s="63"/>
    </row>
    <row r="1250" spans="1:2" x14ac:dyDescent="0.25">
      <c r="A1250" s="63"/>
      <c r="B1250" s="63"/>
    </row>
    <row r="1251" spans="1:2" x14ac:dyDescent="0.25">
      <c r="A1251" s="63"/>
      <c r="B1251" s="63"/>
    </row>
    <row r="1252" spans="1:2" x14ac:dyDescent="0.25">
      <c r="A1252" s="63"/>
      <c r="B1252" s="63"/>
    </row>
    <row r="1253" spans="1:2" x14ac:dyDescent="0.25">
      <c r="A1253" s="63"/>
      <c r="B1253" s="63"/>
    </row>
    <row r="1254" spans="1:2" x14ac:dyDescent="0.25">
      <c r="A1254" s="63"/>
      <c r="B1254" s="63"/>
    </row>
    <row r="1255" spans="1:2" x14ac:dyDescent="0.25">
      <c r="A1255" s="63"/>
      <c r="B1255" s="63"/>
    </row>
    <row r="1256" spans="1:2" x14ac:dyDescent="0.25">
      <c r="A1256" s="63"/>
      <c r="B1256" s="63"/>
    </row>
    <row r="1257" spans="1:2" x14ac:dyDescent="0.25">
      <c r="A1257" s="63"/>
      <c r="B1257" s="63"/>
    </row>
    <row r="1258" spans="1:2" x14ac:dyDescent="0.25">
      <c r="A1258" s="63"/>
      <c r="B1258" s="63"/>
    </row>
    <row r="1259" spans="1:2" x14ac:dyDescent="0.25">
      <c r="A1259" s="63"/>
      <c r="B1259" s="63"/>
    </row>
    <row r="1260" spans="1:2" x14ac:dyDescent="0.25">
      <c r="A1260" s="63"/>
      <c r="B1260" s="63"/>
    </row>
    <row r="1261" spans="1:2" x14ac:dyDescent="0.25">
      <c r="A1261" s="63"/>
      <c r="B1261" s="63"/>
    </row>
    <row r="1262" spans="1:2" x14ac:dyDescent="0.25">
      <c r="A1262" s="63"/>
      <c r="B1262" s="63"/>
    </row>
    <row r="1263" spans="1:2" x14ac:dyDescent="0.25">
      <c r="A1263" s="63"/>
    </row>
    <row r="1264" spans="1:2" x14ac:dyDescent="0.25">
      <c r="A1264" s="63"/>
      <c r="B1264" s="63"/>
    </row>
    <row r="1265" spans="1:2" x14ac:dyDescent="0.25">
      <c r="A1265" s="63"/>
      <c r="B1265" s="63"/>
    </row>
    <row r="1266" spans="1:2" x14ac:dyDescent="0.25">
      <c r="A1266" s="63"/>
      <c r="B1266" s="63"/>
    </row>
    <row r="1267" spans="1:2" x14ac:dyDescent="0.25">
      <c r="A1267" s="63"/>
      <c r="B1267" s="63"/>
    </row>
    <row r="1268" spans="1:2" x14ac:dyDescent="0.25">
      <c r="A1268" s="63"/>
      <c r="B1268" s="63"/>
    </row>
    <row r="1269" spans="1:2" x14ac:dyDescent="0.25">
      <c r="A1269" s="63"/>
      <c r="B1269" s="63"/>
    </row>
    <row r="1270" spans="1:2" x14ac:dyDescent="0.25">
      <c r="A1270" s="63"/>
      <c r="B1270" s="63"/>
    </row>
    <row r="1271" spans="1:2" x14ac:dyDescent="0.25">
      <c r="A1271" s="63"/>
      <c r="B1271" s="63"/>
    </row>
    <row r="1272" spans="1:2" x14ac:dyDescent="0.25">
      <c r="A1272" s="63"/>
      <c r="B1272" s="63"/>
    </row>
    <row r="1273" spans="1:2" x14ac:dyDescent="0.25">
      <c r="A1273" s="63"/>
      <c r="B1273" s="63"/>
    </row>
    <row r="1274" spans="1:2" x14ac:dyDescent="0.25">
      <c r="A1274" s="63"/>
      <c r="B1274" s="63"/>
    </row>
    <row r="1275" spans="1:2" x14ac:dyDescent="0.25">
      <c r="A1275" s="63"/>
      <c r="B1275" s="63"/>
    </row>
    <row r="1276" spans="1:2" x14ac:dyDescent="0.25">
      <c r="A1276" s="63"/>
      <c r="B1276" s="63"/>
    </row>
    <row r="1277" spans="1:2" x14ac:dyDescent="0.25">
      <c r="A1277" s="63"/>
      <c r="B1277" s="63"/>
    </row>
    <row r="1278" spans="1:2" x14ac:dyDescent="0.25">
      <c r="A1278" s="63"/>
      <c r="B1278" s="63"/>
    </row>
    <row r="1279" spans="1:2" x14ac:dyDescent="0.25">
      <c r="A1279" s="63"/>
      <c r="B1279" s="63"/>
    </row>
    <row r="1280" spans="1:2" x14ac:dyDescent="0.25">
      <c r="A1280" s="63"/>
      <c r="B1280" s="63"/>
    </row>
    <row r="1281" spans="1:2" x14ac:dyDescent="0.25">
      <c r="A1281" s="63"/>
      <c r="B1281" s="63"/>
    </row>
    <row r="1282" spans="1:2" x14ac:dyDescent="0.25">
      <c r="A1282" s="63"/>
      <c r="B1282" s="63"/>
    </row>
    <row r="1283" spans="1:2" x14ac:dyDescent="0.25">
      <c r="A1283" s="63"/>
      <c r="B1283" s="63"/>
    </row>
    <row r="1284" spans="1:2" x14ac:dyDescent="0.25">
      <c r="A1284" s="63"/>
      <c r="B1284" s="63"/>
    </row>
    <row r="1285" spans="1:2" x14ac:dyDescent="0.25">
      <c r="A1285" s="63"/>
      <c r="B1285" s="63"/>
    </row>
    <row r="1286" spans="1:2" x14ac:dyDescent="0.25">
      <c r="A1286" s="63"/>
      <c r="B1286" s="63"/>
    </row>
    <row r="1287" spans="1:2" x14ac:dyDescent="0.25">
      <c r="A1287" s="63"/>
      <c r="B1287" s="63"/>
    </row>
    <row r="1288" spans="1:2" x14ac:dyDescent="0.25">
      <c r="A1288" s="63"/>
      <c r="B1288" s="63"/>
    </row>
    <row r="1289" spans="1:2" x14ac:dyDescent="0.25">
      <c r="A1289" s="63"/>
      <c r="B1289" s="63"/>
    </row>
    <row r="1290" spans="1:2" x14ac:dyDescent="0.25">
      <c r="A1290" s="63"/>
      <c r="B1290" s="63"/>
    </row>
    <row r="1291" spans="1:2" x14ac:dyDescent="0.25">
      <c r="A1291" s="63"/>
      <c r="B1291" s="63"/>
    </row>
    <row r="1292" spans="1:2" x14ac:dyDescent="0.25">
      <c r="A1292" s="63"/>
      <c r="B1292" s="63"/>
    </row>
    <row r="1293" spans="1:2" x14ac:dyDescent="0.25">
      <c r="A1293" s="63"/>
      <c r="B1293" s="63"/>
    </row>
    <row r="1294" spans="1:2" x14ac:dyDescent="0.25">
      <c r="A1294" s="63"/>
      <c r="B1294" s="63"/>
    </row>
    <row r="1295" spans="1:2" x14ac:dyDescent="0.25">
      <c r="A1295" s="63"/>
      <c r="B1295" s="63"/>
    </row>
    <row r="1296" spans="1:2" x14ac:dyDescent="0.25">
      <c r="A1296" s="63"/>
      <c r="B1296" s="63"/>
    </row>
    <row r="1297" spans="1:2" x14ac:dyDescent="0.25">
      <c r="A1297" s="63"/>
      <c r="B1297" s="63"/>
    </row>
    <row r="1298" spans="1:2" x14ac:dyDescent="0.25">
      <c r="A1298" s="63"/>
    </row>
    <row r="1299" spans="1:2" x14ac:dyDescent="0.25">
      <c r="A1299" s="63"/>
      <c r="B1299" s="63"/>
    </row>
    <row r="1300" spans="1:2" x14ac:dyDescent="0.25">
      <c r="A1300" s="63"/>
      <c r="B1300" s="63"/>
    </row>
    <row r="1301" spans="1:2" x14ac:dyDescent="0.25">
      <c r="A1301" s="63"/>
      <c r="B1301" s="63"/>
    </row>
    <row r="1302" spans="1:2" x14ac:dyDescent="0.25">
      <c r="A1302" s="63"/>
      <c r="B1302" s="63"/>
    </row>
    <row r="1303" spans="1:2" x14ac:dyDescent="0.25">
      <c r="A1303" s="63"/>
      <c r="B1303" s="63"/>
    </row>
    <row r="1304" spans="1:2" x14ac:dyDescent="0.25">
      <c r="A1304" s="63"/>
      <c r="B1304" s="63"/>
    </row>
    <row r="1305" spans="1:2" x14ac:dyDescent="0.25">
      <c r="A1305" s="63"/>
      <c r="B1305" s="63"/>
    </row>
    <row r="1306" spans="1:2" x14ac:dyDescent="0.25">
      <c r="A1306" s="63"/>
      <c r="B1306" s="63"/>
    </row>
    <row r="1307" spans="1:2" x14ac:dyDescent="0.25">
      <c r="A1307" s="63"/>
      <c r="B1307" s="63"/>
    </row>
    <row r="1308" spans="1:2" x14ac:dyDescent="0.25">
      <c r="A1308" s="63"/>
      <c r="B1308" s="63"/>
    </row>
    <row r="1309" spans="1:2" x14ac:dyDescent="0.25">
      <c r="A1309" s="63"/>
      <c r="B1309" s="63"/>
    </row>
    <row r="1310" spans="1:2" x14ac:dyDescent="0.25">
      <c r="A1310" s="63"/>
      <c r="B1310" s="63"/>
    </row>
    <row r="1311" spans="1:2" x14ac:dyDescent="0.25">
      <c r="A1311" s="63"/>
      <c r="B1311" s="63"/>
    </row>
    <row r="1312" spans="1:2" x14ac:dyDescent="0.25">
      <c r="A1312" s="63"/>
      <c r="B1312" s="63"/>
    </row>
    <row r="1313" spans="1:2" x14ac:dyDescent="0.25">
      <c r="A1313" s="63"/>
      <c r="B1313" s="63"/>
    </row>
    <row r="1314" spans="1:2" x14ac:dyDescent="0.25">
      <c r="A1314" s="63"/>
      <c r="B1314" s="63"/>
    </row>
    <row r="1315" spans="1:2" x14ac:dyDescent="0.25">
      <c r="A1315" s="63"/>
      <c r="B1315" s="63"/>
    </row>
    <row r="1316" spans="1:2" x14ac:dyDescent="0.25">
      <c r="A1316" s="63"/>
      <c r="B1316" s="63"/>
    </row>
    <row r="1317" spans="1:2" x14ac:dyDescent="0.25">
      <c r="A1317" s="63"/>
      <c r="B1317" s="63"/>
    </row>
    <row r="1318" spans="1:2" x14ac:dyDescent="0.25">
      <c r="A1318" s="63"/>
      <c r="B1318" s="63"/>
    </row>
    <row r="1319" spans="1:2" x14ac:dyDescent="0.25">
      <c r="A1319" s="63"/>
      <c r="B1319" s="63"/>
    </row>
    <row r="1320" spans="1:2" x14ac:dyDescent="0.25">
      <c r="A1320" s="63"/>
      <c r="B1320" s="63"/>
    </row>
    <row r="1321" spans="1:2" x14ac:dyDescent="0.25">
      <c r="A1321" s="63"/>
      <c r="B1321" s="63"/>
    </row>
    <row r="1322" spans="1:2" x14ac:dyDescent="0.25">
      <c r="A1322" s="63"/>
      <c r="B1322" s="63"/>
    </row>
    <row r="1323" spans="1:2" x14ac:dyDescent="0.25">
      <c r="A1323" s="63"/>
      <c r="B1323" s="63"/>
    </row>
    <row r="1324" spans="1:2" x14ac:dyDescent="0.25">
      <c r="A1324" s="63"/>
      <c r="B1324" s="63"/>
    </row>
    <row r="1325" spans="1:2" x14ac:dyDescent="0.25">
      <c r="A1325" s="63"/>
      <c r="B1325" s="63"/>
    </row>
    <row r="1326" spans="1:2" x14ac:dyDescent="0.25">
      <c r="A1326" s="63"/>
      <c r="B1326" s="63"/>
    </row>
    <row r="1327" spans="1:2" x14ac:dyDescent="0.25">
      <c r="A1327" s="63"/>
      <c r="B1327" s="63"/>
    </row>
    <row r="1328" spans="1:2" x14ac:dyDescent="0.25">
      <c r="A1328" s="63"/>
      <c r="B1328" s="63"/>
    </row>
    <row r="1329" spans="1:2" x14ac:dyDescent="0.25">
      <c r="A1329" s="63"/>
      <c r="B1329" s="63"/>
    </row>
    <row r="1330" spans="1:2" x14ac:dyDescent="0.25">
      <c r="A1330" s="63"/>
      <c r="B1330" s="63"/>
    </row>
    <row r="1331" spans="1:2" x14ac:dyDescent="0.25">
      <c r="A1331" s="63"/>
      <c r="B1331" s="63"/>
    </row>
    <row r="1332" spans="1:2" x14ac:dyDescent="0.25">
      <c r="A1332" s="63"/>
      <c r="B1332" s="63"/>
    </row>
    <row r="1333" spans="1:2" x14ac:dyDescent="0.25">
      <c r="A1333" s="63"/>
    </row>
    <row r="1334" spans="1:2" x14ac:dyDescent="0.25">
      <c r="A1334" s="63"/>
      <c r="B1334" s="63"/>
    </row>
    <row r="1335" spans="1:2" x14ac:dyDescent="0.25">
      <c r="A1335" s="63"/>
      <c r="B1335" s="63"/>
    </row>
    <row r="1336" spans="1:2" x14ac:dyDescent="0.25">
      <c r="A1336" s="63"/>
      <c r="B1336" s="63"/>
    </row>
    <row r="1337" spans="1:2" x14ac:dyDescent="0.25">
      <c r="A1337" s="63"/>
      <c r="B1337" s="63"/>
    </row>
    <row r="1338" spans="1:2" x14ac:dyDescent="0.25">
      <c r="A1338" s="63"/>
      <c r="B1338" s="63"/>
    </row>
    <row r="1339" spans="1:2" x14ac:dyDescent="0.25">
      <c r="A1339" s="63"/>
      <c r="B1339" s="63"/>
    </row>
    <row r="1340" spans="1:2" x14ac:dyDescent="0.25">
      <c r="A1340" s="63"/>
      <c r="B1340" s="63"/>
    </row>
    <row r="1341" spans="1:2" x14ac:dyDescent="0.25">
      <c r="A1341" s="63"/>
      <c r="B1341" s="63"/>
    </row>
    <row r="1342" spans="1:2" x14ac:dyDescent="0.25">
      <c r="A1342" s="63"/>
      <c r="B1342" s="63"/>
    </row>
    <row r="1343" spans="1:2" x14ac:dyDescent="0.25">
      <c r="A1343" s="63"/>
      <c r="B1343" s="63"/>
    </row>
    <row r="1344" spans="1:2" x14ac:dyDescent="0.25">
      <c r="A1344" s="63"/>
      <c r="B1344" s="63"/>
    </row>
    <row r="1345" spans="1:2" x14ac:dyDescent="0.25">
      <c r="A1345" s="63"/>
      <c r="B1345" s="63"/>
    </row>
    <row r="1346" spans="1:2" x14ac:dyDescent="0.25">
      <c r="A1346" s="63"/>
      <c r="B1346" s="63"/>
    </row>
    <row r="1347" spans="1:2" x14ac:dyDescent="0.25">
      <c r="A1347" s="63"/>
      <c r="B1347" s="63"/>
    </row>
    <row r="1348" spans="1:2" x14ac:dyDescent="0.25">
      <c r="A1348" s="63"/>
      <c r="B1348" s="63"/>
    </row>
    <row r="1349" spans="1:2" x14ac:dyDescent="0.25">
      <c r="A1349" s="63"/>
      <c r="B1349" s="63"/>
    </row>
    <row r="1350" spans="1:2" x14ac:dyDescent="0.25">
      <c r="A1350" s="63"/>
      <c r="B1350" s="63"/>
    </row>
    <row r="1351" spans="1:2" x14ac:dyDescent="0.25">
      <c r="A1351" s="63"/>
      <c r="B1351" s="63"/>
    </row>
    <row r="1352" spans="1:2" x14ac:dyDescent="0.25">
      <c r="A1352" s="63"/>
      <c r="B1352" s="63"/>
    </row>
    <row r="1353" spans="1:2" x14ac:dyDescent="0.25">
      <c r="A1353" s="63"/>
      <c r="B1353" s="63"/>
    </row>
    <row r="1354" spans="1:2" x14ac:dyDescent="0.25">
      <c r="A1354" s="63"/>
      <c r="B1354" s="63"/>
    </row>
    <row r="1355" spans="1:2" x14ac:dyDescent="0.25">
      <c r="A1355" s="63"/>
      <c r="B1355" s="63"/>
    </row>
    <row r="1356" spans="1:2" x14ac:dyDescent="0.25">
      <c r="A1356" s="63"/>
      <c r="B1356" s="63"/>
    </row>
    <row r="1357" spans="1:2" x14ac:dyDescent="0.25">
      <c r="A1357" s="63"/>
      <c r="B1357" s="63"/>
    </row>
    <row r="1358" spans="1:2" x14ac:dyDescent="0.25">
      <c r="A1358" s="63"/>
      <c r="B1358" s="63"/>
    </row>
    <row r="1359" spans="1:2" x14ac:dyDescent="0.25">
      <c r="A1359" s="63"/>
      <c r="B1359" s="63"/>
    </row>
    <row r="1360" spans="1:2" x14ac:dyDescent="0.25">
      <c r="A1360" s="63"/>
      <c r="B1360" s="63"/>
    </row>
    <row r="1361" spans="1:2" x14ac:dyDescent="0.25">
      <c r="A1361" s="63"/>
      <c r="B1361" s="63"/>
    </row>
    <row r="1362" spans="1:2" x14ac:dyDescent="0.25">
      <c r="A1362" s="63"/>
      <c r="B1362" s="63"/>
    </row>
    <row r="1363" spans="1:2" x14ac:dyDescent="0.25">
      <c r="A1363" s="63"/>
      <c r="B1363" s="63"/>
    </row>
    <row r="1364" spans="1:2" x14ac:dyDescent="0.25">
      <c r="A1364" s="63"/>
      <c r="B1364" s="63"/>
    </row>
    <row r="1365" spans="1:2" x14ac:dyDescent="0.25">
      <c r="A1365" s="63"/>
      <c r="B1365" s="63"/>
    </row>
    <row r="1366" spans="1:2" x14ac:dyDescent="0.25">
      <c r="A1366" s="63"/>
      <c r="B1366" s="63"/>
    </row>
    <row r="1367" spans="1:2" x14ac:dyDescent="0.25">
      <c r="A1367" s="63"/>
      <c r="B1367" s="63"/>
    </row>
    <row r="1368" spans="1:2" x14ac:dyDescent="0.25">
      <c r="A1368" s="63"/>
    </row>
    <row r="1369" spans="1:2" x14ac:dyDescent="0.25">
      <c r="A1369" s="63"/>
      <c r="B1369" s="63"/>
    </row>
    <row r="1370" spans="1:2" x14ac:dyDescent="0.25">
      <c r="A1370" s="63"/>
      <c r="B1370" s="63"/>
    </row>
    <row r="1371" spans="1:2" x14ac:dyDescent="0.25">
      <c r="A1371" s="63"/>
      <c r="B1371" s="63"/>
    </row>
    <row r="1372" spans="1:2" x14ac:dyDescent="0.25">
      <c r="A1372" s="63"/>
      <c r="B1372" s="63"/>
    </row>
    <row r="1373" spans="1:2" x14ac:dyDescent="0.25">
      <c r="A1373" s="63"/>
      <c r="B1373" s="63"/>
    </row>
    <row r="1374" spans="1:2" x14ac:dyDescent="0.25">
      <c r="A1374" s="63"/>
      <c r="B1374" s="63"/>
    </row>
    <row r="1375" spans="1:2" x14ac:dyDescent="0.25">
      <c r="A1375" s="63"/>
      <c r="B1375" s="63"/>
    </row>
    <row r="1376" spans="1:2" x14ac:dyDescent="0.25">
      <c r="A1376" s="63"/>
      <c r="B1376" s="63"/>
    </row>
    <row r="1377" spans="1:2" x14ac:dyDescent="0.25">
      <c r="A1377" s="63"/>
      <c r="B1377" s="63"/>
    </row>
    <row r="1378" spans="1:2" x14ac:dyDescent="0.25">
      <c r="A1378" s="63"/>
      <c r="B1378" s="63"/>
    </row>
    <row r="1379" spans="1:2" x14ac:dyDescent="0.25">
      <c r="A1379" s="63"/>
      <c r="B1379" s="63"/>
    </row>
    <row r="1380" spans="1:2" x14ac:dyDescent="0.25">
      <c r="A1380" s="63"/>
      <c r="B1380" s="63"/>
    </row>
    <row r="1381" spans="1:2" x14ac:dyDescent="0.25">
      <c r="A1381" s="63"/>
      <c r="B1381" s="63"/>
    </row>
    <row r="1382" spans="1:2" x14ac:dyDescent="0.25">
      <c r="A1382" s="63"/>
      <c r="B1382" s="63"/>
    </row>
    <row r="1383" spans="1:2" x14ac:dyDescent="0.25">
      <c r="A1383" s="63"/>
      <c r="B1383" s="63"/>
    </row>
    <row r="1384" spans="1:2" x14ac:dyDescent="0.25">
      <c r="A1384" s="63"/>
      <c r="B1384" s="63"/>
    </row>
    <row r="1385" spans="1:2" x14ac:dyDescent="0.25">
      <c r="A1385" s="63"/>
      <c r="B1385" s="63"/>
    </row>
    <row r="1386" spans="1:2" x14ac:dyDescent="0.25">
      <c r="A1386" s="63"/>
      <c r="B1386" s="63"/>
    </row>
    <row r="1387" spans="1:2" x14ac:dyDescent="0.25">
      <c r="A1387" s="63"/>
      <c r="B1387" s="63"/>
    </row>
    <row r="1388" spans="1:2" x14ac:dyDescent="0.25">
      <c r="A1388" s="63"/>
      <c r="B1388" s="63"/>
    </row>
    <row r="1389" spans="1:2" x14ac:dyDescent="0.25">
      <c r="A1389" s="63"/>
      <c r="B1389" s="63"/>
    </row>
    <row r="1390" spans="1:2" x14ac:dyDescent="0.25">
      <c r="A1390" s="63"/>
      <c r="B1390" s="63"/>
    </row>
    <row r="1391" spans="1:2" x14ac:dyDescent="0.25">
      <c r="A1391" s="63"/>
      <c r="B1391" s="63"/>
    </row>
    <row r="1392" spans="1:2" x14ac:dyDescent="0.25">
      <c r="A1392" s="63"/>
      <c r="B1392" s="63"/>
    </row>
    <row r="1393" spans="1:2" x14ac:dyDescent="0.25">
      <c r="A1393" s="63"/>
      <c r="B1393" s="63"/>
    </row>
    <row r="1394" spans="1:2" x14ac:dyDescent="0.25">
      <c r="A1394" s="63"/>
      <c r="B1394" s="63"/>
    </row>
    <row r="1395" spans="1:2" x14ac:dyDescent="0.25">
      <c r="A1395" s="63"/>
      <c r="B1395" s="63"/>
    </row>
    <row r="1396" spans="1:2" x14ac:dyDescent="0.25">
      <c r="A1396" s="63"/>
      <c r="B1396" s="63"/>
    </row>
    <row r="1397" spans="1:2" x14ac:dyDescent="0.25">
      <c r="A1397" s="63"/>
      <c r="B1397" s="63"/>
    </row>
    <row r="1398" spans="1:2" x14ac:dyDescent="0.25">
      <c r="A1398" s="63"/>
      <c r="B1398" s="63"/>
    </row>
    <row r="1399" spans="1:2" x14ac:dyDescent="0.25">
      <c r="A1399" s="63"/>
      <c r="B1399" s="63"/>
    </row>
    <row r="1400" spans="1:2" x14ac:dyDescent="0.25">
      <c r="A1400" s="63"/>
      <c r="B1400" s="63"/>
    </row>
    <row r="1401" spans="1:2" x14ac:dyDescent="0.25">
      <c r="A1401" s="63"/>
      <c r="B1401" s="63"/>
    </row>
    <row r="1402" spans="1:2" x14ac:dyDescent="0.25">
      <c r="A1402" s="63"/>
      <c r="B1402" s="63"/>
    </row>
    <row r="1403" spans="1:2" x14ac:dyDescent="0.25">
      <c r="A1403" s="63"/>
    </row>
    <row r="1404" spans="1:2" x14ac:dyDescent="0.25">
      <c r="A1404" s="63"/>
      <c r="B1404" s="63"/>
    </row>
    <row r="1405" spans="1:2" x14ac:dyDescent="0.25">
      <c r="A1405" s="63"/>
      <c r="B1405" s="63"/>
    </row>
    <row r="1406" spans="1:2" x14ac:dyDescent="0.25">
      <c r="A1406" s="63"/>
      <c r="B1406" s="63"/>
    </row>
    <row r="1407" spans="1:2" x14ac:dyDescent="0.25">
      <c r="A1407" s="63"/>
      <c r="B1407" s="63"/>
    </row>
    <row r="1408" spans="1:2" x14ac:dyDescent="0.25">
      <c r="A1408" s="63"/>
      <c r="B1408" s="63"/>
    </row>
    <row r="1409" spans="1:2" x14ac:dyDescent="0.25">
      <c r="A1409" s="63"/>
      <c r="B1409" s="63"/>
    </row>
    <row r="1410" spans="1:2" x14ac:dyDescent="0.25">
      <c r="A1410" s="63"/>
      <c r="B1410" s="63"/>
    </row>
    <row r="1411" spans="1:2" x14ac:dyDescent="0.25">
      <c r="A1411" s="63"/>
      <c r="B1411" s="63"/>
    </row>
    <row r="1412" spans="1:2" x14ac:dyDescent="0.25">
      <c r="A1412" s="63"/>
      <c r="B1412" s="63"/>
    </row>
    <row r="1413" spans="1:2" x14ac:dyDescent="0.25">
      <c r="A1413" s="63"/>
      <c r="B1413" s="63"/>
    </row>
    <row r="1414" spans="1:2" x14ac:dyDescent="0.25">
      <c r="A1414" s="63"/>
      <c r="B1414" s="63"/>
    </row>
    <row r="1415" spans="1:2" x14ac:dyDescent="0.25">
      <c r="A1415" s="63"/>
      <c r="B1415" s="63"/>
    </row>
    <row r="1416" spans="1:2" x14ac:dyDescent="0.25">
      <c r="A1416" s="63"/>
      <c r="B1416" s="63"/>
    </row>
    <row r="1417" spans="1:2" x14ac:dyDescent="0.25">
      <c r="A1417" s="63"/>
      <c r="B1417" s="63"/>
    </row>
    <row r="1418" spans="1:2" x14ac:dyDescent="0.25">
      <c r="A1418" s="63"/>
      <c r="B1418" s="63"/>
    </row>
    <row r="1419" spans="1:2" x14ac:dyDescent="0.25">
      <c r="A1419" s="63"/>
      <c r="B1419" s="63"/>
    </row>
    <row r="1420" spans="1:2" x14ac:dyDescent="0.25">
      <c r="A1420" s="63"/>
      <c r="B1420" s="63"/>
    </row>
    <row r="1421" spans="1:2" x14ac:dyDescent="0.25">
      <c r="A1421" s="63"/>
      <c r="B1421" s="63"/>
    </row>
    <row r="1422" spans="1:2" x14ac:dyDescent="0.25">
      <c r="A1422" s="63"/>
      <c r="B1422" s="63"/>
    </row>
    <row r="1423" spans="1:2" x14ac:dyDescent="0.25">
      <c r="A1423" s="63"/>
      <c r="B1423" s="63"/>
    </row>
    <row r="1424" spans="1:2" x14ac:dyDescent="0.25">
      <c r="A1424" s="63"/>
      <c r="B1424" s="63"/>
    </row>
    <row r="1425" spans="1:2" x14ac:dyDescent="0.25">
      <c r="A1425" s="63"/>
      <c r="B1425" s="63"/>
    </row>
    <row r="1426" spans="1:2" x14ac:dyDescent="0.25">
      <c r="A1426" s="63"/>
      <c r="B1426" s="63"/>
    </row>
    <row r="1427" spans="1:2" x14ac:dyDescent="0.25">
      <c r="A1427" s="63"/>
      <c r="B1427" s="63"/>
    </row>
    <row r="1428" spans="1:2" x14ac:dyDescent="0.25">
      <c r="A1428" s="63"/>
      <c r="B1428" s="63"/>
    </row>
    <row r="1429" spans="1:2" x14ac:dyDescent="0.25">
      <c r="A1429" s="63"/>
      <c r="B1429" s="63"/>
    </row>
    <row r="1430" spans="1:2" x14ac:dyDescent="0.25">
      <c r="A1430" s="63"/>
      <c r="B1430" s="63"/>
    </row>
    <row r="1431" spans="1:2" x14ac:dyDescent="0.25">
      <c r="A1431" s="63"/>
      <c r="B1431" s="63"/>
    </row>
    <row r="1432" spans="1:2" x14ac:dyDescent="0.25">
      <c r="A1432" s="63"/>
      <c r="B1432" s="63"/>
    </row>
    <row r="1433" spans="1:2" x14ac:dyDescent="0.25">
      <c r="A1433" s="63"/>
      <c r="B1433" s="63"/>
    </row>
    <row r="1434" spans="1:2" x14ac:dyDescent="0.25">
      <c r="A1434" s="63"/>
      <c r="B1434" s="63"/>
    </row>
    <row r="1435" spans="1:2" x14ac:dyDescent="0.25">
      <c r="A1435" s="63"/>
      <c r="B1435" s="63"/>
    </row>
    <row r="1436" spans="1:2" x14ac:dyDescent="0.25">
      <c r="A1436" s="63"/>
      <c r="B1436" s="63"/>
    </row>
    <row r="1437" spans="1:2" x14ac:dyDescent="0.25">
      <c r="A1437" s="63"/>
      <c r="B1437" s="63"/>
    </row>
    <row r="1438" spans="1:2" x14ac:dyDescent="0.25">
      <c r="A1438" s="63"/>
    </row>
    <row r="1439" spans="1:2" x14ac:dyDescent="0.25">
      <c r="A1439" s="63"/>
      <c r="B1439" s="63"/>
    </row>
    <row r="1440" spans="1:2" x14ac:dyDescent="0.25">
      <c r="A1440" s="63"/>
      <c r="B1440" s="63"/>
    </row>
    <row r="1441" spans="1:2" x14ac:dyDescent="0.25">
      <c r="A1441" s="63"/>
      <c r="B1441" s="63"/>
    </row>
    <row r="1442" spans="1:2" x14ac:dyDescent="0.25">
      <c r="A1442" s="63"/>
      <c r="B1442" s="63"/>
    </row>
    <row r="1443" spans="1:2" x14ac:dyDescent="0.25">
      <c r="A1443" s="63"/>
      <c r="B1443" s="63"/>
    </row>
    <row r="1444" spans="1:2" x14ac:dyDescent="0.25">
      <c r="A1444" s="63"/>
      <c r="B1444" s="63"/>
    </row>
    <row r="1445" spans="1:2" x14ac:dyDescent="0.25">
      <c r="A1445" s="63"/>
      <c r="B1445" s="63"/>
    </row>
    <row r="1446" spans="1:2" x14ac:dyDescent="0.25">
      <c r="A1446" s="63"/>
      <c r="B1446" s="63"/>
    </row>
    <row r="1447" spans="1:2" x14ac:dyDescent="0.25">
      <c r="A1447" s="63"/>
      <c r="B1447" s="63"/>
    </row>
    <row r="1448" spans="1:2" x14ac:dyDescent="0.25">
      <c r="A1448" s="63"/>
      <c r="B1448" s="63"/>
    </row>
    <row r="1449" spans="1:2" x14ac:dyDescent="0.25">
      <c r="A1449" s="63"/>
      <c r="B1449" s="63"/>
    </row>
    <row r="1450" spans="1:2" x14ac:dyDescent="0.25">
      <c r="A1450" s="63"/>
      <c r="B1450" s="63"/>
    </row>
    <row r="1451" spans="1:2" x14ac:dyDescent="0.25">
      <c r="A1451" s="63"/>
      <c r="B1451" s="63"/>
    </row>
    <row r="1452" spans="1:2" x14ac:dyDescent="0.25">
      <c r="A1452" s="63"/>
      <c r="B1452" s="63"/>
    </row>
    <row r="1453" spans="1:2" x14ac:dyDescent="0.25">
      <c r="A1453" s="63"/>
      <c r="B1453" s="63"/>
    </row>
    <row r="1454" spans="1:2" x14ac:dyDescent="0.25">
      <c r="A1454" s="63"/>
      <c r="B1454" s="63"/>
    </row>
    <row r="1455" spans="1:2" x14ac:dyDescent="0.25">
      <c r="A1455" s="63"/>
      <c r="B1455" s="63"/>
    </row>
    <row r="1456" spans="1:2" x14ac:dyDescent="0.25">
      <c r="A1456" s="63"/>
      <c r="B1456" s="63"/>
    </row>
    <row r="1457" spans="1:2" x14ac:dyDescent="0.25">
      <c r="A1457" s="63"/>
      <c r="B1457" s="63"/>
    </row>
    <row r="1458" spans="1:2" x14ac:dyDescent="0.25">
      <c r="A1458" s="63"/>
      <c r="B1458" s="63"/>
    </row>
    <row r="1459" spans="1:2" x14ac:dyDescent="0.25">
      <c r="A1459" s="63"/>
      <c r="B1459" s="63"/>
    </row>
    <row r="1460" spans="1:2" x14ac:dyDescent="0.25">
      <c r="A1460" s="63"/>
      <c r="B1460" s="63"/>
    </row>
    <row r="1461" spans="1:2" x14ac:dyDescent="0.25">
      <c r="A1461" s="63"/>
      <c r="B1461" s="63"/>
    </row>
    <row r="1462" spans="1:2" x14ac:dyDescent="0.25">
      <c r="A1462" s="63"/>
      <c r="B1462" s="63"/>
    </row>
    <row r="1463" spans="1:2" x14ac:dyDescent="0.25">
      <c r="A1463" s="63"/>
      <c r="B1463" s="63"/>
    </row>
    <row r="1464" spans="1:2" x14ac:dyDescent="0.25">
      <c r="A1464" s="63"/>
      <c r="B1464" s="63"/>
    </row>
    <row r="1465" spans="1:2" x14ac:dyDescent="0.25">
      <c r="A1465" s="63"/>
      <c r="B1465" s="63"/>
    </row>
    <row r="1466" spans="1:2" x14ac:dyDescent="0.25">
      <c r="A1466" s="63"/>
      <c r="B1466" s="63"/>
    </row>
    <row r="1467" spans="1:2" x14ac:dyDescent="0.25">
      <c r="A1467" s="63"/>
      <c r="B1467" s="63"/>
    </row>
    <row r="1468" spans="1:2" x14ac:dyDescent="0.25">
      <c r="A1468" s="63"/>
      <c r="B1468" s="63"/>
    </row>
    <row r="1469" spans="1:2" x14ac:dyDescent="0.25">
      <c r="A1469" s="63"/>
      <c r="B1469" s="63"/>
    </row>
    <row r="1470" spans="1:2" x14ac:dyDescent="0.25">
      <c r="A1470" s="63"/>
      <c r="B1470" s="63"/>
    </row>
    <row r="1471" spans="1:2" x14ac:dyDescent="0.25">
      <c r="A1471" s="63"/>
      <c r="B1471" s="63"/>
    </row>
    <row r="1472" spans="1:2" x14ac:dyDescent="0.25">
      <c r="A1472" s="63"/>
      <c r="B1472" s="63"/>
    </row>
    <row r="1473" spans="1:2" x14ac:dyDescent="0.25">
      <c r="A1473" s="63"/>
    </row>
    <row r="1474" spans="1:2" x14ac:dyDescent="0.25">
      <c r="A1474" s="63"/>
      <c r="B1474" s="63"/>
    </row>
    <row r="1475" spans="1:2" x14ac:dyDescent="0.25">
      <c r="A1475" s="63"/>
      <c r="B1475" s="63"/>
    </row>
    <row r="1476" spans="1:2" x14ac:dyDescent="0.25">
      <c r="A1476" s="63"/>
      <c r="B1476" s="63"/>
    </row>
    <row r="1477" spans="1:2" x14ac:dyDescent="0.25">
      <c r="A1477" s="63"/>
      <c r="B1477" s="63"/>
    </row>
    <row r="1478" spans="1:2" x14ac:dyDescent="0.25">
      <c r="A1478" s="63"/>
      <c r="B1478" s="63"/>
    </row>
    <row r="1479" spans="1:2" x14ac:dyDescent="0.25">
      <c r="A1479" s="63"/>
      <c r="B1479" s="63"/>
    </row>
    <row r="1480" spans="1:2" x14ac:dyDescent="0.25">
      <c r="A1480" s="63"/>
      <c r="B1480" s="63"/>
    </row>
    <row r="1481" spans="1:2" x14ac:dyDescent="0.25">
      <c r="A1481" s="63"/>
      <c r="B1481" s="63"/>
    </row>
    <row r="1482" spans="1:2" x14ac:dyDescent="0.25">
      <c r="A1482" s="63"/>
      <c r="B1482" s="63"/>
    </row>
    <row r="1483" spans="1:2" x14ac:dyDescent="0.25">
      <c r="A1483" s="63"/>
      <c r="B1483" s="63"/>
    </row>
    <row r="1484" spans="1:2" x14ac:dyDescent="0.25">
      <c r="A1484" s="63"/>
      <c r="B1484" s="63"/>
    </row>
    <row r="1485" spans="1:2" x14ac:dyDescent="0.25">
      <c r="A1485" s="63"/>
      <c r="B1485" s="63"/>
    </row>
    <row r="1486" spans="1:2" x14ac:dyDescent="0.25">
      <c r="A1486" s="63"/>
      <c r="B1486" s="63"/>
    </row>
    <row r="1487" spans="1:2" x14ac:dyDescent="0.25">
      <c r="A1487" s="63"/>
      <c r="B1487" s="63"/>
    </row>
    <row r="1488" spans="1:2" x14ac:dyDescent="0.25">
      <c r="A1488" s="63"/>
      <c r="B1488" s="63"/>
    </row>
    <row r="1489" spans="1:2" x14ac:dyDescent="0.25">
      <c r="A1489" s="63"/>
      <c r="B1489" s="63"/>
    </row>
    <row r="1490" spans="1:2" x14ac:dyDescent="0.25">
      <c r="A1490" s="63"/>
      <c r="B1490" s="63"/>
    </row>
    <row r="1491" spans="1:2" x14ac:dyDescent="0.25">
      <c r="A1491" s="63"/>
      <c r="B1491" s="63"/>
    </row>
    <row r="1492" spans="1:2" x14ac:dyDescent="0.25">
      <c r="A1492" s="63"/>
      <c r="B1492" s="63"/>
    </row>
    <row r="1493" spans="1:2" x14ac:dyDescent="0.25">
      <c r="A1493" s="63"/>
      <c r="B1493" s="63"/>
    </row>
    <row r="1494" spans="1:2" x14ac:dyDescent="0.25">
      <c r="A1494" s="63"/>
      <c r="B1494" s="63"/>
    </row>
    <row r="1495" spans="1:2" x14ac:dyDescent="0.25">
      <c r="A1495" s="63"/>
      <c r="B1495" s="63"/>
    </row>
    <row r="1496" spans="1:2" x14ac:dyDescent="0.25">
      <c r="A1496" s="63"/>
      <c r="B1496" s="63"/>
    </row>
    <row r="1497" spans="1:2" x14ac:dyDescent="0.25">
      <c r="A1497" s="63"/>
      <c r="B1497" s="63"/>
    </row>
    <row r="1498" spans="1:2" x14ac:dyDescent="0.25">
      <c r="A1498" s="63"/>
      <c r="B1498" s="63"/>
    </row>
    <row r="1499" spans="1:2" x14ac:dyDescent="0.25">
      <c r="A1499" s="63"/>
      <c r="B1499" s="63"/>
    </row>
    <row r="1500" spans="1:2" x14ac:dyDescent="0.25">
      <c r="A1500" s="63"/>
      <c r="B1500" s="63"/>
    </row>
    <row r="1501" spans="1:2" x14ac:dyDescent="0.25">
      <c r="A1501" s="63"/>
      <c r="B1501" s="63"/>
    </row>
    <row r="1502" spans="1:2" x14ac:dyDescent="0.25">
      <c r="A1502" s="63"/>
      <c r="B1502" s="63"/>
    </row>
    <row r="1503" spans="1:2" x14ac:dyDescent="0.25">
      <c r="A1503" s="63"/>
      <c r="B1503" s="63"/>
    </row>
    <row r="1504" spans="1:2" x14ac:dyDescent="0.25">
      <c r="A1504" s="63"/>
      <c r="B1504" s="63"/>
    </row>
    <row r="1505" spans="1:2" x14ac:dyDescent="0.25">
      <c r="A1505" s="63"/>
      <c r="B1505" s="63"/>
    </row>
    <row r="1506" spans="1:2" x14ac:dyDescent="0.25">
      <c r="A1506" s="63"/>
      <c r="B1506" s="63"/>
    </row>
    <row r="1507" spans="1:2" x14ac:dyDescent="0.25">
      <c r="A1507" s="63"/>
      <c r="B1507" s="63"/>
    </row>
    <row r="1508" spans="1:2" x14ac:dyDescent="0.25">
      <c r="A1508" s="63"/>
    </row>
    <row r="1509" spans="1:2" x14ac:dyDescent="0.25">
      <c r="A1509" s="63"/>
      <c r="B1509" s="63"/>
    </row>
    <row r="1510" spans="1:2" x14ac:dyDescent="0.25">
      <c r="A1510" s="63"/>
      <c r="B1510" s="63"/>
    </row>
    <row r="1511" spans="1:2" x14ac:dyDescent="0.25">
      <c r="A1511" s="63"/>
      <c r="B1511" s="63"/>
    </row>
    <row r="1512" spans="1:2" x14ac:dyDescent="0.25">
      <c r="A1512" s="63"/>
      <c r="B1512" s="63"/>
    </row>
    <row r="1513" spans="1:2" x14ac:dyDescent="0.25">
      <c r="A1513" s="63"/>
      <c r="B1513" s="63"/>
    </row>
    <row r="1514" spans="1:2" x14ac:dyDescent="0.25">
      <c r="A1514" s="63"/>
      <c r="B1514" s="63"/>
    </row>
    <row r="1515" spans="1:2" x14ac:dyDescent="0.25">
      <c r="A1515" s="63"/>
      <c r="B1515" s="63"/>
    </row>
    <row r="1516" spans="1:2" x14ac:dyDescent="0.25">
      <c r="A1516" s="63"/>
      <c r="B1516" s="63"/>
    </row>
    <row r="1517" spans="1:2" x14ac:dyDescent="0.25">
      <c r="A1517" s="63"/>
      <c r="B1517" s="63"/>
    </row>
    <row r="1518" spans="1:2" x14ac:dyDescent="0.25">
      <c r="A1518" s="63"/>
      <c r="B1518" s="63"/>
    </row>
    <row r="1519" spans="1:2" x14ac:dyDescent="0.25">
      <c r="A1519" s="63"/>
      <c r="B1519" s="63"/>
    </row>
    <row r="1520" spans="1:2" x14ac:dyDescent="0.25">
      <c r="A1520" s="63"/>
      <c r="B1520" s="63"/>
    </row>
    <row r="1521" spans="1:2" x14ac:dyDescent="0.25">
      <c r="A1521" s="63"/>
      <c r="B1521" s="63"/>
    </row>
    <row r="1522" spans="1:2" x14ac:dyDescent="0.25">
      <c r="A1522" s="63"/>
      <c r="B1522" s="63"/>
    </row>
    <row r="1523" spans="1:2" x14ac:dyDescent="0.25">
      <c r="A1523" s="63"/>
      <c r="B1523" s="63"/>
    </row>
    <row r="1524" spans="1:2" x14ac:dyDescent="0.25">
      <c r="A1524" s="63"/>
      <c r="B1524" s="63"/>
    </row>
    <row r="1525" spans="1:2" x14ac:dyDescent="0.25">
      <c r="A1525" s="63"/>
      <c r="B1525" s="63"/>
    </row>
    <row r="1526" spans="1:2" x14ac:dyDescent="0.25">
      <c r="A1526" s="63"/>
      <c r="B1526" s="63"/>
    </row>
    <row r="1527" spans="1:2" x14ac:dyDescent="0.25">
      <c r="A1527" s="63"/>
      <c r="B1527" s="63"/>
    </row>
    <row r="1528" spans="1:2" x14ac:dyDescent="0.25">
      <c r="A1528" s="63"/>
      <c r="B1528" s="63"/>
    </row>
    <row r="1529" spans="1:2" x14ac:dyDescent="0.25">
      <c r="A1529" s="63"/>
      <c r="B1529" s="63"/>
    </row>
    <row r="1530" spans="1:2" x14ac:dyDescent="0.25">
      <c r="A1530" s="63"/>
      <c r="B1530" s="63"/>
    </row>
    <row r="1531" spans="1:2" x14ac:dyDescent="0.25">
      <c r="A1531" s="63"/>
      <c r="B1531" s="63"/>
    </row>
    <row r="1532" spans="1:2" x14ac:dyDescent="0.25">
      <c r="A1532" s="63"/>
      <c r="B1532" s="63"/>
    </row>
    <row r="1533" spans="1:2" x14ac:dyDescent="0.25">
      <c r="A1533" s="63"/>
      <c r="B1533" s="63"/>
    </row>
    <row r="1534" spans="1:2" x14ac:dyDescent="0.25">
      <c r="A1534" s="63"/>
      <c r="B1534" s="63"/>
    </row>
    <row r="1535" spans="1:2" x14ac:dyDescent="0.25">
      <c r="A1535" s="63"/>
      <c r="B1535" s="63"/>
    </row>
    <row r="1536" spans="1:2" x14ac:dyDescent="0.25">
      <c r="A1536" s="63"/>
      <c r="B1536" s="63"/>
    </row>
    <row r="1537" spans="1:2" x14ac:dyDescent="0.25">
      <c r="A1537" s="63"/>
      <c r="B1537" s="63"/>
    </row>
    <row r="1538" spans="1:2" x14ac:dyDescent="0.25">
      <c r="A1538" s="63"/>
      <c r="B1538" s="63"/>
    </row>
    <row r="1539" spans="1:2" x14ac:dyDescent="0.25">
      <c r="A1539" s="63"/>
      <c r="B1539" s="63"/>
    </row>
    <row r="1540" spans="1:2" x14ac:dyDescent="0.25">
      <c r="A1540" s="63"/>
      <c r="B1540" s="63"/>
    </row>
    <row r="1541" spans="1:2" x14ac:dyDescent="0.25">
      <c r="A1541" s="63"/>
      <c r="B1541" s="63"/>
    </row>
    <row r="1542" spans="1:2" x14ac:dyDescent="0.25">
      <c r="A1542" s="63"/>
      <c r="B1542" s="63"/>
    </row>
    <row r="1543" spans="1:2" x14ac:dyDescent="0.25">
      <c r="A1543" s="63"/>
    </row>
    <row r="1544" spans="1:2" x14ac:dyDescent="0.25">
      <c r="A1544" s="63"/>
      <c r="B1544" s="63"/>
    </row>
    <row r="1545" spans="1:2" x14ac:dyDescent="0.25">
      <c r="A1545" s="63"/>
      <c r="B1545" s="63"/>
    </row>
    <row r="1546" spans="1:2" x14ac:dyDescent="0.25">
      <c r="A1546" s="63"/>
      <c r="B1546" s="63"/>
    </row>
    <row r="1547" spans="1:2" x14ac:dyDescent="0.25">
      <c r="A1547" s="63"/>
      <c r="B1547" s="63"/>
    </row>
    <row r="1548" spans="1:2" x14ac:dyDescent="0.25">
      <c r="A1548" s="63"/>
      <c r="B1548" s="63"/>
    </row>
    <row r="1549" spans="1:2" x14ac:dyDescent="0.25">
      <c r="A1549" s="63"/>
      <c r="B1549" s="63"/>
    </row>
    <row r="1550" spans="1:2" x14ac:dyDescent="0.25">
      <c r="A1550" s="63"/>
      <c r="B1550" s="63"/>
    </row>
    <row r="1551" spans="1:2" x14ac:dyDescent="0.25">
      <c r="A1551" s="63"/>
      <c r="B1551" s="63"/>
    </row>
    <row r="1552" spans="1:2" x14ac:dyDescent="0.25">
      <c r="A1552" s="63"/>
      <c r="B1552" s="63"/>
    </row>
    <row r="1553" spans="1:2" x14ac:dyDescent="0.25">
      <c r="A1553" s="63"/>
      <c r="B1553" s="63"/>
    </row>
    <row r="1554" spans="1:2" x14ac:dyDescent="0.25">
      <c r="A1554" s="63"/>
      <c r="B1554" s="63"/>
    </row>
    <row r="1555" spans="1:2" x14ac:dyDescent="0.25">
      <c r="A1555" s="63"/>
      <c r="B1555" s="63"/>
    </row>
    <row r="1556" spans="1:2" x14ac:dyDescent="0.25">
      <c r="A1556" s="63"/>
      <c r="B1556" s="63"/>
    </row>
    <row r="1557" spans="1:2" x14ac:dyDescent="0.25">
      <c r="A1557" s="63"/>
      <c r="B1557" s="63"/>
    </row>
    <row r="1558" spans="1:2" x14ac:dyDescent="0.25">
      <c r="A1558" s="63"/>
      <c r="B1558" s="63"/>
    </row>
    <row r="1559" spans="1:2" x14ac:dyDescent="0.25">
      <c r="A1559" s="63"/>
      <c r="B1559" s="63"/>
    </row>
    <row r="1560" spans="1:2" x14ac:dyDescent="0.25">
      <c r="A1560" s="63"/>
      <c r="B1560" s="63"/>
    </row>
    <row r="1561" spans="1:2" x14ac:dyDescent="0.25">
      <c r="A1561" s="63"/>
      <c r="B1561" s="63"/>
    </row>
    <row r="1562" spans="1:2" x14ac:dyDescent="0.25">
      <c r="A1562" s="63"/>
      <c r="B1562" s="63"/>
    </row>
    <row r="1563" spans="1:2" x14ac:dyDescent="0.25">
      <c r="A1563" s="63"/>
      <c r="B1563" s="63"/>
    </row>
    <row r="1564" spans="1:2" x14ac:dyDescent="0.25">
      <c r="A1564" s="63"/>
      <c r="B1564" s="63"/>
    </row>
    <row r="1565" spans="1:2" x14ac:dyDescent="0.25">
      <c r="A1565" s="63"/>
      <c r="B1565" s="63"/>
    </row>
    <row r="1566" spans="1:2" x14ac:dyDescent="0.25">
      <c r="A1566" s="63"/>
      <c r="B1566" s="63"/>
    </row>
    <row r="1567" spans="1:2" x14ac:dyDescent="0.25">
      <c r="A1567" s="63"/>
      <c r="B1567" s="63"/>
    </row>
    <row r="1568" spans="1:2" x14ac:dyDescent="0.25">
      <c r="A1568" s="63"/>
      <c r="B1568" s="63"/>
    </row>
    <row r="1569" spans="1:2" x14ac:dyDescent="0.25">
      <c r="A1569" s="63"/>
      <c r="B1569" s="63"/>
    </row>
    <row r="1570" spans="1:2" x14ac:dyDescent="0.25">
      <c r="A1570" s="63"/>
      <c r="B1570" s="63"/>
    </row>
    <row r="1571" spans="1:2" x14ac:dyDescent="0.25">
      <c r="A1571" s="63"/>
      <c r="B1571" s="63"/>
    </row>
    <row r="1572" spans="1:2" x14ac:dyDescent="0.25">
      <c r="A1572" s="63"/>
      <c r="B1572" s="63"/>
    </row>
    <row r="1573" spans="1:2" x14ac:dyDescent="0.25">
      <c r="A1573" s="63"/>
      <c r="B1573" s="63"/>
    </row>
    <row r="1574" spans="1:2" x14ac:dyDescent="0.25">
      <c r="A1574" s="63"/>
      <c r="B1574" s="63"/>
    </row>
    <row r="1575" spans="1:2" x14ac:dyDescent="0.25">
      <c r="A1575" s="63"/>
      <c r="B1575" s="63"/>
    </row>
    <row r="1576" spans="1:2" x14ac:dyDescent="0.25">
      <c r="A1576" s="63"/>
      <c r="B1576" s="63"/>
    </row>
    <row r="1577" spans="1:2" x14ac:dyDescent="0.25">
      <c r="A1577" s="63"/>
      <c r="B1577" s="63"/>
    </row>
    <row r="1578" spans="1:2" x14ac:dyDescent="0.25">
      <c r="A1578" s="63"/>
    </row>
    <row r="1579" spans="1:2" x14ac:dyDescent="0.25">
      <c r="A1579" s="63"/>
      <c r="B1579" s="63"/>
    </row>
    <row r="1580" spans="1:2" x14ac:dyDescent="0.25">
      <c r="A1580" s="63"/>
      <c r="B1580" s="63"/>
    </row>
    <row r="1581" spans="1:2" x14ac:dyDescent="0.25">
      <c r="A1581" s="63"/>
      <c r="B1581" s="63"/>
    </row>
    <row r="1582" spans="1:2" x14ac:dyDescent="0.25">
      <c r="A1582" s="63"/>
      <c r="B1582" s="63"/>
    </row>
    <row r="1583" spans="1:2" x14ac:dyDescent="0.25">
      <c r="A1583" s="63"/>
      <c r="B1583" s="63"/>
    </row>
    <row r="1584" spans="1:2" x14ac:dyDescent="0.25">
      <c r="A1584" s="63"/>
      <c r="B1584" s="63"/>
    </row>
    <row r="1585" spans="1:2" x14ac:dyDescent="0.25">
      <c r="A1585" s="63"/>
      <c r="B1585" s="63"/>
    </row>
    <row r="1586" spans="1:2" x14ac:dyDescent="0.25">
      <c r="A1586" s="63"/>
      <c r="B1586" s="63"/>
    </row>
    <row r="1587" spans="1:2" x14ac:dyDescent="0.25">
      <c r="A1587" s="63"/>
      <c r="B1587" s="63"/>
    </row>
    <row r="1588" spans="1:2" x14ac:dyDescent="0.25">
      <c r="A1588" s="63"/>
      <c r="B1588" s="63"/>
    </row>
    <row r="1589" spans="1:2" x14ac:dyDescent="0.25">
      <c r="A1589" s="63"/>
      <c r="B1589" s="63"/>
    </row>
    <row r="1590" spans="1:2" x14ac:dyDescent="0.25">
      <c r="A1590" s="63"/>
      <c r="B1590" s="63"/>
    </row>
    <row r="1591" spans="1:2" x14ac:dyDescent="0.25">
      <c r="A1591" s="63"/>
      <c r="B1591" s="63"/>
    </row>
    <row r="1592" spans="1:2" x14ac:dyDescent="0.25">
      <c r="A1592" s="63"/>
      <c r="B1592" s="63"/>
    </row>
    <row r="1593" spans="1:2" x14ac:dyDescent="0.25">
      <c r="A1593" s="63"/>
      <c r="B1593" s="63"/>
    </row>
    <row r="1594" spans="1:2" x14ac:dyDescent="0.25">
      <c r="A1594" s="63"/>
      <c r="B1594" s="63"/>
    </row>
    <row r="1595" spans="1:2" x14ac:dyDescent="0.25">
      <c r="A1595" s="63"/>
      <c r="B1595" s="63"/>
    </row>
    <row r="1596" spans="1:2" x14ac:dyDescent="0.25">
      <c r="A1596" s="63"/>
      <c r="B1596" s="63"/>
    </row>
    <row r="1597" spans="1:2" x14ac:dyDescent="0.25">
      <c r="A1597" s="63"/>
      <c r="B1597" s="63"/>
    </row>
    <row r="1598" spans="1:2" x14ac:dyDescent="0.25">
      <c r="A1598" s="63"/>
      <c r="B1598" s="63"/>
    </row>
    <row r="1599" spans="1:2" x14ac:dyDescent="0.25">
      <c r="A1599" s="63"/>
      <c r="B1599" s="63"/>
    </row>
    <row r="1600" spans="1:2" x14ac:dyDescent="0.25">
      <c r="A1600" s="63"/>
      <c r="B1600" s="63"/>
    </row>
    <row r="1601" spans="1:2" x14ac:dyDescent="0.25">
      <c r="A1601" s="63"/>
      <c r="B1601" s="63"/>
    </row>
    <row r="1602" spans="1:2" x14ac:dyDescent="0.25">
      <c r="A1602" s="63"/>
      <c r="B1602" s="63"/>
    </row>
    <row r="1603" spans="1:2" x14ac:dyDescent="0.25">
      <c r="A1603" s="63"/>
      <c r="B1603" s="63"/>
    </row>
    <row r="1604" spans="1:2" x14ac:dyDescent="0.25">
      <c r="A1604" s="63"/>
      <c r="B1604" s="63"/>
    </row>
    <row r="1605" spans="1:2" x14ac:dyDescent="0.25">
      <c r="A1605" s="63"/>
      <c r="B1605" s="63"/>
    </row>
    <row r="1606" spans="1:2" x14ac:dyDescent="0.25">
      <c r="A1606" s="63"/>
      <c r="B1606" s="63"/>
    </row>
    <row r="1607" spans="1:2" x14ac:dyDescent="0.25">
      <c r="A1607" s="63"/>
      <c r="B1607" s="63"/>
    </row>
    <row r="1608" spans="1:2" x14ac:dyDescent="0.25">
      <c r="A1608" s="63"/>
      <c r="B1608" s="63"/>
    </row>
    <row r="1609" spans="1:2" x14ac:dyDescent="0.25">
      <c r="A1609" s="63"/>
      <c r="B1609" s="63"/>
    </row>
    <row r="1610" spans="1:2" x14ac:dyDescent="0.25">
      <c r="A1610" s="63"/>
      <c r="B1610" s="63"/>
    </row>
    <row r="1611" spans="1:2" x14ac:dyDescent="0.25">
      <c r="A1611" s="63"/>
      <c r="B1611" s="63"/>
    </row>
    <row r="1612" spans="1:2" x14ac:dyDescent="0.25">
      <c r="A1612" s="63"/>
      <c r="B1612" s="63"/>
    </row>
    <row r="1613" spans="1:2" x14ac:dyDescent="0.25">
      <c r="A1613" s="63"/>
    </row>
    <row r="1614" spans="1:2" x14ac:dyDescent="0.25">
      <c r="A1614" s="63"/>
      <c r="B1614" s="63"/>
    </row>
    <row r="1615" spans="1:2" x14ac:dyDescent="0.25">
      <c r="A1615" s="63"/>
      <c r="B1615" s="63"/>
    </row>
    <row r="1616" spans="1:2" x14ac:dyDescent="0.25">
      <c r="A1616" s="63"/>
      <c r="B1616" s="63"/>
    </row>
    <row r="1617" spans="1:2" x14ac:dyDescent="0.25">
      <c r="A1617" s="63"/>
      <c r="B1617" s="63"/>
    </row>
    <row r="1618" spans="1:2" x14ac:dyDescent="0.25">
      <c r="A1618" s="63"/>
      <c r="B1618" s="63"/>
    </row>
    <row r="1619" spans="1:2" x14ac:dyDescent="0.25">
      <c r="A1619" s="63"/>
      <c r="B1619" s="63"/>
    </row>
    <row r="1620" spans="1:2" x14ac:dyDescent="0.25">
      <c r="A1620" s="63"/>
      <c r="B1620" s="63"/>
    </row>
    <row r="1621" spans="1:2" x14ac:dyDescent="0.25">
      <c r="A1621" s="63"/>
      <c r="B1621" s="63"/>
    </row>
    <row r="1622" spans="1:2" x14ac:dyDescent="0.25">
      <c r="A1622" s="63"/>
      <c r="B1622" s="63"/>
    </row>
    <row r="1623" spans="1:2" x14ac:dyDescent="0.25">
      <c r="A1623" s="63"/>
      <c r="B1623" s="63"/>
    </row>
    <row r="1624" spans="1:2" x14ac:dyDescent="0.25">
      <c r="A1624" s="63"/>
      <c r="B1624" s="63"/>
    </row>
    <row r="1625" spans="1:2" x14ac:dyDescent="0.25">
      <c r="A1625" s="63"/>
      <c r="B1625" s="63"/>
    </row>
    <row r="1626" spans="1:2" x14ac:dyDescent="0.25">
      <c r="A1626" s="63"/>
      <c r="B1626" s="63"/>
    </row>
    <row r="1627" spans="1:2" x14ac:dyDescent="0.25">
      <c r="A1627" s="63"/>
      <c r="B1627" s="63"/>
    </row>
    <row r="1628" spans="1:2" x14ac:dyDescent="0.25">
      <c r="A1628" s="63"/>
      <c r="B1628" s="63"/>
    </row>
    <row r="1629" spans="1:2" x14ac:dyDescent="0.25">
      <c r="A1629" s="63"/>
      <c r="B1629" s="63"/>
    </row>
    <row r="1630" spans="1:2" x14ac:dyDescent="0.25">
      <c r="A1630" s="63"/>
      <c r="B1630" s="63"/>
    </row>
    <row r="1631" spans="1:2" x14ac:dyDescent="0.25">
      <c r="A1631" s="63"/>
      <c r="B1631" s="63"/>
    </row>
    <row r="1632" spans="1:2" x14ac:dyDescent="0.25">
      <c r="A1632" s="63"/>
      <c r="B1632" s="63"/>
    </row>
    <row r="1633" spans="1:2" x14ac:dyDescent="0.25">
      <c r="A1633" s="63"/>
      <c r="B1633" s="63"/>
    </row>
    <row r="1634" spans="1:2" x14ac:dyDescent="0.25">
      <c r="A1634" s="63"/>
      <c r="B1634" s="63"/>
    </row>
    <row r="1635" spans="1:2" x14ac:dyDescent="0.25">
      <c r="A1635" s="63"/>
      <c r="B1635" s="63"/>
    </row>
    <row r="1636" spans="1:2" x14ac:dyDescent="0.25">
      <c r="A1636" s="63"/>
      <c r="B1636" s="63"/>
    </row>
    <row r="1637" spans="1:2" x14ac:dyDescent="0.25">
      <c r="A1637" s="63"/>
      <c r="B1637" s="63"/>
    </row>
    <row r="1638" spans="1:2" x14ac:dyDescent="0.25">
      <c r="A1638" s="63"/>
      <c r="B1638" s="63"/>
    </row>
    <row r="1639" spans="1:2" x14ac:dyDescent="0.25">
      <c r="A1639" s="63"/>
      <c r="B1639" s="63"/>
    </row>
    <row r="1640" spans="1:2" x14ac:dyDescent="0.25">
      <c r="A1640" s="63"/>
      <c r="B1640" s="63"/>
    </row>
    <row r="1641" spans="1:2" x14ac:dyDescent="0.25">
      <c r="A1641" s="63"/>
      <c r="B1641" s="63"/>
    </row>
    <row r="1642" spans="1:2" x14ac:dyDescent="0.25">
      <c r="A1642" s="63"/>
      <c r="B1642" s="63"/>
    </row>
    <row r="1643" spans="1:2" x14ac:dyDescent="0.25">
      <c r="A1643" s="63"/>
      <c r="B1643" s="63"/>
    </row>
    <row r="1644" spans="1:2" x14ac:dyDescent="0.25">
      <c r="A1644" s="63"/>
      <c r="B1644" s="63"/>
    </row>
    <row r="1645" spans="1:2" x14ac:dyDescent="0.25">
      <c r="A1645" s="63"/>
      <c r="B1645" s="63"/>
    </row>
    <row r="1646" spans="1:2" x14ac:dyDescent="0.25">
      <c r="A1646" s="63"/>
      <c r="B1646" s="63"/>
    </row>
    <row r="1647" spans="1:2" x14ac:dyDescent="0.25">
      <c r="A1647" s="63"/>
      <c r="B1647" s="63"/>
    </row>
    <row r="1648" spans="1:2" x14ac:dyDescent="0.25">
      <c r="A1648" s="63"/>
    </row>
    <row r="1649" spans="1:2" x14ac:dyDescent="0.25">
      <c r="A1649" s="63"/>
      <c r="B1649" s="63"/>
    </row>
    <row r="1650" spans="1:2" x14ac:dyDescent="0.25">
      <c r="A1650" s="63"/>
      <c r="B1650" s="63"/>
    </row>
    <row r="1651" spans="1:2" x14ac:dyDescent="0.25">
      <c r="A1651" s="63"/>
      <c r="B1651" s="63"/>
    </row>
    <row r="1652" spans="1:2" x14ac:dyDescent="0.25">
      <c r="A1652" s="63"/>
      <c r="B1652" s="63"/>
    </row>
    <row r="1653" spans="1:2" x14ac:dyDescent="0.25">
      <c r="A1653" s="63"/>
      <c r="B1653" s="63"/>
    </row>
    <row r="1654" spans="1:2" x14ac:dyDescent="0.25">
      <c r="A1654" s="63"/>
      <c r="B1654" s="63"/>
    </row>
    <row r="1655" spans="1:2" x14ac:dyDescent="0.25">
      <c r="A1655" s="63"/>
      <c r="B1655" s="63"/>
    </row>
    <row r="1656" spans="1:2" x14ac:dyDescent="0.25">
      <c r="A1656" s="63"/>
      <c r="B1656" s="63"/>
    </row>
    <row r="1657" spans="1:2" x14ac:dyDescent="0.25">
      <c r="A1657" s="63"/>
      <c r="B1657" s="63"/>
    </row>
    <row r="1658" spans="1:2" x14ac:dyDescent="0.25">
      <c r="A1658" s="63"/>
      <c r="B1658" s="63"/>
    </row>
    <row r="1659" spans="1:2" x14ac:dyDescent="0.25">
      <c r="A1659" s="63"/>
      <c r="B1659" s="63"/>
    </row>
    <row r="1660" spans="1:2" x14ac:dyDescent="0.25">
      <c r="A1660" s="63"/>
      <c r="B1660" s="63"/>
    </row>
    <row r="1661" spans="1:2" x14ac:dyDescent="0.25">
      <c r="A1661" s="63"/>
      <c r="B1661" s="63"/>
    </row>
    <row r="1662" spans="1:2" x14ac:dyDescent="0.25">
      <c r="A1662" s="63"/>
      <c r="B1662" s="63"/>
    </row>
    <row r="1663" spans="1:2" x14ac:dyDescent="0.25">
      <c r="A1663" s="63"/>
      <c r="B1663" s="63"/>
    </row>
    <row r="1664" spans="1:2" x14ac:dyDescent="0.25">
      <c r="A1664" s="63"/>
      <c r="B1664" s="63"/>
    </row>
    <row r="1665" spans="1:2" x14ac:dyDescent="0.25">
      <c r="A1665" s="63"/>
      <c r="B1665" s="63"/>
    </row>
    <row r="1666" spans="1:2" x14ac:dyDescent="0.25">
      <c r="A1666" s="63"/>
      <c r="B1666" s="63"/>
    </row>
    <row r="1667" spans="1:2" x14ac:dyDescent="0.25">
      <c r="A1667" s="63"/>
      <c r="B1667" s="63"/>
    </row>
    <row r="1668" spans="1:2" x14ac:dyDescent="0.25">
      <c r="A1668" s="63"/>
      <c r="B1668" s="63"/>
    </row>
    <row r="1669" spans="1:2" x14ac:dyDescent="0.25">
      <c r="A1669" s="63"/>
      <c r="B1669" s="63"/>
    </row>
    <row r="1670" spans="1:2" x14ac:dyDescent="0.25">
      <c r="A1670" s="63"/>
      <c r="B1670" s="63"/>
    </row>
    <row r="1671" spans="1:2" x14ac:dyDescent="0.25">
      <c r="A1671" s="63"/>
      <c r="B1671" s="63"/>
    </row>
    <row r="1672" spans="1:2" x14ac:dyDescent="0.25">
      <c r="A1672" s="63"/>
      <c r="B1672" s="63"/>
    </row>
    <row r="1673" spans="1:2" x14ac:dyDescent="0.25">
      <c r="A1673" s="63"/>
      <c r="B1673" s="63"/>
    </row>
    <row r="1674" spans="1:2" x14ac:dyDescent="0.25">
      <c r="A1674" s="63"/>
      <c r="B1674" s="63"/>
    </row>
    <row r="1675" spans="1:2" x14ac:dyDescent="0.25">
      <c r="A1675" s="63"/>
      <c r="B1675" s="63"/>
    </row>
    <row r="1676" spans="1:2" x14ac:dyDescent="0.25">
      <c r="A1676" s="63"/>
      <c r="B1676" s="63"/>
    </row>
    <row r="1677" spans="1:2" x14ac:dyDescent="0.25">
      <c r="A1677" s="63"/>
      <c r="B1677" s="63"/>
    </row>
    <row r="1678" spans="1:2" x14ac:dyDescent="0.25">
      <c r="A1678" s="63"/>
      <c r="B1678" s="63"/>
    </row>
    <row r="1679" spans="1:2" x14ac:dyDescent="0.25">
      <c r="A1679" s="63"/>
      <c r="B1679" s="63"/>
    </row>
    <row r="1680" spans="1:2" x14ac:dyDescent="0.25">
      <c r="A1680" s="63"/>
      <c r="B1680" s="63"/>
    </row>
    <row r="1681" spans="1:2" x14ac:dyDescent="0.25">
      <c r="A1681" s="63"/>
      <c r="B1681" s="63"/>
    </row>
    <row r="1682" spans="1:2" x14ac:dyDescent="0.25">
      <c r="A1682" s="63"/>
      <c r="B1682" s="63"/>
    </row>
    <row r="1683" spans="1:2" x14ac:dyDescent="0.25">
      <c r="A1683" s="63"/>
    </row>
    <row r="1684" spans="1:2" x14ac:dyDescent="0.25">
      <c r="A1684" s="63"/>
      <c r="B1684" s="63"/>
    </row>
    <row r="1685" spans="1:2" x14ac:dyDescent="0.25">
      <c r="A1685" s="63"/>
      <c r="B1685" s="63"/>
    </row>
    <row r="1686" spans="1:2" x14ac:dyDescent="0.25">
      <c r="A1686" s="63"/>
      <c r="B1686" s="63"/>
    </row>
    <row r="1687" spans="1:2" x14ac:dyDescent="0.25">
      <c r="A1687" s="63"/>
      <c r="B1687" s="63"/>
    </row>
    <row r="1688" spans="1:2" x14ac:dyDescent="0.25">
      <c r="A1688" s="63"/>
      <c r="B1688" s="63"/>
    </row>
    <row r="1689" spans="1:2" x14ac:dyDescent="0.25">
      <c r="A1689" s="63"/>
      <c r="B1689" s="63"/>
    </row>
    <row r="1690" spans="1:2" x14ac:dyDescent="0.25">
      <c r="A1690" s="63"/>
      <c r="B1690" s="63"/>
    </row>
    <row r="1691" spans="1:2" x14ac:dyDescent="0.25">
      <c r="A1691" s="63"/>
      <c r="B1691" s="63"/>
    </row>
    <row r="1692" spans="1:2" x14ac:dyDescent="0.25">
      <c r="A1692" s="63"/>
      <c r="B1692" s="63"/>
    </row>
    <row r="1693" spans="1:2" x14ac:dyDescent="0.25">
      <c r="A1693" s="63"/>
      <c r="B1693" s="63"/>
    </row>
    <row r="1694" spans="1:2" x14ac:dyDescent="0.25">
      <c r="A1694" s="63"/>
      <c r="B1694" s="63"/>
    </row>
    <row r="1695" spans="1:2" x14ac:dyDescent="0.25">
      <c r="A1695" s="63"/>
      <c r="B1695" s="63"/>
    </row>
    <row r="1696" spans="1:2" x14ac:dyDescent="0.25">
      <c r="A1696" s="63"/>
      <c r="B1696" s="63"/>
    </row>
    <row r="1697" spans="1:2" x14ac:dyDescent="0.25">
      <c r="A1697" s="63"/>
      <c r="B1697" s="63"/>
    </row>
    <row r="1698" spans="1:2" x14ac:dyDescent="0.25">
      <c r="A1698" s="63"/>
      <c r="B1698" s="63"/>
    </row>
    <row r="1699" spans="1:2" x14ac:dyDescent="0.25">
      <c r="A1699" s="63"/>
      <c r="B1699" s="63"/>
    </row>
    <row r="1700" spans="1:2" x14ac:dyDescent="0.25">
      <c r="A1700" s="63"/>
      <c r="B1700" s="63"/>
    </row>
    <row r="1701" spans="1:2" x14ac:dyDescent="0.25">
      <c r="A1701" s="63"/>
      <c r="B1701" s="63"/>
    </row>
    <row r="1702" spans="1:2" x14ac:dyDescent="0.25">
      <c r="A1702" s="63"/>
      <c r="B1702" s="63"/>
    </row>
    <row r="1703" spans="1:2" x14ac:dyDescent="0.25">
      <c r="A1703" s="63"/>
      <c r="B1703" s="63"/>
    </row>
    <row r="1704" spans="1:2" x14ac:dyDescent="0.25">
      <c r="A1704" s="63"/>
      <c r="B1704" s="63"/>
    </row>
    <row r="1705" spans="1:2" x14ac:dyDescent="0.25">
      <c r="A1705" s="63"/>
      <c r="B1705" s="63"/>
    </row>
    <row r="1706" spans="1:2" x14ac:dyDescent="0.25">
      <c r="A1706" s="63"/>
      <c r="B1706" s="63"/>
    </row>
    <row r="1707" spans="1:2" x14ac:dyDescent="0.25">
      <c r="A1707" s="63"/>
      <c r="B1707" s="63"/>
    </row>
    <row r="1708" spans="1:2" x14ac:dyDescent="0.25">
      <c r="A1708" s="63"/>
      <c r="B1708" s="63"/>
    </row>
    <row r="1709" spans="1:2" x14ac:dyDescent="0.25">
      <c r="A1709" s="63"/>
      <c r="B1709" s="63"/>
    </row>
    <row r="1710" spans="1:2" x14ac:dyDescent="0.25">
      <c r="A1710" s="63"/>
      <c r="B1710" s="63"/>
    </row>
    <row r="1711" spans="1:2" x14ac:dyDescent="0.25">
      <c r="A1711" s="63"/>
      <c r="B1711" s="63"/>
    </row>
    <row r="1712" spans="1:2" x14ac:dyDescent="0.25">
      <c r="A1712" s="63"/>
      <c r="B1712" s="63"/>
    </row>
    <row r="1713" spans="1:2" x14ac:dyDescent="0.25">
      <c r="A1713" s="63"/>
      <c r="B1713" s="63"/>
    </row>
    <row r="1714" spans="1:2" x14ac:dyDescent="0.25">
      <c r="A1714" s="63"/>
      <c r="B1714" s="63"/>
    </row>
    <row r="1715" spans="1:2" x14ac:dyDescent="0.25">
      <c r="A1715" s="63"/>
      <c r="B1715" s="63"/>
    </row>
    <row r="1716" spans="1:2" x14ac:dyDescent="0.25">
      <c r="A1716" s="63"/>
      <c r="B1716" s="63"/>
    </row>
    <row r="1717" spans="1:2" x14ac:dyDescent="0.25">
      <c r="A1717" s="63"/>
      <c r="B1717" s="63"/>
    </row>
    <row r="1718" spans="1:2" x14ac:dyDescent="0.25">
      <c r="A1718" s="63"/>
    </row>
    <row r="1719" spans="1:2" x14ac:dyDescent="0.25">
      <c r="A1719" s="63"/>
      <c r="B1719" s="63"/>
    </row>
    <row r="1720" spans="1:2" x14ac:dyDescent="0.25">
      <c r="A1720" s="63"/>
      <c r="B1720" s="63"/>
    </row>
    <row r="1721" spans="1:2" x14ac:dyDescent="0.25">
      <c r="A1721" s="63"/>
      <c r="B1721" s="63"/>
    </row>
    <row r="1722" spans="1:2" x14ac:dyDescent="0.25">
      <c r="A1722" s="63"/>
      <c r="B1722" s="63"/>
    </row>
    <row r="1723" spans="1:2" x14ac:dyDescent="0.25">
      <c r="A1723" s="63"/>
      <c r="B1723" s="63"/>
    </row>
    <row r="1724" spans="1:2" x14ac:dyDescent="0.25">
      <c r="A1724" s="63"/>
      <c r="B1724" s="63"/>
    </row>
    <row r="1725" spans="1:2" x14ac:dyDescent="0.25">
      <c r="A1725" s="63"/>
      <c r="B1725" s="63"/>
    </row>
    <row r="1726" spans="1:2" x14ac:dyDescent="0.25">
      <c r="A1726" s="63"/>
      <c r="B1726" s="63"/>
    </row>
    <row r="1727" spans="1:2" x14ac:dyDescent="0.25">
      <c r="A1727" s="63"/>
      <c r="B1727" s="63"/>
    </row>
    <row r="1728" spans="1:2" x14ac:dyDescent="0.25">
      <c r="A1728" s="63"/>
      <c r="B1728" s="63"/>
    </row>
    <row r="1729" spans="1:2" x14ac:dyDescent="0.25">
      <c r="A1729" s="63"/>
      <c r="B1729" s="63"/>
    </row>
    <row r="1730" spans="1:2" x14ac:dyDescent="0.25">
      <c r="A1730" s="63"/>
      <c r="B1730" s="63"/>
    </row>
    <row r="1731" spans="1:2" x14ac:dyDescent="0.25">
      <c r="A1731" s="63"/>
      <c r="B1731" s="63"/>
    </row>
    <row r="1732" spans="1:2" x14ac:dyDescent="0.25">
      <c r="A1732" s="63"/>
      <c r="B1732" s="63"/>
    </row>
    <row r="1733" spans="1:2" x14ac:dyDescent="0.25">
      <c r="A1733" s="63"/>
      <c r="B1733" s="63"/>
    </row>
    <row r="1734" spans="1:2" x14ac:dyDescent="0.25">
      <c r="A1734" s="63"/>
      <c r="B1734" s="63"/>
    </row>
    <row r="1735" spans="1:2" x14ac:dyDescent="0.25">
      <c r="A1735" s="63"/>
      <c r="B1735" s="63"/>
    </row>
    <row r="1736" spans="1:2" x14ac:dyDescent="0.25">
      <c r="A1736" s="63"/>
      <c r="B1736" s="63"/>
    </row>
    <row r="1737" spans="1:2" x14ac:dyDescent="0.25">
      <c r="A1737" s="63"/>
      <c r="B1737" s="63"/>
    </row>
    <row r="1738" spans="1:2" x14ac:dyDescent="0.25">
      <c r="A1738" s="63"/>
      <c r="B1738" s="63"/>
    </row>
    <row r="1739" spans="1:2" x14ac:dyDescent="0.25">
      <c r="A1739" s="63"/>
      <c r="B1739" s="63"/>
    </row>
    <row r="1740" spans="1:2" x14ac:dyDescent="0.25">
      <c r="A1740" s="63"/>
      <c r="B1740" s="63"/>
    </row>
    <row r="1741" spans="1:2" x14ac:dyDescent="0.25">
      <c r="A1741" s="63"/>
      <c r="B1741" s="63"/>
    </row>
    <row r="1742" spans="1:2" x14ac:dyDescent="0.25">
      <c r="A1742" s="63"/>
      <c r="B1742" s="63"/>
    </row>
    <row r="1743" spans="1:2" x14ac:dyDescent="0.25">
      <c r="A1743" s="63"/>
      <c r="B1743" s="63"/>
    </row>
    <row r="1744" spans="1:2" x14ac:dyDescent="0.25">
      <c r="A1744" s="63"/>
      <c r="B1744" s="63"/>
    </row>
    <row r="1745" spans="1:2" x14ac:dyDescent="0.25">
      <c r="A1745" s="63"/>
      <c r="B1745" s="63"/>
    </row>
    <row r="1746" spans="1:2" x14ac:dyDescent="0.25">
      <c r="A1746" s="63"/>
      <c r="B1746" s="63"/>
    </row>
    <row r="1747" spans="1:2" x14ac:dyDescent="0.25">
      <c r="A1747" s="63"/>
      <c r="B1747" s="63"/>
    </row>
    <row r="1748" spans="1:2" x14ac:dyDescent="0.25">
      <c r="A1748" s="63"/>
      <c r="B1748" s="63"/>
    </row>
    <row r="1749" spans="1:2" x14ac:dyDescent="0.25">
      <c r="A1749" s="63"/>
      <c r="B1749" s="63"/>
    </row>
    <row r="1750" spans="1:2" x14ac:dyDescent="0.25">
      <c r="A1750" s="63"/>
      <c r="B1750" s="63"/>
    </row>
    <row r="1751" spans="1:2" x14ac:dyDescent="0.25">
      <c r="A1751" s="63"/>
      <c r="B1751" s="63"/>
    </row>
    <row r="1752" spans="1:2" x14ac:dyDescent="0.25">
      <c r="A1752" s="63"/>
      <c r="B1752" s="63"/>
    </row>
    <row r="1753" spans="1:2" x14ac:dyDescent="0.25">
      <c r="A1753" s="63"/>
    </row>
    <row r="1754" spans="1:2" x14ac:dyDescent="0.25">
      <c r="A1754" s="63"/>
      <c r="B1754" s="63"/>
    </row>
    <row r="1755" spans="1:2" x14ac:dyDescent="0.25">
      <c r="A1755" s="63"/>
      <c r="B1755" s="63"/>
    </row>
    <row r="1756" spans="1:2" x14ac:dyDescent="0.25">
      <c r="A1756" s="63"/>
      <c r="B1756" s="63"/>
    </row>
    <row r="1757" spans="1:2" x14ac:dyDescent="0.25">
      <c r="A1757" s="63"/>
      <c r="B1757" s="63"/>
    </row>
    <row r="1758" spans="1:2" x14ac:dyDescent="0.25">
      <c r="A1758" s="63"/>
      <c r="B1758" s="63"/>
    </row>
    <row r="1759" spans="1:2" x14ac:dyDescent="0.25">
      <c r="A1759" s="63"/>
      <c r="B1759" s="63"/>
    </row>
    <row r="1760" spans="1:2" x14ac:dyDescent="0.25">
      <c r="A1760" s="63"/>
      <c r="B1760" s="63"/>
    </row>
    <row r="1761" spans="1:2" x14ac:dyDescent="0.25">
      <c r="A1761" s="63"/>
      <c r="B1761" s="63"/>
    </row>
    <row r="1762" spans="1:2" x14ac:dyDescent="0.25">
      <c r="A1762" s="63"/>
      <c r="B1762" s="63"/>
    </row>
    <row r="1763" spans="1:2" x14ac:dyDescent="0.25">
      <c r="A1763" s="63"/>
      <c r="B1763" s="63"/>
    </row>
    <row r="1764" spans="1:2" x14ac:dyDescent="0.25">
      <c r="A1764" s="63"/>
      <c r="B1764" s="63"/>
    </row>
    <row r="1765" spans="1:2" x14ac:dyDescent="0.25">
      <c r="A1765" s="63"/>
      <c r="B1765" s="63"/>
    </row>
    <row r="1766" spans="1:2" x14ac:dyDescent="0.25">
      <c r="A1766" s="63"/>
      <c r="B1766" s="63"/>
    </row>
    <row r="1767" spans="1:2" x14ac:dyDescent="0.25">
      <c r="A1767" s="63"/>
      <c r="B1767" s="63"/>
    </row>
    <row r="1768" spans="1:2" x14ac:dyDescent="0.25">
      <c r="A1768" s="63"/>
      <c r="B1768" s="63"/>
    </row>
    <row r="1769" spans="1:2" x14ac:dyDescent="0.25">
      <c r="A1769" s="63"/>
      <c r="B1769" s="63"/>
    </row>
    <row r="1770" spans="1:2" x14ac:dyDescent="0.25">
      <c r="A1770" s="63"/>
      <c r="B1770" s="63"/>
    </row>
    <row r="1771" spans="1:2" x14ac:dyDescent="0.25">
      <c r="A1771" s="63"/>
      <c r="B1771" s="63"/>
    </row>
    <row r="1772" spans="1:2" x14ac:dyDescent="0.25">
      <c r="A1772" s="63"/>
      <c r="B1772" s="63"/>
    </row>
    <row r="1773" spans="1:2" x14ac:dyDescent="0.25">
      <c r="A1773" s="63"/>
      <c r="B1773" s="63"/>
    </row>
    <row r="1774" spans="1:2" x14ac:dyDescent="0.25">
      <c r="A1774" s="63"/>
      <c r="B1774" s="63"/>
    </row>
    <row r="1775" spans="1:2" x14ac:dyDescent="0.25">
      <c r="A1775" s="63"/>
      <c r="B1775" s="63"/>
    </row>
    <row r="1776" spans="1:2" x14ac:dyDescent="0.25">
      <c r="A1776" s="63"/>
      <c r="B1776" s="63"/>
    </row>
    <row r="1777" spans="1:2" x14ac:dyDescent="0.25">
      <c r="A1777" s="63"/>
      <c r="B1777" s="63"/>
    </row>
    <row r="1778" spans="1:2" x14ac:dyDescent="0.25">
      <c r="A1778" s="63"/>
      <c r="B1778" s="63"/>
    </row>
    <row r="1779" spans="1:2" x14ac:dyDescent="0.25">
      <c r="A1779" s="63"/>
      <c r="B1779" s="63"/>
    </row>
    <row r="1780" spans="1:2" x14ac:dyDescent="0.25">
      <c r="A1780" s="63"/>
      <c r="B1780" s="63"/>
    </row>
    <row r="1781" spans="1:2" x14ac:dyDescent="0.25">
      <c r="A1781" s="63"/>
      <c r="B1781" s="63"/>
    </row>
    <row r="1782" spans="1:2" x14ac:dyDescent="0.25">
      <c r="A1782" s="63"/>
      <c r="B1782" s="63"/>
    </row>
    <row r="1783" spans="1:2" x14ac:dyDescent="0.25">
      <c r="A1783" s="63"/>
      <c r="B1783" s="63"/>
    </row>
    <row r="1784" spans="1:2" x14ac:dyDescent="0.25">
      <c r="A1784" s="63"/>
      <c r="B1784" s="63"/>
    </row>
    <row r="1785" spans="1:2" x14ac:dyDescent="0.25">
      <c r="A1785" s="63"/>
      <c r="B1785" s="63"/>
    </row>
    <row r="1786" spans="1:2" x14ac:dyDescent="0.25">
      <c r="A1786" s="63"/>
      <c r="B1786" s="63"/>
    </row>
    <row r="1787" spans="1:2" x14ac:dyDescent="0.25">
      <c r="A1787" s="63"/>
      <c r="B1787" s="63"/>
    </row>
    <row r="1788" spans="1:2" x14ac:dyDescent="0.25">
      <c r="A1788" s="63"/>
    </row>
    <row r="1789" spans="1:2" x14ac:dyDescent="0.25">
      <c r="A1789" s="63"/>
      <c r="B1789" s="63"/>
    </row>
    <row r="1790" spans="1:2" x14ac:dyDescent="0.25">
      <c r="A1790" s="63"/>
      <c r="B1790" s="63"/>
    </row>
    <row r="1791" spans="1:2" x14ac:dyDescent="0.25">
      <c r="A1791" s="63"/>
      <c r="B1791" s="63"/>
    </row>
    <row r="1792" spans="1:2" x14ac:dyDescent="0.25">
      <c r="A1792" s="63"/>
      <c r="B1792" s="63"/>
    </row>
    <row r="1793" spans="1:2" x14ac:dyDescent="0.25">
      <c r="A1793" s="63"/>
      <c r="B1793" s="63"/>
    </row>
    <row r="1794" spans="1:2" x14ac:dyDescent="0.25">
      <c r="A1794" s="63"/>
      <c r="B1794" s="63"/>
    </row>
    <row r="1795" spans="1:2" x14ac:dyDescent="0.25">
      <c r="A1795" s="63"/>
      <c r="B1795" s="63"/>
    </row>
    <row r="1796" spans="1:2" x14ac:dyDescent="0.25">
      <c r="A1796" s="63"/>
      <c r="B1796" s="63"/>
    </row>
    <row r="1797" spans="1:2" x14ac:dyDescent="0.25">
      <c r="A1797" s="63"/>
      <c r="B1797" s="63"/>
    </row>
    <row r="1798" spans="1:2" x14ac:dyDescent="0.25">
      <c r="A1798" s="63"/>
      <c r="B1798" s="63"/>
    </row>
    <row r="1799" spans="1:2" x14ac:dyDescent="0.25">
      <c r="A1799" s="63"/>
      <c r="B1799" s="63"/>
    </row>
    <row r="1800" spans="1:2" x14ac:dyDescent="0.25">
      <c r="A1800" s="63"/>
      <c r="B1800" s="63"/>
    </row>
    <row r="1801" spans="1:2" x14ac:dyDescent="0.25">
      <c r="A1801" s="63"/>
      <c r="B1801" s="63"/>
    </row>
    <row r="1802" spans="1:2" x14ac:dyDescent="0.25">
      <c r="A1802" s="63"/>
      <c r="B1802" s="63"/>
    </row>
    <row r="1803" spans="1:2" x14ac:dyDescent="0.25">
      <c r="A1803" s="63"/>
      <c r="B1803" s="63"/>
    </row>
    <row r="1804" spans="1:2" x14ac:dyDescent="0.25">
      <c r="A1804" s="63"/>
      <c r="B1804" s="63"/>
    </row>
    <row r="1805" spans="1:2" x14ac:dyDescent="0.25">
      <c r="A1805" s="63"/>
      <c r="B1805" s="63"/>
    </row>
    <row r="1806" spans="1:2" x14ac:dyDescent="0.25">
      <c r="A1806" s="63"/>
      <c r="B1806" s="63"/>
    </row>
    <row r="1807" spans="1:2" x14ac:dyDescent="0.25">
      <c r="A1807" s="63"/>
      <c r="B1807" s="63"/>
    </row>
    <row r="1808" spans="1:2" x14ac:dyDescent="0.25">
      <c r="A1808" s="63"/>
      <c r="B1808" s="63"/>
    </row>
    <row r="1809" spans="1:2" x14ac:dyDescent="0.25">
      <c r="A1809" s="63"/>
      <c r="B1809" s="63"/>
    </row>
    <row r="1810" spans="1:2" x14ac:dyDescent="0.25">
      <c r="A1810" s="63"/>
      <c r="B1810" s="63"/>
    </row>
    <row r="1811" spans="1:2" x14ac:dyDescent="0.25">
      <c r="A1811" s="63"/>
      <c r="B1811" s="63"/>
    </row>
    <row r="1812" spans="1:2" x14ac:dyDescent="0.25">
      <c r="A1812" s="63"/>
      <c r="B1812" s="63"/>
    </row>
    <row r="1813" spans="1:2" x14ac:dyDescent="0.25">
      <c r="A1813" s="63"/>
      <c r="B1813" s="63"/>
    </row>
    <row r="1814" spans="1:2" x14ac:dyDescent="0.25">
      <c r="A1814" s="63"/>
      <c r="B1814" s="63"/>
    </row>
    <row r="1815" spans="1:2" x14ac:dyDescent="0.25">
      <c r="A1815" s="63"/>
      <c r="B1815" s="63"/>
    </row>
    <row r="1816" spans="1:2" x14ac:dyDescent="0.25">
      <c r="A1816" s="63"/>
      <c r="B1816" s="63"/>
    </row>
    <row r="1817" spans="1:2" x14ac:dyDescent="0.25">
      <c r="A1817" s="63"/>
      <c r="B1817" s="63"/>
    </row>
    <row r="1818" spans="1:2" x14ac:dyDescent="0.25">
      <c r="A1818" s="63"/>
      <c r="B1818" s="63"/>
    </row>
    <row r="1819" spans="1:2" x14ac:dyDescent="0.25">
      <c r="A1819" s="63"/>
      <c r="B1819" s="63"/>
    </row>
    <row r="1820" spans="1:2" x14ac:dyDescent="0.25">
      <c r="A1820" s="63"/>
      <c r="B1820" s="63"/>
    </row>
    <row r="1821" spans="1:2" x14ac:dyDescent="0.25">
      <c r="A1821" s="63"/>
      <c r="B1821" s="63"/>
    </row>
    <row r="1822" spans="1:2" x14ac:dyDescent="0.25">
      <c r="A1822" s="63"/>
      <c r="B1822" s="63"/>
    </row>
    <row r="1823" spans="1:2" x14ac:dyDescent="0.25">
      <c r="A1823" s="63"/>
    </row>
    <row r="1824" spans="1:2" x14ac:dyDescent="0.25">
      <c r="A1824" s="63"/>
      <c r="B1824" s="63"/>
    </row>
    <row r="1825" spans="1:2" x14ac:dyDescent="0.25">
      <c r="A1825" s="63"/>
      <c r="B1825" s="63"/>
    </row>
    <row r="1826" spans="1:2" x14ac:dyDescent="0.25">
      <c r="A1826" s="63"/>
      <c r="B1826" s="63"/>
    </row>
    <row r="1827" spans="1:2" x14ac:dyDescent="0.25">
      <c r="A1827" s="63"/>
      <c r="B1827" s="63"/>
    </row>
    <row r="1828" spans="1:2" x14ac:dyDescent="0.25">
      <c r="A1828" s="63"/>
      <c r="B1828" s="63"/>
    </row>
    <row r="1829" spans="1:2" x14ac:dyDescent="0.25">
      <c r="A1829" s="63"/>
      <c r="B1829" s="63"/>
    </row>
    <row r="1830" spans="1:2" x14ac:dyDescent="0.25">
      <c r="A1830" s="63"/>
      <c r="B1830" s="63"/>
    </row>
    <row r="1831" spans="1:2" x14ac:dyDescent="0.25">
      <c r="A1831" s="63"/>
      <c r="B1831" s="63"/>
    </row>
    <row r="1832" spans="1:2" x14ac:dyDescent="0.25">
      <c r="A1832" s="63"/>
      <c r="B1832" s="63"/>
    </row>
    <row r="1833" spans="1:2" x14ac:dyDescent="0.25">
      <c r="A1833" s="63"/>
      <c r="B1833" s="63"/>
    </row>
    <row r="1834" spans="1:2" x14ac:dyDescent="0.25">
      <c r="A1834" s="63"/>
      <c r="B1834" s="63"/>
    </row>
    <row r="1835" spans="1:2" x14ac:dyDescent="0.25">
      <c r="A1835" s="63"/>
      <c r="B1835" s="63"/>
    </row>
    <row r="1836" spans="1:2" x14ac:dyDescent="0.25">
      <c r="A1836" s="63"/>
      <c r="B1836" s="63"/>
    </row>
    <row r="1837" spans="1:2" x14ac:dyDescent="0.25">
      <c r="A1837" s="63"/>
      <c r="B1837" s="63"/>
    </row>
    <row r="1838" spans="1:2" x14ac:dyDescent="0.25">
      <c r="A1838" s="63"/>
      <c r="B1838" s="63"/>
    </row>
    <row r="1839" spans="1:2" x14ac:dyDescent="0.25">
      <c r="A1839" s="63"/>
      <c r="B1839" s="63"/>
    </row>
    <row r="1840" spans="1:2" x14ac:dyDescent="0.25">
      <c r="A1840" s="63"/>
      <c r="B1840" s="63"/>
    </row>
    <row r="1841" spans="1:2" x14ac:dyDescent="0.25">
      <c r="A1841" s="63"/>
      <c r="B1841" s="63"/>
    </row>
    <row r="1842" spans="1:2" x14ac:dyDescent="0.25">
      <c r="A1842" s="63"/>
      <c r="B1842" s="63"/>
    </row>
    <row r="1843" spans="1:2" x14ac:dyDescent="0.25">
      <c r="A1843" s="63"/>
      <c r="B1843" s="63"/>
    </row>
    <row r="1844" spans="1:2" x14ac:dyDescent="0.25">
      <c r="A1844" s="63"/>
      <c r="B1844" s="63"/>
    </row>
    <row r="1845" spans="1:2" x14ac:dyDescent="0.25">
      <c r="A1845" s="63"/>
      <c r="B1845" s="63"/>
    </row>
    <row r="1846" spans="1:2" x14ac:dyDescent="0.25">
      <c r="A1846" s="63"/>
      <c r="B1846" s="63"/>
    </row>
    <row r="1847" spans="1:2" x14ac:dyDescent="0.25">
      <c r="A1847" s="63"/>
      <c r="B1847" s="63"/>
    </row>
    <row r="1848" spans="1:2" x14ac:dyDescent="0.25">
      <c r="A1848" s="63"/>
      <c r="B1848" s="63"/>
    </row>
    <row r="1849" spans="1:2" x14ac:dyDescent="0.25">
      <c r="A1849" s="63"/>
      <c r="B1849" s="63"/>
    </row>
    <row r="1850" spans="1:2" x14ac:dyDescent="0.25">
      <c r="A1850" s="63"/>
      <c r="B1850" s="63"/>
    </row>
    <row r="1851" spans="1:2" x14ac:dyDescent="0.25">
      <c r="A1851" s="63"/>
      <c r="B1851" s="63"/>
    </row>
    <row r="1852" spans="1:2" x14ac:dyDescent="0.25">
      <c r="A1852" s="63"/>
      <c r="B1852" s="63"/>
    </row>
    <row r="1853" spans="1:2" x14ac:dyDescent="0.25">
      <c r="A1853" s="63"/>
      <c r="B1853" s="63"/>
    </row>
    <row r="1854" spans="1:2" x14ac:dyDescent="0.25">
      <c r="A1854" s="63"/>
      <c r="B1854" s="63"/>
    </row>
    <row r="1855" spans="1:2" x14ac:dyDescent="0.25">
      <c r="A1855" s="63"/>
      <c r="B1855" s="63"/>
    </row>
    <row r="1856" spans="1:2" x14ac:dyDescent="0.25">
      <c r="A1856" s="63"/>
      <c r="B1856" s="63"/>
    </row>
    <row r="1857" spans="1:2" x14ac:dyDescent="0.25">
      <c r="A1857" s="63"/>
      <c r="B1857" s="63"/>
    </row>
    <row r="1858" spans="1:2" x14ac:dyDescent="0.25">
      <c r="A1858" s="63"/>
    </row>
    <row r="1859" spans="1:2" x14ac:dyDescent="0.25">
      <c r="A1859" s="63"/>
      <c r="B1859" s="63"/>
    </row>
    <row r="1860" spans="1:2" x14ac:dyDescent="0.25">
      <c r="A1860" s="63"/>
      <c r="B1860" s="63"/>
    </row>
    <row r="1861" spans="1:2" x14ac:dyDescent="0.25">
      <c r="A1861" s="63"/>
      <c r="B1861" s="63"/>
    </row>
    <row r="1862" spans="1:2" x14ac:dyDescent="0.25">
      <c r="A1862" s="63"/>
      <c r="B1862" s="63"/>
    </row>
    <row r="1863" spans="1:2" x14ac:dyDescent="0.25">
      <c r="A1863" s="63"/>
      <c r="B1863" s="63"/>
    </row>
    <row r="1864" spans="1:2" x14ac:dyDescent="0.25">
      <c r="A1864" s="63"/>
      <c r="B1864" s="63"/>
    </row>
    <row r="1865" spans="1:2" x14ac:dyDescent="0.25">
      <c r="A1865" s="63"/>
      <c r="B1865" s="63"/>
    </row>
    <row r="1866" spans="1:2" x14ac:dyDescent="0.25">
      <c r="A1866" s="63"/>
      <c r="B1866" s="63"/>
    </row>
    <row r="1867" spans="1:2" x14ac:dyDescent="0.25">
      <c r="A1867" s="63"/>
      <c r="B1867" s="63"/>
    </row>
    <row r="1868" spans="1:2" x14ac:dyDescent="0.25">
      <c r="A1868" s="63"/>
      <c r="B1868" s="63"/>
    </row>
    <row r="1869" spans="1:2" x14ac:dyDescent="0.25">
      <c r="A1869" s="63"/>
      <c r="B1869" s="63"/>
    </row>
    <row r="1870" spans="1:2" x14ac:dyDescent="0.25">
      <c r="A1870" s="63"/>
      <c r="B1870" s="63"/>
    </row>
    <row r="1871" spans="1:2" x14ac:dyDescent="0.25">
      <c r="A1871" s="63"/>
      <c r="B1871" s="63"/>
    </row>
    <row r="1872" spans="1:2" x14ac:dyDescent="0.25">
      <c r="A1872" s="63"/>
      <c r="B1872" s="63"/>
    </row>
    <row r="1873" spans="1:2" x14ac:dyDescent="0.25">
      <c r="A1873" s="63"/>
      <c r="B1873" s="63"/>
    </row>
    <row r="1874" spans="1:2" x14ac:dyDescent="0.25">
      <c r="A1874" s="63"/>
      <c r="B1874" s="63"/>
    </row>
    <row r="1875" spans="1:2" x14ac:dyDescent="0.25">
      <c r="A1875" s="63"/>
      <c r="B1875" s="63"/>
    </row>
    <row r="1876" spans="1:2" x14ac:dyDescent="0.25">
      <c r="A1876" s="63"/>
      <c r="B1876" s="63"/>
    </row>
    <row r="1877" spans="1:2" x14ac:dyDescent="0.25">
      <c r="A1877" s="63"/>
      <c r="B1877" s="63"/>
    </row>
    <row r="1878" spans="1:2" x14ac:dyDescent="0.25">
      <c r="A1878" s="63"/>
      <c r="B1878" s="63"/>
    </row>
    <row r="1879" spans="1:2" x14ac:dyDescent="0.25">
      <c r="A1879" s="63"/>
      <c r="B1879" s="63"/>
    </row>
    <row r="1880" spans="1:2" x14ac:dyDescent="0.25">
      <c r="A1880" s="63"/>
      <c r="B1880" s="63"/>
    </row>
    <row r="1881" spans="1:2" x14ac:dyDescent="0.25">
      <c r="A1881" s="63"/>
      <c r="B1881" s="63"/>
    </row>
    <row r="1882" spans="1:2" x14ac:dyDescent="0.25">
      <c r="A1882" s="63"/>
      <c r="B1882" s="63"/>
    </row>
    <row r="1883" spans="1:2" x14ac:dyDescent="0.25">
      <c r="A1883" s="63"/>
      <c r="B1883" s="63"/>
    </row>
    <row r="1884" spans="1:2" x14ac:dyDescent="0.25">
      <c r="A1884" s="63"/>
      <c r="B1884" s="63"/>
    </row>
    <row r="1885" spans="1:2" x14ac:dyDescent="0.25">
      <c r="A1885" s="63"/>
      <c r="B1885" s="63"/>
    </row>
    <row r="1886" spans="1:2" x14ac:dyDescent="0.25">
      <c r="A1886" s="63"/>
      <c r="B1886" s="63"/>
    </row>
    <row r="1887" spans="1:2" x14ac:dyDescent="0.25">
      <c r="A1887" s="63"/>
      <c r="B1887" s="63"/>
    </row>
    <row r="1888" spans="1:2" x14ac:dyDescent="0.25">
      <c r="A1888" s="63"/>
      <c r="B1888" s="63"/>
    </row>
    <row r="1889" spans="1:2" x14ac:dyDescent="0.25">
      <c r="A1889" s="63"/>
    </row>
    <row r="1890" spans="1:2" x14ac:dyDescent="0.25">
      <c r="A1890" s="63"/>
      <c r="B1890" s="63"/>
    </row>
    <row r="1891" spans="1:2" x14ac:dyDescent="0.25">
      <c r="A1891" s="63"/>
    </row>
    <row r="1892" spans="1:2" x14ac:dyDescent="0.25">
      <c r="A1892" s="63"/>
      <c r="B1892" s="63"/>
    </row>
    <row r="1893" spans="1:2" x14ac:dyDescent="0.25">
      <c r="A1893" s="63"/>
    </row>
    <row r="1894" spans="1:2" x14ac:dyDescent="0.25">
      <c r="A1894" s="63"/>
      <c r="B1894" s="63"/>
    </row>
    <row r="1895" spans="1:2" x14ac:dyDescent="0.25">
      <c r="A1895" s="63"/>
      <c r="B1895" s="63"/>
    </row>
    <row r="1896" spans="1:2" x14ac:dyDescent="0.25">
      <c r="A1896" s="63"/>
      <c r="B1896" s="63"/>
    </row>
    <row r="1897" spans="1:2" x14ac:dyDescent="0.25">
      <c r="A1897" s="63"/>
      <c r="B1897" s="63"/>
    </row>
    <row r="1898" spans="1:2" x14ac:dyDescent="0.25">
      <c r="A1898" s="63"/>
      <c r="B1898" s="63"/>
    </row>
    <row r="1899" spans="1:2" x14ac:dyDescent="0.25">
      <c r="A1899" s="63"/>
      <c r="B1899" s="63"/>
    </row>
    <row r="1900" spans="1:2" x14ac:dyDescent="0.25">
      <c r="A1900" s="63"/>
      <c r="B1900" s="63"/>
    </row>
    <row r="1901" spans="1:2" x14ac:dyDescent="0.25">
      <c r="A1901" s="63"/>
      <c r="B1901" s="63"/>
    </row>
    <row r="1902" spans="1:2" x14ac:dyDescent="0.25">
      <c r="A1902" s="63"/>
      <c r="B1902" s="63"/>
    </row>
    <row r="1903" spans="1:2" x14ac:dyDescent="0.25">
      <c r="A1903" s="63"/>
      <c r="B1903" s="63"/>
    </row>
    <row r="1904" spans="1:2" x14ac:dyDescent="0.25">
      <c r="A1904" s="63"/>
      <c r="B1904" s="63"/>
    </row>
    <row r="1905" spans="1:2" x14ac:dyDescent="0.25">
      <c r="A1905" s="63"/>
      <c r="B1905" s="63"/>
    </row>
    <row r="1906" spans="1:2" x14ac:dyDescent="0.25">
      <c r="A1906" s="63"/>
      <c r="B1906" s="63"/>
    </row>
    <row r="1907" spans="1:2" x14ac:dyDescent="0.25">
      <c r="A1907" s="63"/>
      <c r="B1907" s="63"/>
    </row>
    <row r="1908" spans="1:2" x14ac:dyDescent="0.25">
      <c r="A1908" s="63"/>
      <c r="B1908" s="63"/>
    </row>
    <row r="1909" spans="1:2" x14ac:dyDescent="0.25">
      <c r="A1909" s="63"/>
      <c r="B1909" s="63"/>
    </row>
    <row r="1910" spans="1:2" x14ac:dyDescent="0.25">
      <c r="A1910" s="63"/>
      <c r="B1910" s="63"/>
    </row>
    <row r="1911" spans="1:2" x14ac:dyDescent="0.25">
      <c r="A1911" s="63"/>
      <c r="B1911" s="63"/>
    </row>
    <row r="1912" spans="1:2" x14ac:dyDescent="0.25">
      <c r="A1912" s="63"/>
      <c r="B1912" s="63"/>
    </row>
    <row r="1913" spans="1:2" x14ac:dyDescent="0.25">
      <c r="A1913" s="63"/>
      <c r="B1913" s="63"/>
    </row>
    <row r="1914" spans="1:2" x14ac:dyDescent="0.25">
      <c r="A1914" s="63"/>
      <c r="B1914" s="63"/>
    </row>
    <row r="1915" spans="1:2" x14ac:dyDescent="0.25">
      <c r="A1915" s="63"/>
      <c r="B1915" s="63"/>
    </row>
    <row r="1916" spans="1:2" x14ac:dyDescent="0.25">
      <c r="A1916" s="63"/>
      <c r="B1916" s="63"/>
    </row>
    <row r="1917" spans="1:2" x14ac:dyDescent="0.25">
      <c r="A1917" s="63"/>
      <c r="B1917" s="63"/>
    </row>
    <row r="1918" spans="1:2" x14ac:dyDescent="0.25">
      <c r="A1918" s="63"/>
      <c r="B1918" s="63"/>
    </row>
    <row r="1919" spans="1:2" x14ac:dyDescent="0.25">
      <c r="A1919" s="63"/>
      <c r="B1919" s="63"/>
    </row>
    <row r="1920" spans="1:2" x14ac:dyDescent="0.25">
      <c r="A1920" s="63"/>
      <c r="B1920" s="63"/>
    </row>
    <row r="1921" spans="1:2" x14ac:dyDescent="0.25">
      <c r="A1921" s="63"/>
      <c r="B1921" s="63"/>
    </row>
    <row r="1922" spans="1:2" x14ac:dyDescent="0.25">
      <c r="A1922" s="63"/>
      <c r="B1922" s="63"/>
    </row>
    <row r="1923" spans="1:2" x14ac:dyDescent="0.25">
      <c r="A1923" s="63"/>
      <c r="B1923" s="63"/>
    </row>
    <row r="1924" spans="1:2" x14ac:dyDescent="0.25">
      <c r="A1924" s="63"/>
      <c r="B1924" s="63"/>
    </row>
    <row r="1925" spans="1:2" x14ac:dyDescent="0.25">
      <c r="A1925" s="63"/>
      <c r="B1925" s="63"/>
    </row>
    <row r="1926" spans="1:2" x14ac:dyDescent="0.25">
      <c r="A1926" s="63"/>
      <c r="B1926" s="63"/>
    </row>
    <row r="1927" spans="1:2" x14ac:dyDescent="0.25">
      <c r="A1927" s="63"/>
      <c r="B1927" s="63"/>
    </row>
    <row r="1928" spans="1:2" x14ac:dyDescent="0.25">
      <c r="A1928" s="63"/>
    </row>
    <row r="1929" spans="1:2" x14ac:dyDescent="0.25">
      <c r="A1929" s="63"/>
      <c r="B1929" s="63"/>
    </row>
    <row r="1930" spans="1:2" x14ac:dyDescent="0.25">
      <c r="A1930" s="63"/>
      <c r="B1930" s="63"/>
    </row>
    <row r="1931" spans="1:2" x14ac:dyDescent="0.25">
      <c r="A1931" s="63"/>
      <c r="B1931" s="63"/>
    </row>
    <row r="1932" spans="1:2" x14ac:dyDescent="0.25">
      <c r="A1932" s="63"/>
      <c r="B1932" s="63"/>
    </row>
    <row r="1933" spans="1:2" x14ac:dyDescent="0.25">
      <c r="A1933" s="63"/>
      <c r="B1933" s="63"/>
    </row>
    <row r="1934" spans="1:2" x14ac:dyDescent="0.25">
      <c r="A1934" s="63"/>
      <c r="B1934" s="63"/>
    </row>
    <row r="1935" spans="1:2" x14ac:dyDescent="0.25">
      <c r="A1935" s="63"/>
      <c r="B1935" s="63"/>
    </row>
    <row r="1936" spans="1:2" x14ac:dyDescent="0.25">
      <c r="A1936" s="63"/>
      <c r="B1936" s="63"/>
    </row>
    <row r="1937" spans="1:2" x14ac:dyDescent="0.25">
      <c r="A1937" s="63"/>
      <c r="B1937" s="63"/>
    </row>
    <row r="1938" spans="1:2" x14ac:dyDescent="0.25">
      <c r="A1938" s="63"/>
      <c r="B1938" s="63"/>
    </row>
    <row r="1939" spans="1:2" x14ac:dyDescent="0.25">
      <c r="A1939" s="63"/>
      <c r="B1939" s="63"/>
    </row>
    <row r="1940" spans="1:2" x14ac:dyDescent="0.25">
      <c r="A1940" s="63"/>
      <c r="B1940" s="63"/>
    </row>
    <row r="1941" spans="1:2" x14ac:dyDescent="0.25">
      <c r="A1941" s="63"/>
      <c r="B1941" s="63"/>
    </row>
    <row r="1942" spans="1:2" x14ac:dyDescent="0.25">
      <c r="A1942" s="63"/>
      <c r="B1942" s="63"/>
    </row>
    <row r="1943" spans="1:2" x14ac:dyDescent="0.25">
      <c r="A1943" s="63"/>
      <c r="B1943" s="63"/>
    </row>
    <row r="1944" spans="1:2" x14ac:dyDescent="0.25">
      <c r="A1944" s="63"/>
      <c r="B1944" s="63"/>
    </row>
    <row r="1945" spans="1:2" x14ac:dyDescent="0.25">
      <c r="A1945" s="63"/>
      <c r="B1945" s="63"/>
    </row>
    <row r="1946" spans="1:2" x14ac:dyDescent="0.25">
      <c r="A1946" s="63"/>
      <c r="B1946" s="63"/>
    </row>
    <row r="1947" spans="1:2" x14ac:dyDescent="0.25">
      <c r="A1947" s="63"/>
      <c r="B1947" s="63"/>
    </row>
    <row r="1948" spans="1:2" x14ac:dyDescent="0.25">
      <c r="A1948" s="63"/>
      <c r="B1948" s="63"/>
    </row>
    <row r="1949" spans="1:2" x14ac:dyDescent="0.25">
      <c r="A1949" s="63"/>
      <c r="B1949" s="63"/>
    </row>
    <row r="1950" spans="1:2" x14ac:dyDescent="0.25">
      <c r="A1950" s="63"/>
      <c r="B1950" s="63"/>
    </row>
    <row r="1951" spans="1:2" x14ac:dyDescent="0.25">
      <c r="A1951" s="63"/>
      <c r="B1951" s="63"/>
    </row>
    <row r="1952" spans="1:2" x14ac:dyDescent="0.25">
      <c r="A1952" s="63"/>
      <c r="B1952" s="63"/>
    </row>
    <row r="1953" spans="1:2" x14ac:dyDescent="0.25">
      <c r="A1953" s="63"/>
      <c r="B1953" s="63"/>
    </row>
    <row r="1954" spans="1:2" x14ac:dyDescent="0.25">
      <c r="A1954" s="63"/>
      <c r="B1954" s="63"/>
    </row>
    <row r="1955" spans="1:2" x14ac:dyDescent="0.25">
      <c r="A1955" s="63"/>
      <c r="B1955" s="63"/>
    </row>
    <row r="1956" spans="1:2" x14ac:dyDescent="0.25">
      <c r="A1956" s="63"/>
      <c r="B1956" s="63"/>
    </row>
    <row r="1957" spans="1:2" x14ac:dyDescent="0.25">
      <c r="A1957" s="63"/>
      <c r="B1957" s="63"/>
    </row>
    <row r="1958" spans="1:2" x14ac:dyDescent="0.25">
      <c r="A1958" s="63"/>
      <c r="B1958" s="63"/>
    </row>
    <row r="1959" spans="1:2" x14ac:dyDescent="0.25">
      <c r="A1959" s="63"/>
      <c r="B1959" s="63"/>
    </row>
    <row r="1960" spans="1:2" x14ac:dyDescent="0.25">
      <c r="A1960" s="63"/>
      <c r="B1960" s="63"/>
    </row>
    <row r="1961" spans="1:2" x14ac:dyDescent="0.25">
      <c r="A1961" s="63"/>
      <c r="B1961" s="63"/>
    </row>
    <row r="1962" spans="1:2" x14ac:dyDescent="0.25">
      <c r="A1962" s="63"/>
      <c r="B1962" s="63"/>
    </row>
    <row r="1963" spans="1:2" x14ac:dyDescent="0.25">
      <c r="A1963" s="63"/>
    </row>
    <row r="1964" spans="1:2" x14ac:dyDescent="0.25">
      <c r="A1964" s="63"/>
      <c r="B1964" s="63"/>
    </row>
    <row r="1965" spans="1:2" x14ac:dyDescent="0.25">
      <c r="A1965" s="63"/>
      <c r="B1965" s="63"/>
    </row>
    <row r="1966" spans="1:2" x14ac:dyDescent="0.25">
      <c r="A1966" s="63"/>
      <c r="B1966" s="63"/>
    </row>
    <row r="1967" spans="1:2" x14ac:dyDescent="0.25">
      <c r="A1967" s="63"/>
      <c r="B1967" s="63"/>
    </row>
    <row r="1968" spans="1:2" x14ac:dyDescent="0.25">
      <c r="A1968" s="63"/>
      <c r="B1968" s="63"/>
    </row>
    <row r="1969" spans="1:2" x14ac:dyDescent="0.25">
      <c r="A1969" s="63"/>
      <c r="B1969" s="63"/>
    </row>
    <row r="1970" spans="1:2" x14ac:dyDescent="0.25">
      <c r="A1970" s="63"/>
      <c r="B1970" s="63"/>
    </row>
    <row r="1971" spans="1:2" x14ac:dyDescent="0.25">
      <c r="A1971" s="63"/>
      <c r="B1971" s="63"/>
    </row>
    <row r="1972" spans="1:2" x14ac:dyDescent="0.25">
      <c r="A1972" s="63"/>
      <c r="B1972" s="63"/>
    </row>
    <row r="1973" spans="1:2" x14ac:dyDescent="0.25">
      <c r="A1973" s="63"/>
      <c r="B1973" s="63"/>
    </row>
    <row r="1974" spans="1:2" x14ac:dyDescent="0.25">
      <c r="A1974" s="63"/>
      <c r="B1974" s="63"/>
    </row>
    <row r="1975" spans="1:2" x14ac:dyDescent="0.25">
      <c r="A1975" s="63"/>
      <c r="B1975" s="63"/>
    </row>
    <row r="1976" spans="1:2" x14ac:dyDescent="0.25">
      <c r="A1976" s="63"/>
      <c r="B1976" s="63"/>
    </row>
    <row r="1977" spans="1:2" x14ac:dyDescent="0.25">
      <c r="A1977" s="63"/>
      <c r="B1977" s="63"/>
    </row>
    <row r="1978" spans="1:2" x14ac:dyDescent="0.25">
      <c r="A1978" s="63"/>
      <c r="B1978" s="63"/>
    </row>
    <row r="1979" spans="1:2" x14ac:dyDescent="0.25">
      <c r="A1979" s="63"/>
      <c r="B1979" s="63"/>
    </row>
    <row r="1980" spans="1:2" x14ac:dyDescent="0.25">
      <c r="A1980" s="63"/>
      <c r="B1980" s="63"/>
    </row>
    <row r="1981" spans="1:2" x14ac:dyDescent="0.25">
      <c r="A1981" s="63"/>
      <c r="B1981" s="63"/>
    </row>
    <row r="1982" spans="1:2" x14ac:dyDescent="0.25">
      <c r="A1982" s="63"/>
      <c r="B1982" s="63"/>
    </row>
    <row r="1983" spans="1:2" x14ac:dyDescent="0.25">
      <c r="A1983" s="63"/>
      <c r="B1983" s="63"/>
    </row>
    <row r="1984" spans="1:2" x14ac:dyDescent="0.25">
      <c r="A1984" s="63"/>
      <c r="B1984" s="63"/>
    </row>
    <row r="1985" spans="1:2" x14ac:dyDescent="0.25">
      <c r="A1985" s="63"/>
      <c r="B1985" s="63"/>
    </row>
    <row r="1986" spans="1:2" x14ac:dyDescent="0.25">
      <c r="A1986" s="63"/>
      <c r="B1986" s="63"/>
    </row>
    <row r="1987" spans="1:2" x14ac:dyDescent="0.25">
      <c r="A1987" s="63"/>
      <c r="B1987" s="63"/>
    </row>
    <row r="1988" spans="1:2" x14ac:dyDescent="0.25">
      <c r="A1988" s="63"/>
      <c r="B1988" s="63"/>
    </row>
    <row r="1989" spans="1:2" x14ac:dyDescent="0.25">
      <c r="A1989" s="63"/>
      <c r="B1989" s="63"/>
    </row>
    <row r="1990" spans="1:2" x14ac:dyDescent="0.25">
      <c r="A1990" s="63"/>
      <c r="B1990" s="63"/>
    </row>
    <row r="1991" spans="1:2" x14ac:dyDescent="0.25">
      <c r="A1991" s="63"/>
      <c r="B1991" s="63"/>
    </row>
    <row r="1992" spans="1:2" x14ac:dyDescent="0.25">
      <c r="A1992" s="63"/>
      <c r="B1992" s="63"/>
    </row>
    <row r="1993" spans="1:2" x14ac:dyDescent="0.25">
      <c r="A1993" s="63"/>
      <c r="B1993" s="63"/>
    </row>
    <row r="1994" spans="1:2" x14ac:dyDescent="0.25">
      <c r="A1994" s="63"/>
      <c r="B1994" s="63"/>
    </row>
    <row r="1995" spans="1:2" x14ac:dyDescent="0.25">
      <c r="A1995" s="63"/>
      <c r="B1995" s="63"/>
    </row>
    <row r="1996" spans="1:2" x14ac:dyDescent="0.25">
      <c r="A1996" s="63"/>
      <c r="B1996" s="63"/>
    </row>
    <row r="1997" spans="1:2" x14ac:dyDescent="0.25">
      <c r="A1997" s="63"/>
      <c r="B1997" s="63"/>
    </row>
    <row r="1998" spans="1:2" x14ac:dyDescent="0.25">
      <c r="A1998" s="63"/>
    </row>
    <row r="1999" spans="1:2" x14ac:dyDescent="0.25">
      <c r="A1999" s="63"/>
      <c r="B1999" s="63"/>
    </row>
    <row r="2000" spans="1:2" x14ac:dyDescent="0.25">
      <c r="A2000" s="63"/>
      <c r="B2000" s="63"/>
    </row>
    <row r="2001" spans="1:2" x14ac:dyDescent="0.25">
      <c r="A2001" s="63"/>
      <c r="B2001" s="63"/>
    </row>
    <row r="2002" spans="1:2" x14ac:dyDescent="0.25">
      <c r="A2002" s="63"/>
      <c r="B2002" s="63"/>
    </row>
    <row r="2003" spans="1:2" x14ac:dyDescent="0.25">
      <c r="A2003" s="63"/>
      <c r="B2003" s="63"/>
    </row>
    <row r="2004" spans="1:2" x14ac:dyDescent="0.25">
      <c r="A2004" s="63"/>
      <c r="B2004" s="63"/>
    </row>
    <row r="2005" spans="1:2" x14ac:dyDescent="0.25">
      <c r="A2005" s="63"/>
      <c r="B2005" s="63"/>
    </row>
    <row r="2006" spans="1:2" x14ac:dyDescent="0.25">
      <c r="A2006" s="63"/>
      <c r="B2006" s="63"/>
    </row>
    <row r="2007" spans="1:2" x14ac:dyDescent="0.25">
      <c r="A2007" s="63"/>
      <c r="B2007" s="63"/>
    </row>
    <row r="2008" spans="1:2" x14ac:dyDescent="0.25">
      <c r="A2008" s="63"/>
      <c r="B2008" s="63"/>
    </row>
    <row r="2009" spans="1:2" x14ac:dyDescent="0.25">
      <c r="A2009" s="63"/>
      <c r="B2009" s="63"/>
    </row>
    <row r="2010" spans="1:2" x14ac:dyDescent="0.25">
      <c r="A2010" s="63"/>
      <c r="B2010" s="63"/>
    </row>
    <row r="2011" spans="1:2" x14ac:dyDescent="0.25">
      <c r="A2011" s="63"/>
      <c r="B2011" s="63"/>
    </row>
    <row r="2012" spans="1:2" x14ac:dyDescent="0.25">
      <c r="A2012" s="63"/>
      <c r="B2012" s="63"/>
    </row>
    <row r="2013" spans="1:2" x14ac:dyDescent="0.25">
      <c r="A2013" s="63"/>
      <c r="B2013" s="63"/>
    </row>
    <row r="2014" spans="1:2" x14ac:dyDescent="0.25">
      <c r="A2014" s="63"/>
      <c r="B2014" s="63"/>
    </row>
    <row r="2015" spans="1:2" x14ac:dyDescent="0.25">
      <c r="A2015" s="63"/>
      <c r="B2015" s="63"/>
    </row>
    <row r="2016" spans="1:2" x14ac:dyDescent="0.25">
      <c r="A2016" s="63"/>
      <c r="B2016" s="63"/>
    </row>
    <row r="2017" spans="1:2" x14ac:dyDescent="0.25">
      <c r="A2017" s="63"/>
      <c r="B2017" s="63"/>
    </row>
    <row r="2018" spans="1:2" x14ac:dyDescent="0.25">
      <c r="A2018" s="63"/>
      <c r="B2018" s="63"/>
    </row>
    <row r="2019" spans="1:2" x14ac:dyDescent="0.25">
      <c r="A2019" s="63"/>
      <c r="B2019" s="63"/>
    </row>
    <row r="2020" spans="1:2" x14ac:dyDescent="0.25">
      <c r="A2020" s="63"/>
      <c r="B2020" s="63"/>
    </row>
    <row r="2021" spans="1:2" x14ac:dyDescent="0.25">
      <c r="A2021" s="63"/>
      <c r="B2021" s="63"/>
    </row>
    <row r="2022" spans="1:2" x14ac:dyDescent="0.25">
      <c r="A2022" s="63"/>
      <c r="B2022" s="63"/>
    </row>
    <row r="2023" spans="1:2" x14ac:dyDescent="0.25">
      <c r="A2023" s="63"/>
      <c r="B2023" s="63"/>
    </row>
    <row r="2024" spans="1:2" x14ac:dyDescent="0.25">
      <c r="A2024" s="63"/>
      <c r="B2024" s="63"/>
    </row>
    <row r="2025" spans="1:2" x14ac:dyDescent="0.25">
      <c r="A2025" s="63"/>
      <c r="B2025" s="63"/>
    </row>
    <row r="2026" spans="1:2" x14ac:dyDescent="0.25">
      <c r="A2026" s="63"/>
      <c r="B2026" s="63"/>
    </row>
    <row r="2027" spans="1:2" x14ac:dyDescent="0.25">
      <c r="A2027" s="63"/>
      <c r="B2027" s="63"/>
    </row>
    <row r="2028" spans="1:2" x14ac:dyDescent="0.25">
      <c r="A2028" s="63"/>
      <c r="B2028" s="63"/>
    </row>
    <row r="2029" spans="1:2" x14ac:dyDescent="0.25">
      <c r="A2029" s="63"/>
      <c r="B2029" s="63"/>
    </row>
    <row r="2030" spans="1:2" x14ac:dyDescent="0.25">
      <c r="A2030" s="63"/>
      <c r="B2030" s="63"/>
    </row>
    <row r="2031" spans="1:2" x14ac:dyDescent="0.25">
      <c r="A2031" s="63"/>
      <c r="B2031" s="63"/>
    </row>
    <row r="2032" spans="1:2" x14ac:dyDescent="0.25">
      <c r="A2032" s="63"/>
      <c r="B2032" s="63"/>
    </row>
    <row r="2033" spans="1:2" x14ac:dyDescent="0.25">
      <c r="A2033" s="63"/>
      <c r="B2033" s="63"/>
    </row>
    <row r="2034" spans="1:2" x14ac:dyDescent="0.25">
      <c r="A2034" s="63"/>
      <c r="B2034" s="63"/>
    </row>
    <row r="2035" spans="1:2" x14ac:dyDescent="0.25">
      <c r="A2035" s="63"/>
      <c r="B2035" s="63"/>
    </row>
    <row r="2036" spans="1:2" x14ac:dyDescent="0.25">
      <c r="A2036" s="63"/>
      <c r="B2036" s="63"/>
    </row>
    <row r="2037" spans="1:2" x14ac:dyDescent="0.25">
      <c r="A2037" s="63"/>
      <c r="B2037" s="63"/>
    </row>
    <row r="2038" spans="1:2" x14ac:dyDescent="0.25">
      <c r="A2038" s="63"/>
      <c r="B2038" s="63"/>
    </row>
    <row r="2039" spans="1:2" x14ac:dyDescent="0.25">
      <c r="A2039" s="63"/>
      <c r="B2039" s="63"/>
    </row>
    <row r="2040" spans="1:2" x14ac:dyDescent="0.25">
      <c r="A2040" s="63"/>
      <c r="B2040" s="63"/>
    </row>
    <row r="2041" spans="1:2" x14ac:dyDescent="0.25">
      <c r="A2041" s="63"/>
      <c r="B2041" s="63"/>
    </row>
    <row r="2042" spans="1:2" x14ac:dyDescent="0.25">
      <c r="A2042" s="63"/>
      <c r="B2042" s="63"/>
    </row>
    <row r="2043" spans="1:2" x14ac:dyDescent="0.25">
      <c r="A2043" s="63"/>
      <c r="B2043" s="63"/>
    </row>
    <row r="2044" spans="1:2" x14ac:dyDescent="0.25">
      <c r="A2044" s="63"/>
      <c r="B2044" s="63"/>
    </row>
    <row r="2045" spans="1:2" x14ac:dyDescent="0.25">
      <c r="A2045" s="63"/>
      <c r="B2045" s="63"/>
    </row>
    <row r="2046" spans="1:2" x14ac:dyDescent="0.25">
      <c r="A2046" s="63"/>
      <c r="B2046" s="63"/>
    </row>
    <row r="2047" spans="1:2" x14ac:dyDescent="0.25">
      <c r="A2047" s="63"/>
      <c r="B2047" s="63"/>
    </row>
    <row r="2048" spans="1:2" x14ac:dyDescent="0.25">
      <c r="A2048" s="63"/>
      <c r="B2048" s="63"/>
    </row>
    <row r="2049" spans="1:2" x14ac:dyDescent="0.25">
      <c r="A2049" s="63"/>
      <c r="B2049" s="63"/>
    </row>
    <row r="2050" spans="1:2" x14ac:dyDescent="0.25">
      <c r="A2050" s="63"/>
      <c r="B2050" s="63"/>
    </row>
    <row r="2051" spans="1:2" x14ac:dyDescent="0.25">
      <c r="A2051" s="63"/>
      <c r="B2051" s="63"/>
    </row>
    <row r="2052" spans="1:2" x14ac:dyDescent="0.25">
      <c r="A2052" s="63"/>
      <c r="B2052" s="63"/>
    </row>
    <row r="2053" spans="1:2" x14ac:dyDescent="0.25">
      <c r="A2053" s="63"/>
      <c r="B2053" s="63"/>
    </row>
    <row r="2054" spans="1:2" x14ac:dyDescent="0.25">
      <c r="A2054" s="63"/>
      <c r="B2054" s="63"/>
    </row>
    <row r="2055" spans="1:2" x14ac:dyDescent="0.25">
      <c r="A2055" s="63"/>
      <c r="B2055" s="63"/>
    </row>
    <row r="2056" spans="1:2" x14ac:dyDescent="0.25">
      <c r="A2056" s="63"/>
      <c r="B2056" s="63"/>
    </row>
    <row r="2057" spans="1:2" x14ac:dyDescent="0.25">
      <c r="A2057" s="63"/>
      <c r="B2057" s="63"/>
    </row>
    <row r="2058" spans="1:2" x14ac:dyDescent="0.25">
      <c r="A2058" s="63"/>
      <c r="B2058" s="63"/>
    </row>
    <row r="2059" spans="1:2" x14ac:dyDescent="0.25">
      <c r="A2059" s="63"/>
      <c r="B2059" s="63"/>
    </row>
    <row r="2060" spans="1:2" x14ac:dyDescent="0.25">
      <c r="A2060" s="63"/>
      <c r="B2060" s="63"/>
    </row>
    <row r="2061" spans="1:2" x14ac:dyDescent="0.25">
      <c r="A2061" s="63"/>
      <c r="B2061" s="63"/>
    </row>
    <row r="2062" spans="1:2" x14ac:dyDescent="0.25">
      <c r="A2062" s="63"/>
      <c r="B2062" s="63"/>
    </row>
    <row r="2063" spans="1:2" x14ac:dyDescent="0.25">
      <c r="A2063" s="63"/>
      <c r="B2063" s="63"/>
    </row>
    <row r="2064" spans="1:2" x14ac:dyDescent="0.25">
      <c r="A2064" s="63"/>
      <c r="B2064" s="63"/>
    </row>
    <row r="2065" spans="1:2" x14ac:dyDescent="0.25">
      <c r="A2065" s="63"/>
      <c r="B2065" s="63"/>
    </row>
    <row r="2066" spans="1:2" x14ac:dyDescent="0.25">
      <c r="A2066" s="63"/>
      <c r="B2066" s="63"/>
    </row>
    <row r="2067" spans="1:2" x14ac:dyDescent="0.25">
      <c r="A2067" s="63"/>
      <c r="B2067" s="63"/>
    </row>
    <row r="2068" spans="1:2" x14ac:dyDescent="0.25">
      <c r="A2068" s="63"/>
      <c r="B2068" s="63"/>
    </row>
    <row r="2069" spans="1:2" x14ac:dyDescent="0.25">
      <c r="A2069" s="63"/>
      <c r="B2069" s="63"/>
    </row>
    <row r="2070" spans="1:2" x14ac:dyDescent="0.25">
      <c r="A2070" s="63"/>
      <c r="B2070" s="63"/>
    </row>
    <row r="2071" spans="1:2" x14ac:dyDescent="0.25">
      <c r="A2071" s="63"/>
      <c r="B2071" s="63"/>
    </row>
    <row r="2072" spans="1:2" x14ac:dyDescent="0.25">
      <c r="A2072" s="63"/>
      <c r="B2072" s="63"/>
    </row>
    <row r="2073" spans="1:2" x14ac:dyDescent="0.25">
      <c r="A2073" s="63"/>
      <c r="B2073" s="63"/>
    </row>
    <row r="2074" spans="1:2" x14ac:dyDescent="0.25">
      <c r="A2074" s="63"/>
      <c r="B2074" s="63"/>
    </row>
    <row r="2075" spans="1:2" x14ac:dyDescent="0.25">
      <c r="A2075" s="63"/>
      <c r="B2075" s="63"/>
    </row>
    <row r="2076" spans="1:2" x14ac:dyDescent="0.25">
      <c r="A2076" s="63"/>
      <c r="B2076" s="63"/>
    </row>
    <row r="2077" spans="1:2" x14ac:dyDescent="0.25">
      <c r="A2077" s="63"/>
      <c r="B2077" s="63"/>
    </row>
    <row r="2078" spans="1:2" x14ac:dyDescent="0.25">
      <c r="A2078" s="63"/>
      <c r="B2078" s="63"/>
    </row>
    <row r="2079" spans="1:2" x14ac:dyDescent="0.25">
      <c r="A2079" s="63"/>
      <c r="B2079" s="63"/>
    </row>
    <row r="2080" spans="1:2" x14ac:dyDescent="0.25">
      <c r="A2080" s="63"/>
      <c r="B2080" s="63"/>
    </row>
    <row r="2081" spans="1:2" x14ac:dyDescent="0.25">
      <c r="A2081" s="63"/>
      <c r="B2081" s="63"/>
    </row>
    <row r="2082" spans="1:2" x14ac:dyDescent="0.25">
      <c r="A2082" s="63"/>
      <c r="B2082" s="63"/>
    </row>
    <row r="2083" spans="1:2" x14ac:dyDescent="0.25">
      <c r="A2083" s="63"/>
      <c r="B2083" s="63"/>
    </row>
    <row r="2084" spans="1:2" x14ac:dyDescent="0.25">
      <c r="A2084" s="63"/>
      <c r="B2084" s="63"/>
    </row>
    <row r="2085" spans="1:2" x14ac:dyDescent="0.25">
      <c r="A2085" s="63"/>
      <c r="B2085" s="63"/>
    </row>
    <row r="2086" spans="1:2" x14ac:dyDescent="0.25">
      <c r="A2086" s="63"/>
      <c r="B2086" s="63"/>
    </row>
    <row r="2087" spans="1:2" x14ac:dyDescent="0.25">
      <c r="A2087" s="63"/>
      <c r="B2087" s="63"/>
    </row>
    <row r="2088" spans="1:2" x14ac:dyDescent="0.25">
      <c r="A2088" s="63"/>
      <c r="B2088" s="63"/>
    </row>
    <row r="2089" spans="1:2" x14ac:dyDescent="0.25">
      <c r="A2089" s="63"/>
      <c r="B2089" s="63"/>
    </row>
    <row r="2090" spans="1:2" x14ac:dyDescent="0.25">
      <c r="A2090" s="63"/>
      <c r="B2090" s="63"/>
    </row>
    <row r="2091" spans="1:2" x14ac:dyDescent="0.25">
      <c r="A2091" s="63"/>
      <c r="B2091" s="63"/>
    </row>
    <row r="2092" spans="1:2" x14ac:dyDescent="0.25">
      <c r="A2092" s="63"/>
      <c r="B2092" s="63"/>
    </row>
    <row r="2093" spans="1:2" x14ac:dyDescent="0.25">
      <c r="A2093" s="63"/>
      <c r="B2093" s="63"/>
    </row>
    <row r="2094" spans="1:2" x14ac:dyDescent="0.25">
      <c r="A2094" s="63"/>
      <c r="B2094" s="63"/>
    </row>
    <row r="2095" spans="1:2" x14ac:dyDescent="0.25">
      <c r="A2095" s="63"/>
      <c r="B2095" s="63"/>
    </row>
    <row r="2096" spans="1:2" x14ac:dyDescent="0.25">
      <c r="A2096" s="63"/>
      <c r="B2096" s="63"/>
    </row>
    <row r="2097" spans="1:2" x14ac:dyDescent="0.25">
      <c r="A2097" s="63"/>
      <c r="B2097" s="63"/>
    </row>
    <row r="2098" spans="1:2" x14ac:dyDescent="0.25">
      <c r="A2098" s="63"/>
      <c r="B2098" s="63"/>
    </row>
    <row r="2099" spans="1:2" x14ac:dyDescent="0.25">
      <c r="A2099" s="63"/>
      <c r="B2099" s="63"/>
    </row>
    <row r="2100" spans="1:2" x14ac:dyDescent="0.25">
      <c r="A2100" s="63"/>
      <c r="B2100" s="63"/>
    </row>
    <row r="2101" spans="1:2" x14ac:dyDescent="0.25">
      <c r="A2101" s="63"/>
      <c r="B2101" s="63"/>
    </row>
    <row r="2102" spans="1:2" x14ac:dyDescent="0.25">
      <c r="A2102" s="63"/>
      <c r="B2102" s="63"/>
    </row>
    <row r="2103" spans="1:2" x14ac:dyDescent="0.25">
      <c r="A2103" s="63"/>
      <c r="B2103" s="63"/>
    </row>
    <row r="2104" spans="1:2" x14ac:dyDescent="0.25">
      <c r="A2104" s="63"/>
      <c r="B2104" s="63"/>
    </row>
    <row r="2105" spans="1:2" x14ac:dyDescent="0.25">
      <c r="A2105" s="63"/>
      <c r="B2105" s="63"/>
    </row>
    <row r="2106" spans="1:2" x14ac:dyDescent="0.25">
      <c r="A2106" s="63"/>
      <c r="B2106" s="63"/>
    </row>
    <row r="2107" spans="1:2" x14ac:dyDescent="0.25">
      <c r="A2107" s="63"/>
      <c r="B2107" s="63"/>
    </row>
    <row r="2108" spans="1:2" x14ac:dyDescent="0.25">
      <c r="A2108" s="63"/>
      <c r="B2108" s="63"/>
    </row>
    <row r="2109" spans="1:2" x14ac:dyDescent="0.25">
      <c r="A2109" s="63"/>
      <c r="B2109" s="63"/>
    </row>
    <row r="2110" spans="1:2" x14ac:dyDescent="0.25">
      <c r="A2110" s="63"/>
      <c r="B2110" s="63"/>
    </row>
    <row r="2111" spans="1:2" x14ac:dyDescent="0.25">
      <c r="A2111" s="63"/>
      <c r="B2111" s="63"/>
    </row>
    <row r="2112" spans="1:2" x14ac:dyDescent="0.25">
      <c r="A2112" s="63"/>
      <c r="B2112" s="63"/>
    </row>
    <row r="2113" spans="1:2" x14ac:dyDescent="0.25">
      <c r="A2113" s="63"/>
      <c r="B2113" s="63"/>
    </row>
    <row r="2114" spans="1:2" x14ac:dyDescent="0.25">
      <c r="A2114" s="63"/>
      <c r="B2114" s="63"/>
    </row>
    <row r="2115" spans="1:2" x14ac:dyDescent="0.25">
      <c r="A2115" s="63"/>
      <c r="B2115" s="63"/>
    </row>
    <row r="2116" spans="1:2" x14ac:dyDescent="0.25">
      <c r="A2116" s="63"/>
      <c r="B2116" s="63"/>
    </row>
    <row r="2117" spans="1:2" x14ac:dyDescent="0.25">
      <c r="A2117" s="63"/>
      <c r="B2117" s="63"/>
    </row>
    <row r="2118" spans="1:2" x14ac:dyDescent="0.25">
      <c r="A2118" s="63"/>
      <c r="B2118" s="63"/>
    </row>
    <row r="2119" spans="1:2" x14ac:dyDescent="0.25">
      <c r="A2119" s="63"/>
      <c r="B2119" s="63"/>
    </row>
    <row r="2120" spans="1:2" x14ac:dyDescent="0.25">
      <c r="A2120" s="63"/>
      <c r="B2120" s="63"/>
    </row>
    <row r="2121" spans="1:2" x14ac:dyDescent="0.25">
      <c r="A2121" s="63"/>
      <c r="B2121" s="63"/>
    </row>
    <row r="2122" spans="1:2" x14ac:dyDescent="0.25">
      <c r="A2122" s="63"/>
      <c r="B2122" s="63"/>
    </row>
    <row r="2123" spans="1:2" x14ac:dyDescent="0.25">
      <c r="A2123" s="63"/>
      <c r="B2123" s="63"/>
    </row>
    <row r="2124" spans="1:2" x14ac:dyDescent="0.25">
      <c r="A2124" s="63"/>
      <c r="B2124" s="63"/>
    </row>
    <row r="2125" spans="1:2" x14ac:dyDescent="0.25">
      <c r="A2125" s="63"/>
      <c r="B2125" s="63"/>
    </row>
    <row r="2126" spans="1:2" x14ac:dyDescent="0.25">
      <c r="A2126" s="63"/>
      <c r="B2126" s="63"/>
    </row>
    <row r="2127" spans="1:2" x14ac:dyDescent="0.25">
      <c r="A2127" s="63"/>
      <c r="B2127" s="63"/>
    </row>
    <row r="2128" spans="1:2" x14ac:dyDescent="0.25">
      <c r="A2128" s="63"/>
      <c r="B2128" s="63"/>
    </row>
    <row r="2129" spans="1:2" x14ac:dyDescent="0.25">
      <c r="A2129" s="63"/>
      <c r="B2129" s="63"/>
    </row>
    <row r="2130" spans="1:2" x14ac:dyDescent="0.25">
      <c r="A2130" s="63"/>
      <c r="B2130" s="63"/>
    </row>
    <row r="2131" spans="1:2" x14ac:dyDescent="0.25">
      <c r="A2131" s="63"/>
      <c r="B2131" s="63"/>
    </row>
    <row r="2132" spans="1:2" x14ac:dyDescent="0.25">
      <c r="A2132" s="63"/>
      <c r="B2132" s="63"/>
    </row>
    <row r="2133" spans="1:2" x14ac:dyDescent="0.25">
      <c r="A2133" s="63"/>
      <c r="B2133" s="63"/>
    </row>
    <row r="2134" spans="1:2" x14ac:dyDescent="0.25">
      <c r="A2134" s="63"/>
      <c r="B2134" s="63"/>
    </row>
    <row r="2135" spans="1:2" x14ac:dyDescent="0.25">
      <c r="A2135" s="63"/>
      <c r="B2135" s="63"/>
    </row>
    <row r="2136" spans="1:2" x14ac:dyDescent="0.25">
      <c r="A2136" s="63"/>
      <c r="B2136" s="63"/>
    </row>
    <row r="2137" spans="1:2" x14ac:dyDescent="0.25">
      <c r="A2137" s="63"/>
      <c r="B2137" s="63"/>
    </row>
    <row r="2138" spans="1:2" x14ac:dyDescent="0.25">
      <c r="A2138" s="63"/>
      <c r="B2138" s="63"/>
    </row>
    <row r="2139" spans="1:2" x14ac:dyDescent="0.25">
      <c r="A2139" s="63"/>
      <c r="B2139" s="63"/>
    </row>
    <row r="2140" spans="1:2" x14ac:dyDescent="0.25">
      <c r="A2140" s="63"/>
      <c r="B2140" s="63"/>
    </row>
    <row r="2141" spans="1:2" x14ac:dyDescent="0.25">
      <c r="A2141" s="63"/>
      <c r="B2141" s="63"/>
    </row>
    <row r="2142" spans="1:2" x14ac:dyDescent="0.25">
      <c r="A2142" s="63"/>
      <c r="B2142" s="63"/>
    </row>
    <row r="2143" spans="1:2" x14ac:dyDescent="0.25">
      <c r="A2143" s="63"/>
      <c r="B2143" s="63"/>
    </row>
    <row r="2144" spans="1:2" x14ac:dyDescent="0.25">
      <c r="A2144" s="63"/>
      <c r="B2144" s="63"/>
    </row>
    <row r="2145" spans="1:2" x14ac:dyDescent="0.25">
      <c r="A2145" s="63"/>
      <c r="B2145" s="63"/>
    </row>
    <row r="2146" spans="1:2" x14ac:dyDescent="0.25">
      <c r="A2146" s="63"/>
      <c r="B2146" s="63"/>
    </row>
    <row r="2147" spans="1:2" x14ac:dyDescent="0.25">
      <c r="A2147" s="63"/>
      <c r="B2147" s="63"/>
    </row>
    <row r="2148" spans="1:2" x14ac:dyDescent="0.25">
      <c r="A2148" s="63"/>
      <c r="B2148" s="63"/>
    </row>
    <row r="2149" spans="1:2" x14ac:dyDescent="0.25">
      <c r="A2149" s="63"/>
      <c r="B2149" s="63"/>
    </row>
    <row r="2150" spans="1:2" x14ac:dyDescent="0.25">
      <c r="A2150" s="63"/>
      <c r="B2150" s="63"/>
    </row>
    <row r="2151" spans="1:2" x14ac:dyDescent="0.25">
      <c r="A2151" s="63"/>
      <c r="B2151" s="63"/>
    </row>
    <row r="2152" spans="1:2" x14ac:dyDescent="0.25">
      <c r="A2152" s="63"/>
      <c r="B2152" s="63"/>
    </row>
    <row r="2153" spans="1:2" x14ac:dyDescent="0.25">
      <c r="A2153" s="63"/>
      <c r="B2153" s="63"/>
    </row>
    <row r="2154" spans="1:2" x14ac:dyDescent="0.25">
      <c r="A2154" s="63"/>
      <c r="B2154" s="63"/>
    </row>
    <row r="2155" spans="1:2" x14ac:dyDescent="0.25">
      <c r="A2155" s="63"/>
      <c r="B2155" s="63"/>
    </row>
    <row r="2156" spans="1:2" x14ac:dyDescent="0.25">
      <c r="A2156" s="63"/>
      <c r="B2156" s="63"/>
    </row>
    <row r="2157" spans="1:2" x14ac:dyDescent="0.25">
      <c r="A2157" s="63"/>
      <c r="B2157" s="63"/>
    </row>
    <row r="2158" spans="1:2" x14ac:dyDescent="0.25">
      <c r="A2158" s="63"/>
      <c r="B2158" s="63"/>
    </row>
    <row r="2159" spans="1:2" x14ac:dyDescent="0.25">
      <c r="A2159" s="63"/>
      <c r="B2159" s="63"/>
    </row>
    <row r="2160" spans="1:2" x14ac:dyDescent="0.25">
      <c r="A2160" s="63"/>
      <c r="B2160" s="63"/>
    </row>
    <row r="2161" spans="1:2" x14ac:dyDescent="0.25">
      <c r="A2161" s="63"/>
      <c r="B2161" s="63"/>
    </row>
    <row r="2162" spans="1:2" x14ac:dyDescent="0.25">
      <c r="A2162" s="63"/>
      <c r="B2162" s="63"/>
    </row>
    <row r="2163" spans="1:2" x14ac:dyDescent="0.25">
      <c r="A2163" s="63"/>
      <c r="B2163" s="63"/>
    </row>
    <row r="2164" spans="1:2" x14ac:dyDescent="0.25">
      <c r="A2164" s="63"/>
      <c r="B2164" s="63"/>
    </row>
    <row r="2165" spans="1:2" x14ac:dyDescent="0.25">
      <c r="A2165" s="63"/>
      <c r="B2165" s="63"/>
    </row>
    <row r="2166" spans="1:2" x14ac:dyDescent="0.25">
      <c r="A2166" s="63"/>
      <c r="B2166" s="63"/>
    </row>
    <row r="2167" spans="1:2" x14ac:dyDescent="0.25">
      <c r="A2167" s="63"/>
      <c r="B2167" s="63"/>
    </row>
    <row r="2168" spans="1:2" x14ac:dyDescent="0.25">
      <c r="A2168" s="63"/>
      <c r="B2168" s="63"/>
    </row>
    <row r="2169" spans="1:2" x14ac:dyDescent="0.25">
      <c r="A2169" s="63"/>
      <c r="B2169" s="63"/>
    </row>
    <row r="2170" spans="1:2" x14ac:dyDescent="0.25">
      <c r="A2170" s="63"/>
      <c r="B2170" s="63"/>
    </row>
    <row r="2171" spans="1:2" x14ac:dyDescent="0.25">
      <c r="A2171" s="63"/>
      <c r="B2171" s="63"/>
    </row>
    <row r="2172" spans="1:2" x14ac:dyDescent="0.25">
      <c r="A2172" s="63"/>
      <c r="B2172" s="63"/>
    </row>
    <row r="2173" spans="1:2" x14ac:dyDescent="0.25">
      <c r="A2173" s="63"/>
      <c r="B2173" s="63"/>
    </row>
    <row r="2174" spans="1:2" x14ac:dyDescent="0.25">
      <c r="A2174" s="63"/>
      <c r="B2174" s="63"/>
    </row>
    <row r="2175" spans="1:2" x14ac:dyDescent="0.25">
      <c r="A2175" s="63"/>
      <c r="B2175" s="63"/>
    </row>
    <row r="2176" spans="1:2" x14ac:dyDescent="0.25">
      <c r="A2176" s="63"/>
      <c r="B2176" s="63"/>
    </row>
    <row r="2177" spans="1:2" x14ac:dyDescent="0.25">
      <c r="A2177" s="63"/>
      <c r="B2177" s="63"/>
    </row>
    <row r="2178" spans="1:2" x14ac:dyDescent="0.25">
      <c r="A2178" s="63"/>
      <c r="B2178" s="63"/>
    </row>
    <row r="2179" spans="1:2" x14ac:dyDescent="0.25">
      <c r="A2179" s="63"/>
      <c r="B2179" s="63"/>
    </row>
    <row r="2180" spans="1:2" x14ac:dyDescent="0.25">
      <c r="A2180" s="63"/>
      <c r="B2180" s="63"/>
    </row>
    <row r="2181" spans="1:2" x14ac:dyDescent="0.25">
      <c r="A2181" s="63"/>
      <c r="B2181" s="63"/>
    </row>
    <row r="2182" spans="1:2" x14ac:dyDescent="0.25">
      <c r="A2182" s="63"/>
      <c r="B2182" s="63"/>
    </row>
    <row r="2183" spans="1:2" x14ac:dyDescent="0.25">
      <c r="A2183" s="63"/>
      <c r="B2183" s="63"/>
    </row>
    <row r="2184" spans="1:2" x14ac:dyDescent="0.25">
      <c r="A2184" s="63"/>
      <c r="B2184" s="63"/>
    </row>
    <row r="2185" spans="1:2" x14ac:dyDescent="0.25">
      <c r="A2185" s="63"/>
      <c r="B2185" s="63"/>
    </row>
    <row r="2186" spans="1:2" x14ac:dyDescent="0.25">
      <c r="A2186" s="63"/>
      <c r="B2186" s="63"/>
    </row>
    <row r="2187" spans="1:2" x14ac:dyDescent="0.25">
      <c r="A2187" s="63"/>
      <c r="B2187" s="63"/>
    </row>
    <row r="2188" spans="1:2" x14ac:dyDescent="0.25">
      <c r="A2188" s="63"/>
      <c r="B2188" s="63"/>
    </row>
    <row r="2189" spans="1:2" x14ac:dyDescent="0.25">
      <c r="A2189" s="63"/>
      <c r="B2189" s="63"/>
    </row>
    <row r="2190" spans="1:2" x14ac:dyDescent="0.25">
      <c r="A2190" s="63"/>
      <c r="B2190" s="63"/>
    </row>
    <row r="2191" spans="1:2" x14ac:dyDescent="0.25">
      <c r="A2191" s="63"/>
      <c r="B2191" s="63"/>
    </row>
    <row r="2192" spans="1:2" x14ac:dyDescent="0.25">
      <c r="A2192" s="63"/>
      <c r="B2192" s="63"/>
    </row>
    <row r="2193" spans="1:2" x14ac:dyDescent="0.25">
      <c r="A2193" s="63"/>
      <c r="B2193" s="63"/>
    </row>
    <row r="2194" spans="1:2" x14ac:dyDescent="0.25">
      <c r="A2194" s="63"/>
      <c r="B2194" s="63"/>
    </row>
    <row r="2195" spans="1:2" x14ac:dyDescent="0.25">
      <c r="A2195" s="63"/>
      <c r="B2195" s="63"/>
    </row>
    <row r="2196" spans="1:2" x14ac:dyDescent="0.25">
      <c r="A2196" s="63"/>
      <c r="B2196" s="63"/>
    </row>
    <row r="2197" spans="1:2" x14ac:dyDescent="0.25">
      <c r="A2197" s="63"/>
      <c r="B2197" s="63"/>
    </row>
    <row r="2198" spans="1:2" x14ac:dyDescent="0.25">
      <c r="A2198" s="63"/>
      <c r="B2198" s="63"/>
    </row>
    <row r="2199" spans="1:2" x14ac:dyDescent="0.25">
      <c r="A2199" s="63"/>
      <c r="B2199" s="63"/>
    </row>
    <row r="2200" spans="1:2" x14ac:dyDescent="0.25">
      <c r="A2200" s="63"/>
      <c r="B2200" s="63"/>
    </row>
    <row r="2201" spans="1:2" x14ac:dyDescent="0.25">
      <c r="A2201" s="63"/>
      <c r="B2201" s="63"/>
    </row>
    <row r="2202" spans="1:2" x14ac:dyDescent="0.25">
      <c r="A2202" s="63"/>
      <c r="B2202" s="63"/>
    </row>
    <row r="2203" spans="1:2" x14ac:dyDescent="0.25">
      <c r="A2203" s="63"/>
      <c r="B2203" s="63"/>
    </row>
    <row r="2204" spans="1:2" x14ac:dyDescent="0.25">
      <c r="A2204" s="63"/>
      <c r="B2204" s="63"/>
    </row>
    <row r="2205" spans="1:2" x14ac:dyDescent="0.25">
      <c r="A2205" s="63"/>
      <c r="B2205" s="63"/>
    </row>
    <row r="2206" spans="1:2" x14ac:dyDescent="0.25">
      <c r="A2206" s="63"/>
      <c r="B2206" s="63"/>
    </row>
    <row r="2207" spans="1:2" x14ac:dyDescent="0.25">
      <c r="A2207" s="63"/>
      <c r="B2207" s="63"/>
    </row>
    <row r="2208" spans="1:2" x14ac:dyDescent="0.25">
      <c r="A2208" s="63"/>
      <c r="B2208" s="63"/>
    </row>
    <row r="2209" spans="1:2" x14ac:dyDescent="0.25">
      <c r="A2209" s="63"/>
      <c r="B2209" s="63"/>
    </row>
    <row r="2210" spans="1:2" x14ac:dyDescent="0.25">
      <c r="A2210" s="63"/>
      <c r="B2210" s="63"/>
    </row>
    <row r="2211" spans="1:2" x14ac:dyDescent="0.25">
      <c r="A2211" s="63"/>
      <c r="B2211" s="63"/>
    </row>
    <row r="2212" spans="1:2" x14ac:dyDescent="0.25">
      <c r="A2212" s="63"/>
      <c r="B2212" s="63"/>
    </row>
    <row r="2213" spans="1:2" x14ac:dyDescent="0.25">
      <c r="A2213" s="63"/>
      <c r="B2213" s="63"/>
    </row>
    <row r="2214" spans="1:2" x14ac:dyDescent="0.25">
      <c r="A2214" s="63"/>
      <c r="B2214" s="63"/>
    </row>
    <row r="2215" spans="1:2" x14ac:dyDescent="0.25">
      <c r="A2215" s="63"/>
      <c r="B2215" s="63"/>
    </row>
    <row r="2216" spans="1:2" x14ac:dyDescent="0.25">
      <c r="A2216" s="63"/>
      <c r="B2216" s="63"/>
    </row>
    <row r="2217" spans="1:2" x14ac:dyDescent="0.25">
      <c r="A2217" s="63"/>
      <c r="B2217" s="63"/>
    </row>
    <row r="2218" spans="1:2" x14ac:dyDescent="0.25">
      <c r="A2218" s="63"/>
      <c r="B2218" s="63"/>
    </row>
    <row r="2219" spans="1:2" x14ac:dyDescent="0.25">
      <c r="A2219" s="63"/>
      <c r="B2219" s="63"/>
    </row>
    <row r="2220" spans="1:2" x14ac:dyDescent="0.25">
      <c r="A2220" s="63"/>
      <c r="B2220" s="63"/>
    </row>
    <row r="2221" spans="1:2" x14ac:dyDescent="0.25">
      <c r="A2221" s="63"/>
      <c r="B2221" s="63"/>
    </row>
    <row r="2222" spans="1:2" x14ac:dyDescent="0.25">
      <c r="A2222" s="63"/>
      <c r="B2222" s="63"/>
    </row>
    <row r="2223" spans="1:2" x14ac:dyDescent="0.25">
      <c r="A2223" s="63"/>
      <c r="B2223" s="63"/>
    </row>
    <row r="2224" spans="1:2" x14ac:dyDescent="0.25">
      <c r="A2224" s="63"/>
      <c r="B2224" s="63"/>
    </row>
    <row r="2225" spans="1:2" x14ac:dyDescent="0.25">
      <c r="A2225" s="63"/>
      <c r="B2225" s="63"/>
    </row>
    <row r="2226" spans="1:2" x14ac:dyDescent="0.25">
      <c r="A2226" s="63"/>
      <c r="B2226" s="63"/>
    </row>
    <row r="2227" spans="1:2" x14ac:dyDescent="0.25">
      <c r="A2227" s="63"/>
      <c r="B2227" s="63"/>
    </row>
    <row r="2228" spans="1:2" x14ac:dyDescent="0.25">
      <c r="A2228" s="63"/>
      <c r="B2228" s="63"/>
    </row>
    <row r="2229" spans="1:2" x14ac:dyDescent="0.25">
      <c r="A2229" s="63"/>
      <c r="B2229" s="63"/>
    </row>
    <row r="2230" spans="1:2" x14ac:dyDescent="0.25">
      <c r="A2230" s="63"/>
      <c r="B2230" s="63"/>
    </row>
    <row r="2231" spans="1:2" x14ac:dyDescent="0.25">
      <c r="A2231" s="63"/>
      <c r="B2231" s="63"/>
    </row>
    <row r="2232" spans="1:2" x14ac:dyDescent="0.25">
      <c r="A2232" s="63"/>
      <c r="B2232" s="63"/>
    </row>
    <row r="2233" spans="1:2" x14ac:dyDescent="0.25">
      <c r="A2233" s="63"/>
      <c r="B2233" s="63"/>
    </row>
    <row r="2234" spans="1:2" x14ac:dyDescent="0.25">
      <c r="A2234" s="63"/>
      <c r="B2234" s="63"/>
    </row>
    <row r="2235" spans="1:2" x14ac:dyDescent="0.25">
      <c r="A2235" s="63"/>
      <c r="B2235" s="63"/>
    </row>
    <row r="2236" spans="1:2" x14ac:dyDescent="0.25">
      <c r="A2236" s="63"/>
      <c r="B2236" s="63"/>
    </row>
    <row r="2237" spans="1:2" x14ac:dyDescent="0.25">
      <c r="A2237" s="63"/>
      <c r="B2237" s="63"/>
    </row>
    <row r="2238" spans="1:2" x14ac:dyDescent="0.25">
      <c r="A2238" s="63"/>
      <c r="B2238" s="63"/>
    </row>
    <row r="2239" spans="1:2" x14ac:dyDescent="0.25">
      <c r="A2239" s="63"/>
      <c r="B2239" s="63"/>
    </row>
    <row r="2240" spans="1:2" x14ac:dyDescent="0.25">
      <c r="A2240" s="63"/>
      <c r="B2240" s="63"/>
    </row>
    <row r="2241" spans="1:2" x14ac:dyDescent="0.25">
      <c r="A2241" s="63"/>
      <c r="B2241" s="63"/>
    </row>
    <row r="2242" spans="1:2" x14ac:dyDescent="0.25">
      <c r="A2242" s="63"/>
      <c r="B2242" s="63"/>
    </row>
    <row r="2243" spans="1:2" x14ac:dyDescent="0.25">
      <c r="A2243" s="63"/>
      <c r="B2243" s="63"/>
    </row>
    <row r="2244" spans="1:2" x14ac:dyDescent="0.25">
      <c r="A2244" s="63"/>
      <c r="B2244" s="63"/>
    </row>
    <row r="2245" spans="1:2" x14ac:dyDescent="0.25">
      <c r="A2245" s="63"/>
      <c r="B2245" s="63"/>
    </row>
    <row r="2246" spans="1:2" x14ac:dyDescent="0.25">
      <c r="A2246" s="63"/>
      <c r="B2246" s="63"/>
    </row>
    <row r="2247" spans="1:2" x14ac:dyDescent="0.25">
      <c r="A2247" s="63"/>
      <c r="B2247" s="63"/>
    </row>
    <row r="2248" spans="1:2" x14ac:dyDescent="0.25">
      <c r="A2248" s="63"/>
      <c r="B2248" s="63"/>
    </row>
    <row r="2249" spans="1:2" x14ac:dyDescent="0.25">
      <c r="A2249" s="63"/>
      <c r="B2249" s="63"/>
    </row>
    <row r="2250" spans="1:2" x14ac:dyDescent="0.25">
      <c r="A2250" s="63"/>
      <c r="B2250" s="63"/>
    </row>
    <row r="2251" spans="1:2" x14ac:dyDescent="0.25">
      <c r="A2251" s="63"/>
      <c r="B2251" s="63"/>
    </row>
    <row r="2252" spans="1:2" x14ac:dyDescent="0.25">
      <c r="A2252" s="63"/>
      <c r="B2252" s="63"/>
    </row>
    <row r="2253" spans="1:2" x14ac:dyDescent="0.25">
      <c r="A2253" s="63"/>
      <c r="B2253" s="63"/>
    </row>
    <row r="2254" spans="1:2" x14ac:dyDescent="0.25">
      <c r="A2254" s="63"/>
      <c r="B2254" s="63"/>
    </row>
    <row r="2255" spans="1:2" x14ac:dyDescent="0.25">
      <c r="A2255" s="63"/>
      <c r="B2255" s="63"/>
    </row>
    <row r="2256" spans="1:2" x14ac:dyDescent="0.25">
      <c r="A2256" s="63"/>
      <c r="B2256" s="63"/>
    </row>
    <row r="2257" spans="1:2" x14ac:dyDescent="0.25">
      <c r="A2257" s="63"/>
      <c r="B2257" s="63"/>
    </row>
    <row r="2258" spans="1:2" x14ac:dyDescent="0.25">
      <c r="A2258" s="63"/>
      <c r="B2258" s="63"/>
    </row>
    <row r="2259" spans="1:2" x14ac:dyDescent="0.25">
      <c r="A2259" s="63"/>
      <c r="B2259" s="63"/>
    </row>
    <row r="2260" spans="1:2" x14ac:dyDescent="0.25">
      <c r="A2260" s="63"/>
      <c r="B2260" s="63"/>
    </row>
    <row r="2261" spans="1:2" x14ac:dyDescent="0.25">
      <c r="A2261" s="63"/>
      <c r="B2261" s="63"/>
    </row>
    <row r="2262" spans="1:2" x14ac:dyDescent="0.25">
      <c r="A2262" s="63"/>
      <c r="B2262" s="63"/>
    </row>
    <row r="2263" spans="1:2" x14ac:dyDescent="0.25">
      <c r="A2263" s="63"/>
      <c r="B2263" s="63"/>
    </row>
    <row r="2264" spans="1:2" x14ac:dyDescent="0.25">
      <c r="A2264" s="63"/>
      <c r="B2264" s="63"/>
    </row>
    <row r="2265" spans="1:2" x14ac:dyDescent="0.25">
      <c r="A2265" s="63"/>
      <c r="B2265" s="63"/>
    </row>
    <row r="2266" spans="1:2" x14ac:dyDescent="0.25">
      <c r="A2266" s="63"/>
      <c r="B2266" s="63"/>
    </row>
    <row r="2267" spans="1:2" x14ac:dyDescent="0.25">
      <c r="A2267" s="63"/>
      <c r="B2267" s="63"/>
    </row>
    <row r="2268" spans="1:2" x14ac:dyDescent="0.25">
      <c r="A2268" s="63"/>
      <c r="B2268" s="63"/>
    </row>
    <row r="2269" spans="1:2" x14ac:dyDescent="0.25">
      <c r="A2269" s="63"/>
      <c r="B2269" s="63"/>
    </row>
    <row r="2270" spans="1:2" x14ac:dyDescent="0.25">
      <c r="A2270" s="63"/>
      <c r="B2270" s="63"/>
    </row>
    <row r="2271" spans="1:2" x14ac:dyDescent="0.25">
      <c r="A2271" s="63"/>
      <c r="B2271" s="63"/>
    </row>
    <row r="2272" spans="1:2" x14ac:dyDescent="0.25">
      <c r="A2272" s="63"/>
      <c r="B2272" s="63"/>
    </row>
    <row r="2273" spans="1:2" x14ac:dyDescent="0.25">
      <c r="A2273" s="63"/>
      <c r="B2273" s="63"/>
    </row>
    <row r="2274" spans="1:2" x14ac:dyDescent="0.25">
      <c r="A2274" s="63"/>
      <c r="B2274" s="63"/>
    </row>
    <row r="2275" spans="1:2" x14ac:dyDescent="0.25">
      <c r="A2275" s="63"/>
      <c r="B2275" s="63"/>
    </row>
    <row r="2276" spans="1:2" x14ac:dyDescent="0.25">
      <c r="A2276" s="63"/>
      <c r="B2276" s="63"/>
    </row>
    <row r="2277" spans="1:2" x14ac:dyDescent="0.25">
      <c r="A2277" s="63"/>
      <c r="B2277" s="63"/>
    </row>
    <row r="2278" spans="1:2" x14ac:dyDescent="0.25">
      <c r="A2278" s="63"/>
      <c r="B2278" s="63"/>
    </row>
    <row r="2279" spans="1:2" x14ac:dyDescent="0.25">
      <c r="A2279" s="63"/>
      <c r="B2279" s="63"/>
    </row>
    <row r="2280" spans="1:2" x14ac:dyDescent="0.25">
      <c r="A2280" s="63"/>
      <c r="B2280" s="63"/>
    </row>
    <row r="2281" spans="1:2" x14ac:dyDescent="0.25">
      <c r="A2281" s="63"/>
      <c r="B2281" s="63"/>
    </row>
    <row r="2282" spans="1:2" x14ac:dyDescent="0.25">
      <c r="A2282" s="63"/>
      <c r="B2282" s="63"/>
    </row>
    <row r="2283" spans="1:2" x14ac:dyDescent="0.25">
      <c r="A2283" s="63"/>
      <c r="B2283" s="63"/>
    </row>
    <row r="2284" spans="1:2" x14ac:dyDescent="0.25">
      <c r="A2284" s="63"/>
      <c r="B2284" s="63"/>
    </row>
    <row r="2285" spans="1:2" x14ac:dyDescent="0.25">
      <c r="A2285" s="63"/>
      <c r="B2285" s="63"/>
    </row>
    <row r="2286" spans="1:2" x14ac:dyDescent="0.25">
      <c r="A2286" s="63"/>
      <c r="B2286" s="63"/>
    </row>
    <row r="2287" spans="1:2" x14ac:dyDescent="0.25">
      <c r="A2287" s="63"/>
      <c r="B2287" s="63"/>
    </row>
    <row r="2288" spans="1:2" x14ac:dyDescent="0.25">
      <c r="A2288" s="63"/>
      <c r="B2288" s="63"/>
    </row>
    <row r="2289" spans="1:2" x14ac:dyDescent="0.25">
      <c r="A2289" s="63"/>
      <c r="B2289" s="63"/>
    </row>
    <row r="2290" spans="1:2" x14ac:dyDescent="0.25">
      <c r="A2290" s="63"/>
      <c r="B2290" s="63"/>
    </row>
    <row r="2291" spans="1:2" x14ac:dyDescent="0.25">
      <c r="A2291" s="63"/>
      <c r="B2291" s="63"/>
    </row>
    <row r="2292" spans="1:2" x14ac:dyDescent="0.25">
      <c r="A2292" s="63"/>
      <c r="B2292" s="63"/>
    </row>
    <row r="2293" spans="1:2" x14ac:dyDescent="0.25">
      <c r="A2293" s="63"/>
      <c r="B2293" s="63"/>
    </row>
    <row r="2294" spans="1:2" x14ac:dyDescent="0.25">
      <c r="A2294" s="63"/>
      <c r="B2294" s="63"/>
    </row>
    <row r="2295" spans="1:2" x14ac:dyDescent="0.25">
      <c r="A2295" s="63"/>
      <c r="B2295" s="63"/>
    </row>
    <row r="2296" spans="1:2" x14ac:dyDescent="0.25">
      <c r="A2296" s="63"/>
      <c r="B2296" s="63"/>
    </row>
    <row r="2297" spans="1:2" x14ac:dyDescent="0.25">
      <c r="A2297" s="63"/>
      <c r="B2297" s="63"/>
    </row>
    <row r="2298" spans="1:2" x14ac:dyDescent="0.25">
      <c r="A2298" s="63"/>
      <c r="B2298" s="63"/>
    </row>
    <row r="2299" spans="1:2" x14ac:dyDescent="0.25">
      <c r="A2299" s="63"/>
      <c r="B2299" s="63"/>
    </row>
    <row r="2300" spans="1:2" x14ac:dyDescent="0.25">
      <c r="A2300" s="63"/>
      <c r="B2300" s="63"/>
    </row>
    <row r="2301" spans="1:2" x14ac:dyDescent="0.25">
      <c r="A2301" s="63"/>
      <c r="B2301" s="63"/>
    </row>
    <row r="2302" spans="1:2" x14ac:dyDescent="0.25">
      <c r="A2302" s="63"/>
      <c r="B2302" s="63"/>
    </row>
    <row r="2303" spans="1:2" x14ac:dyDescent="0.25">
      <c r="A2303" s="63"/>
      <c r="B2303" s="63"/>
    </row>
    <row r="2304" spans="1:2" x14ac:dyDescent="0.25">
      <c r="A2304" s="63"/>
      <c r="B2304" s="63"/>
    </row>
    <row r="2305" spans="1:2" x14ac:dyDescent="0.25">
      <c r="A2305" s="63"/>
      <c r="B2305" s="63"/>
    </row>
    <row r="2306" spans="1:2" x14ac:dyDescent="0.25">
      <c r="A2306" s="63"/>
      <c r="B2306" s="63"/>
    </row>
    <row r="2307" spans="1:2" x14ac:dyDescent="0.25">
      <c r="A2307" s="63"/>
      <c r="B2307" s="63"/>
    </row>
    <row r="2308" spans="1:2" x14ac:dyDescent="0.25">
      <c r="A2308" s="63"/>
      <c r="B2308" s="63"/>
    </row>
    <row r="2309" spans="1:2" x14ac:dyDescent="0.25">
      <c r="A2309" s="63"/>
      <c r="B2309" s="63"/>
    </row>
    <row r="2310" spans="1:2" x14ac:dyDescent="0.25">
      <c r="A2310" s="63"/>
      <c r="B2310" s="63"/>
    </row>
    <row r="2311" spans="1:2" x14ac:dyDescent="0.25">
      <c r="A2311" s="63"/>
      <c r="B2311" s="63"/>
    </row>
    <row r="2312" spans="1:2" x14ac:dyDescent="0.25">
      <c r="A2312" s="63"/>
      <c r="B2312" s="63"/>
    </row>
    <row r="2313" spans="1:2" x14ac:dyDescent="0.25">
      <c r="A2313" s="63"/>
      <c r="B2313" s="63"/>
    </row>
    <row r="2314" spans="1:2" x14ac:dyDescent="0.25">
      <c r="A2314" s="63"/>
      <c r="B2314" s="63"/>
    </row>
    <row r="2315" spans="1:2" x14ac:dyDescent="0.25">
      <c r="A2315" s="63"/>
      <c r="B2315" s="63"/>
    </row>
    <row r="2316" spans="1:2" x14ac:dyDescent="0.25">
      <c r="A2316" s="63"/>
      <c r="B2316" s="63"/>
    </row>
    <row r="2317" spans="1:2" x14ac:dyDescent="0.25">
      <c r="A2317" s="63"/>
      <c r="B2317" s="63"/>
    </row>
    <row r="2318" spans="1:2" x14ac:dyDescent="0.25">
      <c r="A2318" s="63"/>
      <c r="B2318" s="63"/>
    </row>
    <row r="2319" spans="1:2" x14ac:dyDescent="0.25">
      <c r="A2319" s="63"/>
      <c r="B2319" s="63"/>
    </row>
    <row r="2320" spans="1:2" x14ac:dyDescent="0.25">
      <c r="A2320" s="63"/>
      <c r="B2320" s="63"/>
    </row>
    <row r="2321" spans="1:2" x14ac:dyDescent="0.25">
      <c r="A2321" s="63"/>
      <c r="B2321" s="63"/>
    </row>
    <row r="2322" spans="1:2" x14ac:dyDescent="0.25">
      <c r="A2322" s="63"/>
      <c r="B2322" s="63"/>
    </row>
    <row r="2323" spans="1:2" x14ac:dyDescent="0.25">
      <c r="A2323" s="63"/>
      <c r="B2323" s="63"/>
    </row>
    <row r="2324" spans="1:2" x14ac:dyDescent="0.25">
      <c r="A2324" s="63"/>
      <c r="B2324" s="63"/>
    </row>
    <row r="2325" spans="1:2" x14ac:dyDescent="0.25">
      <c r="A2325" s="63"/>
      <c r="B2325" s="63"/>
    </row>
    <row r="2326" spans="1:2" x14ac:dyDescent="0.25">
      <c r="A2326" s="63"/>
      <c r="B2326" s="63"/>
    </row>
    <row r="2327" spans="1:2" x14ac:dyDescent="0.25">
      <c r="A2327" s="63"/>
      <c r="B2327" s="63"/>
    </row>
    <row r="2328" spans="1:2" x14ac:dyDescent="0.25">
      <c r="A2328" s="63"/>
      <c r="B2328" s="63"/>
    </row>
    <row r="2329" spans="1:2" x14ac:dyDescent="0.25">
      <c r="A2329" s="63"/>
      <c r="B2329" s="63"/>
    </row>
    <row r="2330" spans="1:2" x14ac:dyDescent="0.25">
      <c r="A2330" s="63"/>
      <c r="B2330" s="63"/>
    </row>
    <row r="2331" spans="1:2" x14ac:dyDescent="0.25">
      <c r="A2331" s="63"/>
      <c r="B2331" s="63"/>
    </row>
    <row r="2332" spans="1:2" x14ac:dyDescent="0.25">
      <c r="A2332" s="63"/>
      <c r="B2332" s="63"/>
    </row>
    <row r="2333" spans="1:2" x14ac:dyDescent="0.25">
      <c r="A2333" s="63"/>
      <c r="B2333" s="63"/>
    </row>
    <row r="2334" spans="1:2" x14ac:dyDescent="0.25">
      <c r="A2334" s="63"/>
      <c r="B2334" s="63"/>
    </row>
    <row r="2335" spans="1:2" x14ac:dyDescent="0.25">
      <c r="A2335" s="63"/>
      <c r="B2335" s="63"/>
    </row>
    <row r="2336" spans="1:2" x14ac:dyDescent="0.25">
      <c r="A2336" s="63"/>
      <c r="B2336" s="63"/>
    </row>
    <row r="2337" spans="1:2" x14ac:dyDescent="0.25">
      <c r="A2337" s="63"/>
      <c r="B2337" s="63"/>
    </row>
    <row r="2338" spans="1:2" x14ac:dyDescent="0.25">
      <c r="A2338" s="63"/>
      <c r="B2338" s="63"/>
    </row>
    <row r="2339" spans="1:2" x14ac:dyDescent="0.25">
      <c r="A2339" s="63"/>
      <c r="B2339" s="63"/>
    </row>
    <row r="2340" spans="1:2" x14ac:dyDescent="0.25">
      <c r="A2340" s="63"/>
      <c r="B2340" s="63"/>
    </row>
    <row r="2341" spans="1:2" x14ac:dyDescent="0.25">
      <c r="A2341" s="63"/>
      <c r="B2341" s="63"/>
    </row>
    <row r="2342" spans="1:2" x14ac:dyDescent="0.25">
      <c r="A2342" s="63"/>
      <c r="B2342" s="63"/>
    </row>
    <row r="2343" spans="1:2" x14ac:dyDescent="0.25">
      <c r="A2343" s="63"/>
      <c r="B2343" s="63"/>
    </row>
    <row r="2344" spans="1:2" x14ac:dyDescent="0.25">
      <c r="A2344" s="63"/>
      <c r="B2344" s="63"/>
    </row>
    <row r="2345" spans="1:2" x14ac:dyDescent="0.25">
      <c r="A2345" s="63"/>
      <c r="B2345" s="63"/>
    </row>
    <row r="2346" spans="1:2" x14ac:dyDescent="0.25">
      <c r="A2346" s="63"/>
      <c r="B2346" s="63"/>
    </row>
    <row r="2347" spans="1:2" x14ac:dyDescent="0.25">
      <c r="A2347" s="63"/>
      <c r="B2347" s="63"/>
    </row>
    <row r="2348" spans="1:2" x14ac:dyDescent="0.25">
      <c r="A2348" s="63"/>
      <c r="B2348" s="63"/>
    </row>
    <row r="2349" spans="1:2" x14ac:dyDescent="0.25">
      <c r="A2349" s="63"/>
      <c r="B2349" s="63"/>
    </row>
    <row r="2350" spans="1:2" x14ac:dyDescent="0.25">
      <c r="A2350" s="63"/>
      <c r="B2350" s="63"/>
    </row>
    <row r="2351" spans="1:2" x14ac:dyDescent="0.25">
      <c r="A2351" s="63"/>
      <c r="B2351" s="63"/>
    </row>
    <row r="2352" spans="1:2" x14ac:dyDescent="0.25">
      <c r="A2352" s="63"/>
      <c r="B2352" s="63"/>
    </row>
    <row r="2353" spans="1:2" x14ac:dyDescent="0.25">
      <c r="A2353" s="63"/>
      <c r="B2353" s="63"/>
    </row>
    <row r="2354" spans="1:2" x14ac:dyDescent="0.25">
      <c r="A2354" s="63"/>
      <c r="B2354" s="63"/>
    </row>
    <row r="2355" spans="1:2" x14ac:dyDescent="0.25">
      <c r="A2355" s="63"/>
      <c r="B2355" s="63"/>
    </row>
    <row r="2356" spans="1:2" x14ac:dyDescent="0.25">
      <c r="A2356" s="63"/>
      <c r="B2356" s="63"/>
    </row>
    <row r="2357" spans="1:2" x14ac:dyDescent="0.25">
      <c r="A2357" s="63"/>
      <c r="B2357" s="63"/>
    </row>
    <row r="2358" spans="1:2" x14ac:dyDescent="0.25">
      <c r="A2358" s="63"/>
      <c r="B2358" s="63"/>
    </row>
    <row r="2359" spans="1:2" x14ac:dyDescent="0.25">
      <c r="A2359" s="63"/>
      <c r="B2359" s="63"/>
    </row>
    <row r="2360" spans="1:2" x14ac:dyDescent="0.25">
      <c r="A2360" s="63"/>
      <c r="B2360" s="63"/>
    </row>
    <row r="2361" spans="1:2" x14ac:dyDescent="0.25">
      <c r="A2361" s="63"/>
      <c r="B2361" s="63"/>
    </row>
    <row r="2362" spans="1:2" x14ac:dyDescent="0.25">
      <c r="A2362" s="63"/>
      <c r="B2362" s="63"/>
    </row>
    <row r="2363" spans="1:2" x14ac:dyDescent="0.25">
      <c r="A2363" s="63"/>
      <c r="B2363" s="63"/>
    </row>
    <row r="2364" spans="1:2" x14ac:dyDescent="0.25">
      <c r="A2364" s="63"/>
      <c r="B2364" s="63"/>
    </row>
    <row r="2365" spans="1:2" x14ac:dyDescent="0.25">
      <c r="A2365" s="63"/>
      <c r="B2365" s="63"/>
    </row>
    <row r="2366" spans="1:2" x14ac:dyDescent="0.25">
      <c r="A2366" s="63"/>
      <c r="B2366" s="63"/>
    </row>
    <row r="2367" spans="1:2" x14ac:dyDescent="0.25">
      <c r="A2367" s="63"/>
      <c r="B2367" s="63"/>
    </row>
    <row r="2368" spans="1:2" x14ac:dyDescent="0.25">
      <c r="A2368" s="63"/>
      <c r="B2368" s="63"/>
    </row>
    <row r="2369" spans="1:2" x14ac:dyDescent="0.25">
      <c r="A2369" s="63"/>
      <c r="B2369" s="63"/>
    </row>
    <row r="2370" spans="1:2" x14ac:dyDescent="0.25">
      <c r="A2370" s="63"/>
      <c r="B2370" s="63"/>
    </row>
    <row r="2371" spans="1:2" x14ac:dyDescent="0.25">
      <c r="A2371" s="63"/>
      <c r="B2371" s="63"/>
    </row>
    <row r="2372" spans="1:2" x14ac:dyDescent="0.25">
      <c r="A2372" s="63"/>
      <c r="B2372" s="63"/>
    </row>
    <row r="2373" spans="1:2" x14ac:dyDescent="0.25">
      <c r="A2373" s="63"/>
      <c r="B2373" s="63"/>
    </row>
    <row r="2374" spans="1:2" x14ac:dyDescent="0.25">
      <c r="A2374" s="63"/>
      <c r="B2374" s="63"/>
    </row>
    <row r="2375" spans="1:2" x14ac:dyDescent="0.25">
      <c r="A2375" s="63"/>
      <c r="B2375" s="63"/>
    </row>
    <row r="2376" spans="1:2" x14ac:dyDescent="0.25">
      <c r="A2376" s="63"/>
      <c r="B2376" s="63"/>
    </row>
    <row r="2377" spans="1:2" x14ac:dyDescent="0.25">
      <c r="A2377" s="63"/>
      <c r="B2377" s="63"/>
    </row>
    <row r="2378" spans="1:2" x14ac:dyDescent="0.25">
      <c r="A2378" s="63"/>
      <c r="B2378" s="63"/>
    </row>
    <row r="2379" spans="1:2" x14ac:dyDescent="0.25">
      <c r="A2379" s="63"/>
      <c r="B2379" s="63"/>
    </row>
    <row r="2380" spans="1:2" x14ac:dyDescent="0.25">
      <c r="A2380" s="63"/>
      <c r="B2380" s="63"/>
    </row>
    <row r="2381" spans="1:2" x14ac:dyDescent="0.25">
      <c r="A2381" s="63"/>
      <c r="B2381" s="63"/>
    </row>
    <row r="2382" spans="1:2" x14ac:dyDescent="0.25">
      <c r="A2382" s="63"/>
      <c r="B2382" s="63"/>
    </row>
    <row r="2383" spans="1:2" x14ac:dyDescent="0.25">
      <c r="A2383" s="63"/>
      <c r="B2383" s="63"/>
    </row>
    <row r="2384" spans="1:2" x14ac:dyDescent="0.25">
      <c r="A2384" s="63"/>
      <c r="B2384" s="63"/>
    </row>
    <row r="2385" spans="1:2" x14ac:dyDescent="0.25">
      <c r="A2385" s="63"/>
      <c r="B2385" s="63"/>
    </row>
    <row r="2386" spans="1:2" x14ac:dyDescent="0.25">
      <c r="A2386" s="63"/>
      <c r="B2386" s="63"/>
    </row>
    <row r="2387" spans="1:2" x14ac:dyDescent="0.25">
      <c r="A2387" s="63"/>
      <c r="B2387" s="63"/>
    </row>
    <row r="2388" spans="1:2" x14ac:dyDescent="0.25">
      <c r="A2388" s="63"/>
      <c r="B2388" s="63"/>
    </row>
    <row r="2389" spans="1:2" x14ac:dyDescent="0.25">
      <c r="A2389" s="63"/>
      <c r="B2389" s="63"/>
    </row>
    <row r="2390" spans="1:2" x14ac:dyDescent="0.25">
      <c r="A2390" s="63"/>
      <c r="B2390" s="63"/>
    </row>
    <row r="2391" spans="1:2" x14ac:dyDescent="0.25">
      <c r="A2391" s="63"/>
      <c r="B2391" s="63"/>
    </row>
    <row r="2392" spans="1:2" x14ac:dyDescent="0.25">
      <c r="A2392" s="63"/>
      <c r="B2392" s="63"/>
    </row>
    <row r="2393" spans="1:2" x14ac:dyDescent="0.25">
      <c r="A2393" s="63"/>
      <c r="B2393" s="63"/>
    </row>
    <row r="2394" spans="1:2" x14ac:dyDescent="0.25">
      <c r="A2394" s="63"/>
      <c r="B2394" s="63"/>
    </row>
    <row r="2395" spans="1:2" x14ac:dyDescent="0.25">
      <c r="A2395" s="63"/>
      <c r="B2395" s="63"/>
    </row>
    <row r="2396" spans="1:2" x14ac:dyDescent="0.25">
      <c r="A2396" s="63"/>
      <c r="B2396" s="63"/>
    </row>
    <row r="2397" spans="1:2" x14ac:dyDescent="0.25">
      <c r="A2397" s="63"/>
      <c r="B2397" s="63"/>
    </row>
    <row r="2398" spans="1:2" x14ac:dyDescent="0.25">
      <c r="A2398" s="63"/>
      <c r="B2398" s="63"/>
    </row>
    <row r="2399" spans="1:2" x14ac:dyDescent="0.25">
      <c r="A2399" s="63"/>
      <c r="B2399" s="63"/>
    </row>
    <row r="2400" spans="1:2" x14ac:dyDescent="0.25">
      <c r="A2400" s="63"/>
      <c r="B2400" s="63"/>
    </row>
    <row r="2401" spans="1:2" x14ac:dyDescent="0.25">
      <c r="A2401" s="63"/>
      <c r="B2401" s="63"/>
    </row>
    <row r="2402" spans="1:2" x14ac:dyDescent="0.25">
      <c r="A2402" s="63"/>
      <c r="B2402" s="63"/>
    </row>
    <row r="2403" spans="1:2" x14ac:dyDescent="0.25">
      <c r="A2403" s="63"/>
      <c r="B2403" s="63"/>
    </row>
    <row r="2404" spans="1:2" x14ac:dyDescent="0.25">
      <c r="A2404" s="63"/>
      <c r="B2404" s="63"/>
    </row>
    <row r="2405" spans="1:2" x14ac:dyDescent="0.25">
      <c r="A2405" s="63"/>
      <c r="B2405" s="63"/>
    </row>
    <row r="2406" spans="1:2" x14ac:dyDescent="0.25">
      <c r="A2406" s="63"/>
      <c r="B2406" s="63"/>
    </row>
    <row r="2407" spans="1:2" x14ac:dyDescent="0.25">
      <c r="A2407" s="63"/>
      <c r="B2407" s="63"/>
    </row>
    <row r="2408" spans="1:2" x14ac:dyDescent="0.25">
      <c r="A2408" s="63"/>
      <c r="B2408" s="63"/>
    </row>
    <row r="2409" spans="1:2" x14ac:dyDescent="0.25">
      <c r="A2409" s="63"/>
      <c r="B2409" s="63"/>
    </row>
    <row r="2410" spans="1:2" x14ac:dyDescent="0.25">
      <c r="A2410" s="63"/>
      <c r="B2410" s="63"/>
    </row>
    <row r="2411" spans="1:2" x14ac:dyDescent="0.25">
      <c r="A2411" s="63"/>
      <c r="B2411" s="63"/>
    </row>
    <row r="2412" spans="1:2" x14ac:dyDescent="0.25">
      <c r="A2412" s="63"/>
      <c r="B2412" s="63"/>
    </row>
    <row r="2413" spans="1:2" x14ac:dyDescent="0.25">
      <c r="A2413" s="63"/>
      <c r="B2413" s="63"/>
    </row>
    <row r="2414" spans="1:2" x14ac:dyDescent="0.25">
      <c r="A2414" s="63"/>
      <c r="B2414" s="63"/>
    </row>
    <row r="2415" spans="1:2" x14ac:dyDescent="0.25">
      <c r="A2415" s="63"/>
      <c r="B2415" s="63"/>
    </row>
    <row r="2416" spans="1:2" x14ac:dyDescent="0.25">
      <c r="A2416" s="63"/>
      <c r="B2416" s="63"/>
    </row>
    <row r="2417" spans="1:2" x14ac:dyDescent="0.25">
      <c r="A2417" s="63"/>
      <c r="B2417" s="63"/>
    </row>
    <row r="2418" spans="1:2" x14ac:dyDescent="0.25">
      <c r="A2418" s="63"/>
      <c r="B2418" s="63"/>
    </row>
    <row r="2419" spans="1:2" x14ac:dyDescent="0.25">
      <c r="A2419" s="63"/>
      <c r="B2419" s="63"/>
    </row>
    <row r="2420" spans="1:2" x14ac:dyDescent="0.25">
      <c r="A2420" s="63"/>
      <c r="B2420" s="63"/>
    </row>
    <row r="2421" spans="1:2" x14ac:dyDescent="0.25">
      <c r="A2421" s="63"/>
      <c r="B2421" s="63"/>
    </row>
    <row r="2422" spans="1:2" x14ac:dyDescent="0.25">
      <c r="A2422" s="63"/>
      <c r="B2422" s="63"/>
    </row>
    <row r="2423" spans="1:2" x14ac:dyDescent="0.25">
      <c r="A2423" s="63"/>
      <c r="B2423" s="63"/>
    </row>
    <row r="2424" spans="1:2" x14ac:dyDescent="0.25">
      <c r="A2424" s="63"/>
      <c r="B2424" s="63"/>
    </row>
    <row r="2425" spans="1:2" x14ac:dyDescent="0.25">
      <c r="A2425" s="63"/>
      <c r="B2425" s="63"/>
    </row>
    <row r="2426" spans="1:2" x14ac:dyDescent="0.25">
      <c r="A2426" s="63"/>
      <c r="B2426" s="63"/>
    </row>
    <row r="2427" spans="1:2" x14ac:dyDescent="0.25">
      <c r="A2427" s="63"/>
      <c r="B2427" s="63"/>
    </row>
    <row r="2428" spans="1:2" x14ac:dyDescent="0.25">
      <c r="A2428" s="63"/>
      <c r="B2428" s="63"/>
    </row>
    <row r="2429" spans="1:2" x14ac:dyDescent="0.25">
      <c r="A2429" s="63"/>
      <c r="B2429" s="63"/>
    </row>
    <row r="2430" spans="1:2" x14ac:dyDescent="0.25">
      <c r="A2430" s="63"/>
      <c r="B2430" s="63"/>
    </row>
    <row r="2431" spans="1:2" x14ac:dyDescent="0.25">
      <c r="A2431" s="63"/>
      <c r="B2431" s="63"/>
    </row>
    <row r="2432" spans="1:2" x14ac:dyDescent="0.25">
      <c r="A2432" s="63"/>
      <c r="B2432" s="63"/>
    </row>
    <row r="2433" spans="1:2" x14ac:dyDescent="0.25">
      <c r="A2433" s="63"/>
      <c r="B2433" s="63"/>
    </row>
    <row r="2434" spans="1:2" x14ac:dyDescent="0.25">
      <c r="A2434" s="63"/>
      <c r="B2434" s="63"/>
    </row>
    <row r="2435" spans="1:2" x14ac:dyDescent="0.25">
      <c r="A2435" s="63"/>
      <c r="B2435" s="63"/>
    </row>
    <row r="2436" spans="1:2" x14ac:dyDescent="0.25">
      <c r="A2436" s="63"/>
      <c r="B2436" s="63"/>
    </row>
    <row r="2437" spans="1:2" x14ac:dyDescent="0.25">
      <c r="A2437" s="63"/>
      <c r="B2437" s="63"/>
    </row>
    <row r="2438" spans="1:2" x14ac:dyDescent="0.25">
      <c r="A2438" s="63"/>
      <c r="B2438" s="63"/>
    </row>
    <row r="2439" spans="1:2" x14ac:dyDescent="0.25">
      <c r="A2439" s="63"/>
      <c r="B2439" s="63"/>
    </row>
    <row r="2440" spans="1:2" x14ac:dyDescent="0.25">
      <c r="A2440" s="63"/>
      <c r="B2440" s="63"/>
    </row>
    <row r="2441" spans="1:2" x14ac:dyDescent="0.25">
      <c r="A2441" s="63"/>
      <c r="B2441" s="63"/>
    </row>
    <row r="2442" spans="1:2" x14ac:dyDescent="0.25">
      <c r="A2442" s="63"/>
      <c r="B2442" s="63"/>
    </row>
    <row r="2443" spans="1:2" x14ac:dyDescent="0.25">
      <c r="A2443" s="63"/>
      <c r="B2443" s="63"/>
    </row>
    <row r="2444" spans="1:2" x14ac:dyDescent="0.25">
      <c r="A2444" s="63"/>
      <c r="B2444" s="63"/>
    </row>
    <row r="2445" spans="1:2" x14ac:dyDescent="0.25">
      <c r="A2445" s="63"/>
      <c r="B2445" s="63"/>
    </row>
    <row r="2446" spans="1:2" x14ac:dyDescent="0.25">
      <c r="A2446" s="63"/>
      <c r="B2446" s="63"/>
    </row>
    <row r="2447" spans="1:2" x14ac:dyDescent="0.25">
      <c r="A2447" s="63"/>
      <c r="B2447" s="63"/>
    </row>
    <row r="2448" spans="1:2" x14ac:dyDescent="0.25">
      <c r="A2448" s="63"/>
      <c r="B2448" s="63"/>
    </row>
    <row r="2449" spans="1:2" x14ac:dyDescent="0.25">
      <c r="A2449" s="63"/>
      <c r="B2449" s="63"/>
    </row>
    <row r="2450" spans="1:2" x14ac:dyDescent="0.25">
      <c r="A2450" s="63"/>
      <c r="B2450" s="63"/>
    </row>
    <row r="2451" spans="1:2" x14ac:dyDescent="0.25">
      <c r="A2451" s="63"/>
      <c r="B2451" s="63"/>
    </row>
    <row r="2452" spans="1:2" x14ac:dyDescent="0.25">
      <c r="A2452" s="63"/>
      <c r="B2452" s="63"/>
    </row>
    <row r="2453" spans="1:2" x14ac:dyDescent="0.25">
      <c r="A2453" s="63"/>
      <c r="B2453" s="63"/>
    </row>
    <row r="2454" spans="1:2" x14ac:dyDescent="0.25">
      <c r="A2454" s="63"/>
      <c r="B2454" s="63"/>
    </row>
    <row r="2455" spans="1:2" x14ac:dyDescent="0.25">
      <c r="A2455" s="63"/>
      <c r="B2455" s="63"/>
    </row>
    <row r="2456" spans="1:2" x14ac:dyDescent="0.25">
      <c r="A2456" s="63"/>
      <c r="B2456" s="63"/>
    </row>
    <row r="2457" spans="1:2" x14ac:dyDescent="0.25">
      <c r="A2457" s="63"/>
      <c r="B2457" s="63"/>
    </row>
    <row r="2458" spans="1:2" x14ac:dyDescent="0.25">
      <c r="A2458" s="63"/>
      <c r="B2458" s="63"/>
    </row>
    <row r="2459" spans="1:2" x14ac:dyDescent="0.25">
      <c r="A2459" s="63"/>
      <c r="B2459" s="63"/>
    </row>
    <row r="2460" spans="1:2" x14ac:dyDescent="0.25">
      <c r="A2460" s="63"/>
      <c r="B2460" s="63"/>
    </row>
    <row r="2461" spans="1:2" x14ac:dyDescent="0.25">
      <c r="A2461" s="63"/>
      <c r="B2461" s="63"/>
    </row>
    <row r="2462" spans="1:2" x14ac:dyDescent="0.25">
      <c r="A2462" s="63"/>
      <c r="B2462" s="63"/>
    </row>
    <row r="2463" spans="1:2" x14ac:dyDescent="0.25">
      <c r="A2463" s="63"/>
      <c r="B2463" s="63"/>
    </row>
    <row r="2464" spans="1:2" x14ac:dyDescent="0.25">
      <c r="A2464" s="63"/>
      <c r="B2464" s="63"/>
    </row>
    <row r="2465" spans="1:2" x14ac:dyDescent="0.25">
      <c r="A2465" s="63"/>
      <c r="B2465" s="63"/>
    </row>
    <row r="2466" spans="1:2" x14ac:dyDescent="0.25">
      <c r="A2466" s="63"/>
      <c r="B2466" s="63"/>
    </row>
    <row r="2467" spans="1:2" x14ac:dyDescent="0.25">
      <c r="A2467" s="63"/>
      <c r="B2467" s="63"/>
    </row>
    <row r="2468" spans="1:2" x14ac:dyDescent="0.25">
      <c r="A2468" s="63"/>
      <c r="B2468" s="63"/>
    </row>
    <row r="2469" spans="1:2" x14ac:dyDescent="0.25">
      <c r="A2469" s="63"/>
      <c r="B2469" s="63"/>
    </row>
    <row r="2470" spans="1:2" x14ac:dyDescent="0.25">
      <c r="A2470" s="63"/>
      <c r="B2470" s="63"/>
    </row>
    <row r="2471" spans="1:2" x14ac:dyDescent="0.25">
      <c r="A2471" s="63"/>
      <c r="B2471" s="63"/>
    </row>
    <row r="2472" spans="1:2" x14ac:dyDescent="0.25">
      <c r="A2472" s="63"/>
      <c r="B2472" s="63"/>
    </row>
    <row r="2473" spans="1:2" x14ac:dyDescent="0.25">
      <c r="A2473" s="63"/>
      <c r="B2473" s="63"/>
    </row>
    <row r="2474" spans="1:2" x14ac:dyDescent="0.25">
      <c r="A2474" s="63"/>
      <c r="B2474" s="63"/>
    </row>
    <row r="2475" spans="1:2" x14ac:dyDescent="0.25">
      <c r="A2475" s="63"/>
      <c r="B2475" s="63"/>
    </row>
    <row r="2476" spans="1:2" x14ac:dyDescent="0.25">
      <c r="A2476" s="63"/>
      <c r="B2476" s="63"/>
    </row>
    <row r="2477" spans="1:2" x14ac:dyDescent="0.25">
      <c r="A2477" s="63"/>
      <c r="B2477" s="63"/>
    </row>
    <row r="2478" spans="1:2" x14ac:dyDescent="0.25">
      <c r="A2478" s="63"/>
      <c r="B2478" s="63"/>
    </row>
    <row r="2479" spans="1:2" x14ac:dyDescent="0.25">
      <c r="A2479" s="63"/>
      <c r="B2479" s="63"/>
    </row>
    <row r="2480" spans="1:2" x14ac:dyDescent="0.25">
      <c r="A2480" s="63"/>
      <c r="B2480" s="63"/>
    </row>
    <row r="2481" spans="1:2" x14ac:dyDescent="0.25">
      <c r="A2481" s="63"/>
      <c r="B2481" s="63"/>
    </row>
    <row r="2482" spans="1:2" x14ac:dyDescent="0.25">
      <c r="A2482" s="63"/>
      <c r="B2482" s="63"/>
    </row>
    <row r="2483" spans="1:2" x14ac:dyDescent="0.25">
      <c r="A2483" s="63"/>
      <c r="B2483" s="63"/>
    </row>
    <row r="2484" spans="1:2" x14ac:dyDescent="0.25">
      <c r="A2484" s="63"/>
      <c r="B2484" s="63"/>
    </row>
    <row r="2485" spans="1:2" x14ac:dyDescent="0.25">
      <c r="A2485" s="63"/>
      <c r="B2485" s="63"/>
    </row>
    <row r="2486" spans="1:2" x14ac:dyDescent="0.25">
      <c r="A2486" s="63"/>
      <c r="B2486" s="63"/>
    </row>
    <row r="2487" spans="1:2" x14ac:dyDescent="0.25">
      <c r="A2487" s="63"/>
      <c r="B2487" s="63"/>
    </row>
    <row r="2488" spans="1:2" x14ac:dyDescent="0.25">
      <c r="A2488" s="63"/>
      <c r="B2488" s="63"/>
    </row>
    <row r="2489" spans="1:2" x14ac:dyDescent="0.25">
      <c r="A2489" s="63"/>
      <c r="B2489" s="63"/>
    </row>
    <row r="2490" spans="1:2" x14ac:dyDescent="0.25">
      <c r="A2490" s="63"/>
      <c r="B2490" s="63"/>
    </row>
    <row r="2491" spans="1:2" x14ac:dyDescent="0.25">
      <c r="A2491" s="63"/>
      <c r="B2491" s="63"/>
    </row>
    <row r="2492" spans="1:2" x14ac:dyDescent="0.25">
      <c r="A2492" s="63"/>
      <c r="B2492" s="63"/>
    </row>
    <row r="2493" spans="1:2" x14ac:dyDescent="0.25">
      <c r="A2493" s="63"/>
      <c r="B2493" s="63"/>
    </row>
    <row r="2494" spans="1:2" x14ac:dyDescent="0.25">
      <c r="A2494" s="63"/>
      <c r="B2494" s="63"/>
    </row>
    <row r="2495" spans="1:2" x14ac:dyDescent="0.25">
      <c r="A2495" s="63"/>
      <c r="B2495" s="63"/>
    </row>
    <row r="2496" spans="1:2" x14ac:dyDescent="0.25">
      <c r="A2496" s="63"/>
      <c r="B2496" s="63"/>
    </row>
    <row r="2497" spans="1:2" x14ac:dyDescent="0.25">
      <c r="A2497" s="63"/>
      <c r="B2497" s="63"/>
    </row>
    <row r="2498" spans="1:2" x14ac:dyDescent="0.25">
      <c r="A2498" s="63"/>
      <c r="B2498" s="63"/>
    </row>
    <row r="2499" spans="1:2" x14ac:dyDescent="0.25">
      <c r="A2499" s="63"/>
      <c r="B2499" s="63"/>
    </row>
    <row r="2500" spans="1:2" x14ac:dyDescent="0.25">
      <c r="A2500" s="63"/>
      <c r="B2500" s="63"/>
    </row>
    <row r="2501" spans="1:2" x14ac:dyDescent="0.25">
      <c r="A2501" s="63"/>
      <c r="B2501" s="63"/>
    </row>
    <row r="2502" spans="1:2" x14ac:dyDescent="0.25">
      <c r="A2502" s="63"/>
      <c r="B2502" s="63"/>
    </row>
    <row r="2503" spans="1:2" x14ac:dyDescent="0.25">
      <c r="A2503" s="63"/>
      <c r="B2503" s="63"/>
    </row>
    <row r="2504" spans="1:2" x14ac:dyDescent="0.25">
      <c r="A2504" s="63"/>
      <c r="B2504" s="63"/>
    </row>
    <row r="2505" spans="1:2" x14ac:dyDescent="0.25">
      <c r="A2505" s="63"/>
      <c r="B2505" s="63"/>
    </row>
    <row r="2506" spans="1:2" x14ac:dyDescent="0.25">
      <c r="A2506" s="63"/>
      <c r="B2506" s="63"/>
    </row>
    <row r="2507" spans="1:2" x14ac:dyDescent="0.25">
      <c r="A2507" s="63"/>
      <c r="B2507" s="63"/>
    </row>
    <row r="2508" spans="1:2" x14ac:dyDescent="0.25">
      <c r="A2508" s="63"/>
      <c r="B2508" s="63"/>
    </row>
    <row r="2509" spans="1:2" x14ac:dyDescent="0.25">
      <c r="A2509" s="63"/>
      <c r="B2509" s="63"/>
    </row>
    <row r="2510" spans="1:2" x14ac:dyDescent="0.25">
      <c r="A2510" s="63"/>
      <c r="B2510" s="63"/>
    </row>
    <row r="2511" spans="1:2" x14ac:dyDescent="0.25">
      <c r="A2511" s="63"/>
      <c r="B2511" s="63"/>
    </row>
    <row r="2512" spans="1:2" x14ac:dyDescent="0.25">
      <c r="A2512" s="63"/>
      <c r="B2512" s="63"/>
    </row>
    <row r="2513" spans="1:2" x14ac:dyDescent="0.25">
      <c r="A2513" s="63"/>
      <c r="B2513" s="63"/>
    </row>
    <row r="2514" spans="1:2" x14ac:dyDescent="0.25">
      <c r="A2514" s="63"/>
      <c r="B2514" s="63"/>
    </row>
    <row r="2515" spans="1:2" x14ac:dyDescent="0.25">
      <c r="A2515" s="63"/>
      <c r="B2515" s="63"/>
    </row>
    <row r="2516" spans="1:2" x14ac:dyDescent="0.25">
      <c r="A2516" s="63"/>
      <c r="B2516" s="63"/>
    </row>
    <row r="2517" spans="1:2" x14ac:dyDescent="0.25">
      <c r="A2517" s="63"/>
      <c r="B2517" s="63"/>
    </row>
    <row r="2518" spans="1:2" x14ac:dyDescent="0.25">
      <c r="A2518" s="63"/>
      <c r="B2518" s="63"/>
    </row>
    <row r="2519" spans="1:2" x14ac:dyDescent="0.25">
      <c r="A2519" s="63"/>
      <c r="B2519" s="63"/>
    </row>
    <row r="2520" spans="1:2" x14ac:dyDescent="0.25">
      <c r="A2520" s="63"/>
      <c r="B2520" s="63"/>
    </row>
    <row r="2521" spans="1:2" x14ac:dyDescent="0.25">
      <c r="A2521" s="63"/>
      <c r="B2521" s="63"/>
    </row>
    <row r="2522" spans="1:2" x14ac:dyDescent="0.25">
      <c r="A2522" s="63"/>
      <c r="B2522" s="63"/>
    </row>
    <row r="2523" spans="1:2" x14ac:dyDescent="0.25">
      <c r="A2523" s="63"/>
      <c r="B2523" s="63"/>
    </row>
    <row r="2524" spans="1:2" x14ac:dyDescent="0.25">
      <c r="A2524" s="63"/>
      <c r="B2524" s="63"/>
    </row>
    <row r="2525" spans="1:2" x14ac:dyDescent="0.25">
      <c r="A2525" s="63"/>
      <c r="B2525" s="63"/>
    </row>
    <row r="2526" spans="1:2" x14ac:dyDescent="0.25">
      <c r="A2526" s="63"/>
      <c r="B2526" s="63"/>
    </row>
    <row r="2527" spans="1:2" x14ac:dyDescent="0.25">
      <c r="A2527" s="63"/>
      <c r="B2527" s="63"/>
    </row>
    <row r="2528" spans="1:2" x14ac:dyDescent="0.25">
      <c r="A2528" s="63"/>
      <c r="B2528" s="63"/>
    </row>
    <row r="2529" spans="1:2" x14ac:dyDescent="0.25">
      <c r="A2529" s="63"/>
      <c r="B2529" s="63"/>
    </row>
    <row r="2530" spans="1:2" x14ac:dyDescent="0.25">
      <c r="A2530" s="63"/>
      <c r="B2530" s="63"/>
    </row>
    <row r="2531" spans="1:2" x14ac:dyDescent="0.25">
      <c r="A2531" s="63"/>
      <c r="B2531" s="63"/>
    </row>
    <row r="2532" spans="1:2" x14ac:dyDescent="0.25">
      <c r="A2532" s="63"/>
      <c r="B2532" s="63"/>
    </row>
    <row r="2533" spans="1:2" x14ac:dyDescent="0.25">
      <c r="A2533" s="63"/>
      <c r="B2533" s="63"/>
    </row>
    <row r="2534" spans="1:2" x14ac:dyDescent="0.25">
      <c r="A2534" s="63"/>
      <c r="B2534" s="63"/>
    </row>
    <row r="2535" spans="1:2" x14ac:dyDescent="0.25">
      <c r="A2535" s="63"/>
      <c r="B2535" s="63"/>
    </row>
    <row r="2536" spans="1:2" x14ac:dyDescent="0.25">
      <c r="A2536" s="63"/>
      <c r="B2536" s="63"/>
    </row>
    <row r="2537" spans="1:2" x14ac:dyDescent="0.25">
      <c r="A2537" s="63"/>
      <c r="B2537" s="63"/>
    </row>
    <row r="2538" spans="1:2" x14ac:dyDescent="0.25">
      <c r="A2538" s="63"/>
      <c r="B2538" s="63"/>
    </row>
    <row r="2539" spans="1:2" x14ac:dyDescent="0.25">
      <c r="A2539" s="63"/>
      <c r="B2539" s="63"/>
    </row>
    <row r="2540" spans="1:2" x14ac:dyDescent="0.25">
      <c r="A2540" s="63"/>
      <c r="B2540" s="63"/>
    </row>
    <row r="2541" spans="1:2" x14ac:dyDescent="0.25">
      <c r="A2541" s="63"/>
      <c r="B2541" s="63"/>
    </row>
    <row r="2542" spans="1:2" x14ac:dyDescent="0.25">
      <c r="A2542" s="63"/>
      <c r="B2542" s="63"/>
    </row>
    <row r="2543" spans="1:2" x14ac:dyDescent="0.25">
      <c r="A2543" s="63"/>
      <c r="B2543" s="63"/>
    </row>
    <row r="2544" spans="1:2" x14ac:dyDescent="0.25">
      <c r="A2544" s="63"/>
      <c r="B2544" s="63"/>
    </row>
    <row r="2545" spans="1:2" x14ac:dyDescent="0.25">
      <c r="A2545" s="63"/>
      <c r="B2545" s="63"/>
    </row>
    <row r="2546" spans="1:2" x14ac:dyDescent="0.25">
      <c r="A2546" s="63"/>
      <c r="B2546" s="63"/>
    </row>
    <row r="2547" spans="1:2" x14ac:dyDescent="0.25">
      <c r="A2547" s="63"/>
      <c r="B2547" s="63"/>
    </row>
    <row r="2548" spans="1:2" x14ac:dyDescent="0.25">
      <c r="A2548" s="63"/>
      <c r="B2548" s="63"/>
    </row>
    <row r="2549" spans="1:2" x14ac:dyDescent="0.25">
      <c r="A2549" s="63"/>
      <c r="B2549" s="63"/>
    </row>
    <row r="2550" spans="1:2" x14ac:dyDescent="0.25">
      <c r="A2550" s="63"/>
      <c r="B2550" s="63"/>
    </row>
    <row r="2551" spans="1:2" x14ac:dyDescent="0.25">
      <c r="A2551" s="63"/>
      <c r="B2551" s="63"/>
    </row>
    <row r="2552" spans="1:2" x14ac:dyDescent="0.25">
      <c r="A2552" s="63"/>
      <c r="B2552" s="63"/>
    </row>
    <row r="2553" spans="1:2" x14ac:dyDescent="0.25">
      <c r="A2553" s="63"/>
      <c r="B2553" s="63"/>
    </row>
    <row r="2554" spans="1:2" x14ac:dyDescent="0.25">
      <c r="A2554" s="63"/>
      <c r="B2554" s="63"/>
    </row>
    <row r="2555" spans="1:2" x14ac:dyDescent="0.25">
      <c r="A2555" s="63"/>
      <c r="B2555" s="63"/>
    </row>
    <row r="2556" spans="1:2" x14ac:dyDescent="0.25">
      <c r="A2556" s="63"/>
      <c r="B2556" s="63"/>
    </row>
    <row r="2557" spans="1:2" x14ac:dyDescent="0.25">
      <c r="A2557" s="63"/>
      <c r="B2557" s="63"/>
    </row>
    <row r="2558" spans="1:2" x14ac:dyDescent="0.25">
      <c r="A2558" s="63"/>
      <c r="B2558" s="63"/>
    </row>
    <row r="2559" spans="1:2" x14ac:dyDescent="0.25">
      <c r="A2559" s="63"/>
      <c r="B2559" s="63"/>
    </row>
    <row r="2560" spans="1:2" x14ac:dyDescent="0.25">
      <c r="A2560" s="63"/>
      <c r="B2560" s="63"/>
    </row>
    <row r="2561" spans="1:2" x14ac:dyDescent="0.25">
      <c r="A2561" s="63"/>
      <c r="B2561" s="63"/>
    </row>
    <row r="2562" spans="1:2" x14ac:dyDescent="0.25">
      <c r="A2562" s="63"/>
      <c r="B2562" s="63"/>
    </row>
    <row r="2563" spans="1:2" x14ac:dyDescent="0.25">
      <c r="A2563" s="63"/>
      <c r="B2563" s="63"/>
    </row>
    <row r="2564" spans="1:2" x14ac:dyDescent="0.25">
      <c r="A2564" s="63"/>
      <c r="B2564" s="63"/>
    </row>
    <row r="2565" spans="1:2" x14ac:dyDescent="0.25">
      <c r="A2565" s="63"/>
      <c r="B2565" s="63"/>
    </row>
    <row r="2566" spans="1:2" x14ac:dyDescent="0.25">
      <c r="A2566" s="63"/>
      <c r="B2566" s="63"/>
    </row>
    <row r="2567" spans="1:2" x14ac:dyDescent="0.25">
      <c r="A2567" s="63"/>
      <c r="B2567" s="63"/>
    </row>
    <row r="2568" spans="1:2" x14ac:dyDescent="0.25">
      <c r="A2568" s="63"/>
      <c r="B2568" s="63"/>
    </row>
    <row r="2569" spans="1:2" x14ac:dyDescent="0.25">
      <c r="A2569" s="63"/>
      <c r="B2569" s="63"/>
    </row>
    <row r="2570" spans="1:2" x14ac:dyDescent="0.25">
      <c r="A2570" s="63"/>
      <c r="B2570" s="63"/>
    </row>
    <row r="2571" spans="1:2" x14ac:dyDescent="0.25">
      <c r="A2571" s="63"/>
      <c r="B2571" s="63"/>
    </row>
    <row r="2572" spans="1:2" x14ac:dyDescent="0.25">
      <c r="A2572" s="63"/>
      <c r="B2572" s="63"/>
    </row>
    <row r="2573" spans="1:2" x14ac:dyDescent="0.25">
      <c r="A2573" s="63"/>
      <c r="B2573" s="63"/>
    </row>
    <row r="2574" spans="1:2" x14ac:dyDescent="0.25">
      <c r="A2574" s="63"/>
      <c r="B2574" s="63"/>
    </row>
    <row r="2575" spans="1:2" x14ac:dyDescent="0.25">
      <c r="A2575" s="63"/>
      <c r="B2575" s="63"/>
    </row>
    <row r="2576" spans="1:2" x14ac:dyDescent="0.25">
      <c r="A2576" s="63"/>
      <c r="B2576" s="63"/>
    </row>
    <row r="2577" spans="1:2" x14ac:dyDescent="0.25">
      <c r="A2577" s="63"/>
      <c r="B2577" s="63"/>
    </row>
    <row r="2578" spans="1:2" x14ac:dyDescent="0.25">
      <c r="A2578" s="63"/>
      <c r="B2578" s="63"/>
    </row>
    <row r="2579" spans="1:2" x14ac:dyDescent="0.25">
      <c r="A2579" s="63"/>
      <c r="B2579" s="63"/>
    </row>
    <row r="2580" spans="1:2" x14ac:dyDescent="0.25">
      <c r="A2580" s="63"/>
      <c r="B2580" s="63"/>
    </row>
    <row r="2581" spans="1:2" x14ac:dyDescent="0.25">
      <c r="A2581" s="63"/>
      <c r="B2581" s="63"/>
    </row>
    <row r="2582" spans="1:2" x14ac:dyDescent="0.25">
      <c r="A2582" s="63"/>
      <c r="B2582" s="63"/>
    </row>
    <row r="2583" spans="1:2" x14ac:dyDescent="0.25">
      <c r="A2583" s="63"/>
      <c r="B2583" s="63"/>
    </row>
    <row r="2584" spans="1:2" x14ac:dyDescent="0.25">
      <c r="A2584" s="63"/>
      <c r="B2584" s="63"/>
    </row>
    <row r="2585" spans="1:2" x14ac:dyDescent="0.25">
      <c r="A2585" s="63"/>
      <c r="B2585" s="63"/>
    </row>
    <row r="2586" spans="1:2" x14ac:dyDescent="0.25">
      <c r="A2586" s="63"/>
      <c r="B2586" s="63"/>
    </row>
    <row r="2587" spans="1:2" x14ac:dyDescent="0.25">
      <c r="A2587" s="63"/>
      <c r="B2587" s="63"/>
    </row>
    <row r="2588" spans="1:2" x14ac:dyDescent="0.25">
      <c r="A2588" s="63"/>
      <c r="B2588" s="63"/>
    </row>
    <row r="2589" spans="1:2" x14ac:dyDescent="0.25">
      <c r="A2589" s="63"/>
      <c r="B2589" s="63"/>
    </row>
    <row r="2590" spans="1:2" x14ac:dyDescent="0.25">
      <c r="A2590" s="63"/>
      <c r="B2590" s="63"/>
    </row>
    <row r="2591" spans="1:2" x14ac:dyDescent="0.25">
      <c r="A2591" s="63"/>
      <c r="B2591" s="63"/>
    </row>
    <row r="2592" spans="1:2" x14ac:dyDescent="0.25">
      <c r="A2592" s="63"/>
      <c r="B2592" s="63"/>
    </row>
    <row r="2593" spans="1:2" x14ac:dyDescent="0.25">
      <c r="A2593" s="63"/>
      <c r="B2593" s="63"/>
    </row>
    <row r="2594" spans="1:2" x14ac:dyDescent="0.25">
      <c r="A2594" s="63"/>
      <c r="B2594" s="63"/>
    </row>
    <row r="2595" spans="1:2" x14ac:dyDescent="0.25">
      <c r="A2595" s="63"/>
      <c r="B2595" s="63"/>
    </row>
    <row r="2596" spans="1:2" x14ac:dyDescent="0.25">
      <c r="A2596" s="63"/>
      <c r="B2596" s="63"/>
    </row>
    <row r="2597" spans="1:2" x14ac:dyDescent="0.25">
      <c r="A2597" s="63"/>
      <c r="B2597" s="63"/>
    </row>
    <row r="2598" spans="1:2" x14ac:dyDescent="0.25">
      <c r="A2598" s="63"/>
      <c r="B2598" s="63"/>
    </row>
    <row r="2599" spans="1:2" x14ac:dyDescent="0.25">
      <c r="A2599" s="63"/>
      <c r="B2599" s="63"/>
    </row>
    <row r="2600" spans="1:2" x14ac:dyDescent="0.25">
      <c r="A2600" s="63"/>
      <c r="B2600" s="63"/>
    </row>
    <row r="2601" spans="1:2" x14ac:dyDescent="0.25">
      <c r="A2601" s="63"/>
      <c r="B2601" s="63"/>
    </row>
    <row r="2602" spans="1:2" x14ac:dyDescent="0.25">
      <c r="A2602" s="63"/>
      <c r="B2602" s="63"/>
    </row>
    <row r="2603" spans="1:2" x14ac:dyDescent="0.25">
      <c r="A2603" s="63"/>
      <c r="B2603" s="63"/>
    </row>
    <row r="2604" spans="1:2" x14ac:dyDescent="0.25">
      <c r="A2604" s="63"/>
      <c r="B2604" s="63"/>
    </row>
    <row r="2605" spans="1:2" x14ac:dyDescent="0.25">
      <c r="A2605" s="63"/>
      <c r="B2605" s="63"/>
    </row>
    <row r="2606" spans="1:2" x14ac:dyDescent="0.25">
      <c r="A2606" s="63"/>
      <c r="B2606" s="63"/>
    </row>
    <row r="2607" spans="1:2" x14ac:dyDescent="0.25">
      <c r="A2607" s="63"/>
      <c r="B2607" s="63"/>
    </row>
    <row r="2608" spans="1:2" x14ac:dyDescent="0.25">
      <c r="A2608" s="63"/>
      <c r="B2608" s="63"/>
    </row>
    <row r="2609" spans="1:2" x14ac:dyDescent="0.25">
      <c r="A2609" s="63"/>
      <c r="B2609" s="63"/>
    </row>
    <row r="2610" spans="1:2" x14ac:dyDescent="0.25">
      <c r="A2610" s="63"/>
      <c r="B2610" s="63"/>
    </row>
    <row r="2611" spans="1:2" x14ac:dyDescent="0.25">
      <c r="A2611" s="63"/>
      <c r="B2611" s="63"/>
    </row>
    <row r="2612" spans="1:2" x14ac:dyDescent="0.25">
      <c r="A2612" s="63"/>
      <c r="B2612" s="63"/>
    </row>
    <row r="2613" spans="1:2" x14ac:dyDescent="0.25">
      <c r="A2613" s="63"/>
      <c r="B2613" s="63"/>
    </row>
    <row r="2614" spans="1:2" x14ac:dyDescent="0.25">
      <c r="A2614" s="63"/>
      <c r="B2614" s="63"/>
    </row>
    <row r="2615" spans="1:2" x14ac:dyDescent="0.25">
      <c r="A2615" s="63"/>
      <c r="B2615" s="63"/>
    </row>
    <row r="2616" spans="1:2" x14ac:dyDescent="0.25">
      <c r="A2616" s="63"/>
      <c r="B2616" s="63"/>
    </row>
    <row r="2617" spans="1:2" x14ac:dyDescent="0.25">
      <c r="A2617" s="63"/>
      <c r="B2617" s="63"/>
    </row>
    <row r="2618" spans="1:2" x14ac:dyDescent="0.25">
      <c r="A2618" s="63"/>
      <c r="B2618" s="63"/>
    </row>
    <row r="2619" spans="1:2" x14ac:dyDescent="0.25">
      <c r="A2619" s="63"/>
      <c r="B2619" s="63"/>
    </row>
    <row r="2620" spans="1:2" x14ac:dyDescent="0.25">
      <c r="A2620" s="63"/>
      <c r="B2620" s="63"/>
    </row>
    <row r="2621" spans="1:2" x14ac:dyDescent="0.25">
      <c r="A2621" s="63"/>
      <c r="B2621" s="63"/>
    </row>
    <row r="2622" spans="1:2" x14ac:dyDescent="0.25">
      <c r="A2622" s="63"/>
      <c r="B2622" s="63"/>
    </row>
    <row r="2623" spans="1:2" x14ac:dyDescent="0.25">
      <c r="A2623" s="63"/>
      <c r="B2623" s="63"/>
    </row>
    <row r="2624" spans="1:2" x14ac:dyDescent="0.25">
      <c r="A2624" s="63"/>
      <c r="B2624" s="63"/>
    </row>
    <row r="2625" spans="1:2" x14ac:dyDescent="0.25">
      <c r="A2625" s="63"/>
      <c r="B2625" s="63"/>
    </row>
    <row r="2626" spans="1:2" x14ac:dyDescent="0.25">
      <c r="A2626" s="63"/>
      <c r="B2626" s="63"/>
    </row>
    <row r="2627" spans="1:2" x14ac:dyDescent="0.25">
      <c r="A2627" s="63"/>
      <c r="B2627" s="63"/>
    </row>
    <row r="2628" spans="1:2" x14ac:dyDescent="0.25">
      <c r="A2628" s="63"/>
      <c r="B2628" s="63"/>
    </row>
    <row r="2629" spans="1:2" x14ac:dyDescent="0.25">
      <c r="A2629" s="63"/>
      <c r="B2629" s="63"/>
    </row>
    <row r="2630" spans="1:2" x14ac:dyDescent="0.25">
      <c r="A2630" s="63"/>
      <c r="B2630" s="63"/>
    </row>
    <row r="2631" spans="1:2" x14ac:dyDescent="0.25">
      <c r="A2631" s="63"/>
      <c r="B2631" s="63"/>
    </row>
    <row r="2632" spans="1:2" x14ac:dyDescent="0.25">
      <c r="A2632" s="63"/>
      <c r="B2632" s="63"/>
    </row>
    <row r="2633" spans="1:2" x14ac:dyDescent="0.25">
      <c r="A2633" s="63"/>
      <c r="B2633" s="63"/>
    </row>
    <row r="2634" spans="1:2" x14ac:dyDescent="0.25">
      <c r="A2634" s="63"/>
      <c r="B2634" s="63"/>
    </row>
    <row r="2635" spans="1:2" x14ac:dyDescent="0.25">
      <c r="A2635" s="63"/>
      <c r="B2635" s="63"/>
    </row>
    <row r="2636" spans="1:2" x14ac:dyDescent="0.25">
      <c r="A2636" s="63"/>
      <c r="B2636" s="63"/>
    </row>
    <row r="2637" spans="1:2" x14ac:dyDescent="0.25">
      <c r="A2637" s="63"/>
      <c r="B2637" s="63"/>
    </row>
    <row r="2638" spans="1:2" x14ac:dyDescent="0.25">
      <c r="A2638" s="63"/>
      <c r="B2638" s="63"/>
    </row>
    <row r="2639" spans="1:2" x14ac:dyDescent="0.25">
      <c r="A2639" s="63"/>
      <c r="B2639" s="63"/>
    </row>
    <row r="2640" spans="1:2" x14ac:dyDescent="0.25">
      <c r="A2640" s="63"/>
      <c r="B2640" s="63"/>
    </row>
    <row r="2641" spans="1:2" x14ac:dyDescent="0.25">
      <c r="A2641" s="63"/>
      <c r="B2641" s="63"/>
    </row>
    <row r="2642" spans="1:2" x14ac:dyDescent="0.25">
      <c r="A2642" s="63"/>
      <c r="B2642" s="63"/>
    </row>
    <row r="2643" spans="1:2" x14ac:dyDescent="0.25">
      <c r="A2643" s="63"/>
      <c r="B2643" s="63"/>
    </row>
    <row r="2644" spans="1:2" x14ac:dyDescent="0.25">
      <c r="A2644" s="63"/>
      <c r="B2644" s="63"/>
    </row>
    <row r="2645" spans="1:2" x14ac:dyDescent="0.25">
      <c r="A2645" s="63"/>
      <c r="B2645" s="63"/>
    </row>
    <row r="2646" spans="1:2" x14ac:dyDescent="0.25">
      <c r="A2646" s="63"/>
      <c r="B2646" s="63"/>
    </row>
    <row r="2647" spans="1:2" x14ac:dyDescent="0.25">
      <c r="A2647" s="63"/>
      <c r="B2647" s="63"/>
    </row>
    <row r="2648" spans="1:2" x14ac:dyDescent="0.25">
      <c r="A2648" s="63"/>
      <c r="B2648" s="63"/>
    </row>
    <row r="2649" spans="1:2" x14ac:dyDescent="0.25">
      <c r="A2649" s="63"/>
      <c r="B2649" s="63"/>
    </row>
    <row r="2650" spans="1:2" x14ac:dyDescent="0.25">
      <c r="A2650" s="63"/>
      <c r="B2650" s="63"/>
    </row>
    <row r="2651" spans="1:2" x14ac:dyDescent="0.25">
      <c r="A2651" s="63"/>
      <c r="B2651" s="63"/>
    </row>
    <row r="2652" spans="1:2" x14ac:dyDescent="0.25">
      <c r="A2652" s="63"/>
      <c r="B2652" s="63"/>
    </row>
    <row r="2653" spans="1:2" x14ac:dyDescent="0.25">
      <c r="A2653" s="63"/>
      <c r="B2653" s="63"/>
    </row>
    <row r="2654" spans="1:2" x14ac:dyDescent="0.25">
      <c r="A2654" s="63"/>
      <c r="B2654" s="63"/>
    </row>
    <row r="2655" spans="1:2" x14ac:dyDescent="0.25">
      <c r="A2655" s="63"/>
      <c r="B2655" s="63"/>
    </row>
    <row r="2656" spans="1:2" x14ac:dyDescent="0.25">
      <c r="A2656" s="63"/>
      <c r="B2656" s="63"/>
    </row>
    <row r="2657" spans="1:2" x14ac:dyDescent="0.25">
      <c r="A2657" s="63"/>
      <c r="B2657" s="63"/>
    </row>
    <row r="2658" spans="1:2" x14ac:dyDescent="0.25">
      <c r="A2658" s="63"/>
      <c r="B2658" s="63"/>
    </row>
    <row r="2659" spans="1:2" x14ac:dyDescent="0.25">
      <c r="A2659" s="63"/>
      <c r="B2659" s="63"/>
    </row>
    <row r="2660" spans="1:2" x14ac:dyDescent="0.25">
      <c r="A2660" s="63"/>
      <c r="B2660" s="63"/>
    </row>
    <row r="2661" spans="1:2" x14ac:dyDescent="0.25">
      <c r="A2661" s="63"/>
      <c r="B2661" s="63"/>
    </row>
    <row r="2662" spans="1:2" x14ac:dyDescent="0.25">
      <c r="A2662" s="63"/>
      <c r="B2662" s="63"/>
    </row>
    <row r="2663" spans="1:2" x14ac:dyDescent="0.25">
      <c r="A2663" s="63"/>
      <c r="B2663" s="63"/>
    </row>
    <row r="2664" spans="1:2" x14ac:dyDescent="0.25">
      <c r="A2664" s="63"/>
      <c r="B2664" s="63"/>
    </row>
    <row r="2665" spans="1:2" x14ac:dyDescent="0.25">
      <c r="A2665" s="63"/>
      <c r="B2665" s="63"/>
    </row>
    <row r="2666" spans="1:2" x14ac:dyDescent="0.25">
      <c r="A2666" s="63"/>
      <c r="B2666" s="63"/>
    </row>
    <row r="2667" spans="1:2" x14ac:dyDescent="0.25">
      <c r="A2667" s="63"/>
      <c r="B2667" s="63"/>
    </row>
    <row r="2668" spans="1:2" x14ac:dyDescent="0.25">
      <c r="A2668" s="63"/>
      <c r="B2668" s="63"/>
    </row>
    <row r="2669" spans="1:2" x14ac:dyDescent="0.25">
      <c r="A2669" s="63"/>
      <c r="B2669" s="63"/>
    </row>
    <row r="2670" spans="1:2" x14ac:dyDescent="0.25">
      <c r="A2670" s="63"/>
      <c r="B2670" s="63"/>
    </row>
    <row r="2671" spans="1:2" x14ac:dyDescent="0.25">
      <c r="A2671" s="63"/>
      <c r="B2671" s="63"/>
    </row>
    <row r="2672" spans="1:2" x14ac:dyDescent="0.25">
      <c r="A2672" s="63"/>
      <c r="B2672" s="63"/>
    </row>
    <row r="2673" spans="1:2" x14ac:dyDescent="0.25">
      <c r="A2673" s="63"/>
      <c r="B2673" s="63"/>
    </row>
    <row r="2674" spans="1:2" x14ac:dyDescent="0.25">
      <c r="A2674" s="63"/>
      <c r="B2674" s="63"/>
    </row>
    <row r="2675" spans="1:2" x14ac:dyDescent="0.25">
      <c r="A2675" s="63"/>
      <c r="B2675" s="63"/>
    </row>
    <row r="2676" spans="1:2" x14ac:dyDescent="0.25">
      <c r="A2676" s="63"/>
      <c r="B2676" s="63"/>
    </row>
    <row r="2677" spans="1:2" x14ac:dyDescent="0.25">
      <c r="A2677" s="63"/>
      <c r="B2677" s="63"/>
    </row>
    <row r="2678" spans="1:2" x14ac:dyDescent="0.25">
      <c r="A2678" s="63"/>
      <c r="B2678" s="63"/>
    </row>
    <row r="2679" spans="1:2" x14ac:dyDescent="0.25">
      <c r="A2679" s="63"/>
      <c r="B2679" s="63"/>
    </row>
    <row r="2680" spans="1:2" x14ac:dyDescent="0.25">
      <c r="A2680" s="63"/>
      <c r="B2680" s="63"/>
    </row>
    <row r="2681" spans="1:2" x14ac:dyDescent="0.25">
      <c r="A2681" s="63"/>
      <c r="B2681" s="63"/>
    </row>
    <row r="2682" spans="1:2" x14ac:dyDescent="0.25">
      <c r="A2682" s="63"/>
      <c r="B2682" s="63"/>
    </row>
    <row r="2683" spans="1:2" x14ac:dyDescent="0.25">
      <c r="A2683" s="63"/>
      <c r="B2683" s="63"/>
    </row>
    <row r="2684" spans="1:2" x14ac:dyDescent="0.25">
      <c r="A2684" s="63"/>
      <c r="B2684" s="63"/>
    </row>
    <row r="2685" spans="1:2" x14ac:dyDescent="0.25">
      <c r="A2685" s="63"/>
      <c r="B2685" s="63"/>
    </row>
    <row r="2686" spans="1:2" x14ac:dyDescent="0.25">
      <c r="A2686" s="63"/>
      <c r="B2686" s="63"/>
    </row>
    <row r="2687" spans="1:2" x14ac:dyDescent="0.25">
      <c r="A2687" s="63"/>
      <c r="B2687" s="63"/>
    </row>
    <row r="2688" spans="1:2" x14ac:dyDescent="0.25">
      <c r="A2688" s="63"/>
      <c r="B2688" s="63"/>
    </row>
    <row r="2689" spans="1:2" x14ac:dyDescent="0.25">
      <c r="A2689" s="63"/>
      <c r="B2689" s="63"/>
    </row>
    <row r="2690" spans="1:2" x14ac:dyDescent="0.25">
      <c r="A2690" s="63"/>
      <c r="B2690" s="63"/>
    </row>
    <row r="2691" spans="1:2" x14ac:dyDescent="0.25">
      <c r="A2691" s="63"/>
      <c r="B2691" s="63"/>
    </row>
    <row r="2692" spans="1:2" x14ac:dyDescent="0.25">
      <c r="A2692" s="63"/>
      <c r="B2692" s="63"/>
    </row>
    <row r="2693" spans="1:2" x14ac:dyDescent="0.25">
      <c r="A2693" s="63"/>
      <c r="B2693" s="63"/>
    </row>
    <row r="2694" spans="1:2" x14ac:dyDescent="0.25">
      <c r="A2694" s="63"/>
      <c r="B2694" s="63"/>
    </row>
    <row r="2695" spans="1:2" x14ac:dyDescent="0.25">
      <c r="A2695" s="63"/>
      <c r="B2695" s="63"/>
    </row>
    <row r="2696" spans="1:2" x14ac:dyDescent="0.25">
      <c r="A2696" s="63"/>
      <c r="B2696" s="63"/>
    </row>
    <row r="2697" spans="1:2" x14ac:dyDescent="0.25">
      <c r="A2697" s="63"/>
      <c r="B2697" s="63"/>
    </row>
    <row r="2698" spans="1:2" x14ac:dyDescent="0.25">
      <c r="A2698" s="63"/>
      <c r="B2698" s="63"/>
    </row>
    <row r="2699" spans="1:2" x14ac:dyDescent="0.25">
      <c r="A2699" s="63"/>
      <c r="B2699" s="63"/>
    </row>
    <row r="2700" spans="1:2" x14ac:dyDescent="0.25">
      <c r="A2700" s="63"/>
      <c r="B2700" s="63"/>
    </row>
    <row r="2701" spans="1:2" x14ac:dyDescent="0.25">
      <c r="A2701" s="63"/>
      <c r="B2701" s="63"/>
    </row>
    <row r="2702" spans="1:2" x14ac:dyDescent="0.25">
      <c r="A2702" s="63"/>
      <c r="B2702" s="63"/>
    </row>
    <row r="2703" spans="1:2" x14ac:dyDescent="0.25">
      <c r="A2703" s="63"/>
      <c r="B2703" s="63"/>
    </row>
    <row r="2704" spans="1:2" x14ac:dyDescent="0.25">
      <c r="A2704" s="63"/>
      <c r="B2704" s="63"/>
    </row>
    <row r="2705" spans="1:2" x14ac:dyDescent="0.25">
      <c r="A2705" s="63"/>
      <c r="B2705" s="63"/>
    </row>
    <row r="2706" spans="1:2" x14ac:dyDescent="0.25">
      <c r="A2706" s="63"/>
      <c r="B2706" s="63"/>
    </row>
    <row r="2707" spans="1:2" x14ac:dyDescent="0.25">
      <c r="A2707" s="63"/>
      <c r="B2707" s="63"/>
    </row>
    <row r="2708" spans="1:2" x14ac:dyDescent="0.25">
      <c r="A2708" s="63"/>
      <c r="B2708" s="63"/>
    </row>
    <row r="2709" spans="1:2" x14ac:dyDescent="0.25">
      <c r="A2709" s="63"/>
      <c r="B2709" s="63"/>
    </row>
    <row r="2710" spans="1:2" x14ac:dyDescent="0.25">
      <c r="A2710" s="63"/>
      <c r="B2710" s="63"/>
    </row>
    <row r="2711" spans="1:2" x14ac:dyDescent="0.25">
      <c r="A2711" s="63"/>
      <c r="B2711" s="63"/>
    </row>
    <row r="2712" spans="1:2" x14ac:dyDescent="0.25">
      <c r="A2712" s="63"/>
      <c r="B2712" s="63"/>
    </row>
    <row r="2713" spans="1:2" x14ac:dyDescent="0.25">
      <c r="A2713" s="63"/>
      <c r="B2713" s="63"/>
    </row>
    <row r="2714" spans="1:2" x14ac:dyDescent="0.25">
      <c r="A2714" s="63"/>
      <c r="B2714" s="63"/>
    </row>
    <row r="2715" spans="1:2" x14ac:dyDescent="0.25">
      <c r="A2715" s="63"/>
      <c r="B2715" s="63"/>
    </row>
    <row r="2716" spans="1:2" x14ac:dyDescent="0.25">
      <c r="A2716" s="63"/>
      <c r="B2716" s="63"/>
    </row>
    <row r="2717" spans="1:2" x14ac:dyDescent="0.25">
      <c r="A2717" s="63"/>
      <c r="B2717" s="63"/>
    </row>
    <row r="2718" spans="1:2" x14ac:dyDescent="0.25">
      <c r="A2718" s="63"/>
      <c r="B2718" s="63"/>
    </row>
    <row r="2719" spans="1:2" x14ac:dyDescent="0.25">
      <c r="A2719" s="63"/>
      <c r="B2719" s="63"/>
    </row>
    <row r="2720" spans="1:2" x14ac:dyDescent="0.25">
      <c r="A2720" s="63"/>
      <c r="B2720" s="63"/>
    </row>
    <row r="2721" spans="1:2" x14ac:dyDescent="0.25">
      <c r="A2721" s="63"/>
      <c r="B2721" s="63"/>
    </row>
    <row r="2722" spans="1:2" x14ac:dyDescent="0.25">
      <c r="A2722" s="63"/>
      <c r="B2722" s="63"/>
    </row>
    <row r="2723" spans="1:2" x14ac:dyDescent="0.25">
      <c r="A2723" s="63"/>
      <c r="B2723" s="63"/>
    </row>
    <row r="2724" spans="1:2" x14ac:dyDescent="0.25">
      <c r="A2724" s="63"/>
      <c r="B2724" s="63"/>
    </row>
    <row r="2725" spans="1:2" x14ac:dyDescent="0.25">
      <c r="A2725" s="63"/>
      <c r="B2725" s="63"/>
    </row>
    <row r="2726" spans="1:2" x14ac:dyDescent="0.25">
      <c r="A2726" s="63"/>
      <c r="B2726" s="63"/>
    </row>
    <row r="2727" spans="1:2" x14ac:dyDescent="0.25">
      <c r="A2727" s="63"/>
      <c r="B2727" s="63"/>
    </row>
    <row r="2728" spans="1:2" x14ac:dyDescent="0.25">
      <c r="A2728" s="63"/>
      <c r="B2728" s="63"/>
    </row>
    <row r="2729" spans="1:2" x14ac:dyDescent="0.25">
      <c r="A2729" s="63"/>
      <c r="B2729" s="63"/>
    </row>
    <row r="2730" spans="1:2" x14ac:dyDescent="0.25">
      <c r="A2730" s="63"/>
      <c r="B2730" s="63"/>
    </row>
    <row r="2731" spans="1:2" x14ac:dyDescent="0.25">
      <c r="A2731" s="63"/>
      <c r="B2731" s="63"/>
    </row>
    <row r="2732" spans="1:2" x14ac:dyDescent="0.25">
      <c r="A2732" s="63"/>
      <c r="B2732" s="63"/>
    </row>
    <row r="2733" spans="1:2" x14ac:dyDescent="0.25">
      <c r="A2733" s="63"/>
    </row>
    <row r="2734" spans="1:2" x14ac:dyDescent="0.25">
      <c r="A2734" s="63"/>
      <c r="B2734" s="63"/>
    </row>
    <row r="2735" spans="1:2" x14ac:dyDescent="0.25">
      <c r="A2735" s="63"/>
      <c r="B2735" s="63"/>
    </row>
    <row r="2736" spans="1:2" x14ac:dyDescent="0.25">
      <c r="A2736" s="63"/>
      <c r="B2736" s="63"/>
    </row>
    <row r="2737" spans="1:2" x14ac:dyDescent="0.25">
      <c r="A2737" s="63"/>
      <c r="B2737" s="63"/>
    </row>
    <row r="2738" spans="1:2" x14ac:dyDescent="0.25">
      <c r="A2738" s="63"/>
      <c r="B2738" s="63"/>
    </row>
    <row r="2739" spans="1:2" x14ac:dyDescent="0.25">
      <c r="A2739" s="63"/>
      <c r="B2739" s="63"/>
    </row>
    <row r="2740" spans="1:2" x14ac:dyDescent="0.25">
      <c r="A2740" s="63"/>
      <c r="B2740" s="63"/>
    </row>
    <row r="2741" spans="1:2" x14ac:dyDescent="0.25">
      <c r="A2741" s="63"/>
      <c r="B2741" s="63"/>
    </row>
    <row r="2742" spans="1:2" x14ac:dyDescent="0.25">
      <c r="A2742" s="63"/>
      <c r="B2742" s="63"/>
    </row>
    <row r="2743" spans="1:2" x14ac:dyDescent="0.25">
      <c r="A2743" s="63"/>
      <c r="B2743" s="63"/>
    </row>
    <row r="2744" spans="1:2" x14ac:dyDescent="0.25">
      <c r="A2744" s="63"/>
      <c r="B2744" s="63"/>
    </row>
    <row r="2745" spans="1:2" x14ac:dyDescent="0.25">
      <c r="A2745" s="63"/>
      <c r="B2745" s="63"/>
    </row>
    <row r="2746" spans="1:2" x14ac:dyDescent="0.25">
      <c r="A2746" s="63"/>
      <c r="B2746" s="63"/>
    </row>
    <row r="2747" spans="1:2" x14ac:dyDescent="0.25">
      <c r="A2747" s="63"/>
      <c r="B2747" s="63"/>
    </row>
    <row r="2748" spans="1:2" x14ac:dyDescent="0.25">
      <c r="A2748" s="63"/>
      <c r="B2748" s="63"/>
    </row>
    <row r="2749" spans="1:2" x14ac:dyDescent="0.25">
      <c r="A2749" s="63"/>
      <c r="B2749" s="63"/>
    </row>
    <row r="2750" spans="1:2" x14ac:dyDescent="0.25">
      <c r="A2750" s="63"/>
      <c r="B2750" s="63"/>
    </row>
    <row r="2751" spans="1:2" x14ac:dyDescent="0.25">
      <c r="A2751" s="63"/>
      <c r="B2751" s="63"/>
    </row>
    <row r="2752" spans="1:2" x14ac:dyDescent="0.25">
      <c r="A2752" s="63"/>
      <c r="B2752" s="63"/>
    </row>
    <row r="2753" spans="1:2" x14ac:dyDescent="0.25">
      <c r="A2753" s="63"/>
      <c r="B2753" s="63"/>
    </row>
    <row r="2754" spans="1:2" x14ac:dyDescent="0.25">
      <c r="A2754" s="63"/>
      <c r="B2754" s="63"/>
    </row>
    <row r="2755" spans="1:2" x14ac:dyDescent="0.25">
      <c r="A2755" s="63"/>
      <c r="B2755" s="63"/>
    </row>
    <row r="2756" spans="1:2" x14ac:dyDescent="0.25">
      <c r="A2756" s="63"/>
      <c r="B2756" s="63"/>
    </row>
    <row r="2757" spans="1:2" x14ac:dyDescent="0.25">
      <c r="A2757" s="63"/>
      <c r="B2757" s="63"/>
    </row>
    <row r="2758" spans="1:2" x14ac:dyDescent="0.25">
      <c r="A2758" s="63"/>
      <c r="B2758" s="63"/>
    </row>
    <row r="2759" spans="1:2" x14ac:dyDescent="0.25">
      <c r="A2759" s="63"/>
      <c r="B2759" s="63"/>
    </row>
    <row r="2760" spans="1:2" x14ac:dyDescent="0.25">
      <c r="A2760" s="63"/>
      <c r="B2760" s="63"/>
    </row>
    <row r="2761" spans="1:2" x14ac:dyDescent="0.25">
      <c r="A2761" s="63"/>
      <c r="B2761" s="63"/>
    </row>
    <row r="2762" spans="1:2" x14ac:dyDescent="0.25">
      <c r="A2762" s="63"/>
      <c r="B2762" s="63"/>
    </row>
    <row r="2763" spans="1:2" x14ac:dyDescent="0.25">
      <c r="A2763" s="63"/>
      <c r="B2763" s="63"/>
    </row>
    <row r="2764" spans="1:2" x14ac:dyDescent="0.25">
      <c r="A2764" s="63"/>
      <c r="B2764" s="63"/>
    </row>
    <row r="2765" spans="1:2" x14ac:dyDescent="0.25">
      <c r="A2765" s="63"/>
      <c r="B2765" s="63"/>
    </row>
    <row r="2766" spans="1:2" x14ac:dyDescent="0.25">
      <c r="A2766" s="63"/>
      <c r="B2766" s="63"/>
    </row>
    <row r="2767" spans="1:2" x14ac:dyDescent="0.25">
      <c r="A2767" s="63"/>
      <c r="B2767" s="63"/>
    </row>
    <row r="2768" spans="1:2" x14ac:dyDescent="0.25">
      <c r="A2768" s="63"/>
      <c r="B2768" s="63"/>
    </row>
    <row r="2769" spans="1:2" x14ac:dyDescent="0.25">
      <c r="A2769" s="63"/>
      <c r="B2769" s="63"/>
    </row>
    <row r="2770" spans="1:2" x14ac:dyDescent="0.25">
      <c r="A2770" s="63"/>
      <c r="B2770" s="63"/>
    </row>
    <row r="2771" spans="1:2" x14ac:dyDescent="0.25">
      <c r="A2771" s="63"/>
      <c r="B2771" s="63"/>
    </row>
    <row r="2772" spans="1:2" x14ac:dyDescent="0.25">
      <c r="A2772" s="63"/>
      <c r="B2772" s="63"/>
    </row>
    <row r="2773" spans="1:2" x14ac:dyDescent="0.25">
      <c r="A2773" s="63"/>
      <c r="B2773" s="63"/>
    </row>
    <row r="2774" spans="1:2" x14ac:dyDescent="0.25">
      <c r="A2774" s="63"/>
      <c r="B2774" s="63"/>
    </row>
    <row r="2775" spans="1:2" x14ac:dyDescent="0.25">
      <c r="A2775" s="63"/>
      <c r="B2775" s="63"/>
    </row>
    <row r="2776" spans="1:2" x14ac:dyDescent="0.25">
      <c r="A2776" s="63"/>
      <c r="B2776" s="63"/>
    </row>
    <row r="2777" spans="1:2" x14ac:dyDescent="0.25">
      <c r="A2777" s="63"/>
      <c r="B2777" s="63"/>
    </row>
    <row r="2778" spans="1:2" x14ac:dyDescent="0.25">
      <c r="A2778" s="63"/>
      <c r="B2778" s="63"/>
    </row>
    <row r="2779" spans="1:2" x14ac:dyDescent="0.25">
      <c r="A2779" s="63"/>
      <c r="B2779" s="63"/>
    </row>
    <row r="2780" spans="1:2" x14ac:dyDescent="0.25">
      <c r="A2780" s="63"/>
      <c r="B2780" s="63"/>
    </row>
    <row r="2781" spans="1:2" x14ac:dyDescent="0.25">
      <c r="A2781" s="63"/>
      <c r="B2781" s="63"/>
    </row>
    <row r="2782" spans="1:2" x14ac:dyDescent="0.25">
      <c r="A2782" s="63"/>
      <c r="B2782" s="63"/>
    </row>
    <row r="2783" spans="1:2" x14ac:dyDescent="0.25">
      <c r="A2783" s="63"/>
      <c r="B2783" s="63"/>
    </row>
    <row r="2784" spans="1:2" x14ac:dyDescent="0.25">
      <c r="A2784" s="63"/>
      <c r="B2784" s="63"/>
    </row>
    <row r="2785" spans="1:2" x14ac:dyDescent="0.25">
      <c r="A2785" s="63"/>
      <c r="B2785" s="63"/>
    </row>
    <row r="2786" spans="1:2" x14ac:dyDescent="0.25">
      <c r="A2786" s="63"/>
      <c r="B2786" s="63"/>
    </row>
    <row r="2787" spans="1:2" x14ac:dyDescent="0.25">
      <c r="A2787" s="63"/>
      <c r="B2787" s="63"/>
    </row>
    <row r="2788" spans="1:2" x14ac:dyDescent="0.25">
      <c r="A2788" s="63"/>
      <c r="B2788" s="63"/>
    </row>
    <row r="2789" spans="1:2" x14ac:dyDescent="0.25">
      <c r="A2789" s="63"/>
      <c r="B2789" s="63"/>
    </row>
    <row r="2790" spans="1:2" x14ac:dyDescent="0.25">
      <c r="A2790" s="63"/>
      <c r="B2790" s="63"/>
    </row>
    <row r="2791" spans="1:2" x14ac:dyDescent="0.25">
      <c r="A2791" s="63"/>
      <c r="B2791" s="63"/>
    </row>
    <row r="2792" spans="1:2" x14ac:dyDescent="0.25">
      <c r="A2792" s="63"/>
      <c r="B2792" s="63"/>
    </row>
    <row r="2793" spans="1:2" x14ac:dyDescent="0.25">
      <c r="A2793" s="63"/>
      <c r="B2793" s="63"/>
    </row>
    <row r="2794" spans="1:2" x14ac:dyDescent="0.25">
      <c r="A2794" s="63"/>
      <c r="B2794" s="63"/>
    </row>
    <row r="2795" spans="1:2" x14ac:dyDescent="0.25">
      <c r="A2795" s="63"/>
      <c r="B2795" s="63"/>
    </row>
    <row r="2796" spans="1:2" x14ac:dyDescent="0.25">
      <c r="A2796" s="63"/>
      <c r="B2796" s="63"/>
    </row>
    <row r="2797" spans="1:2" x14ac:dyDescent="0.25">
      <c r="A2797" s="63"/>
      <c r="B2797" s="63"/>
    </row>
    <row r="2798" spans="1:2" x14ac:dyDescent="0.25">
      <c r="A2798" s="63"/>
      <c r="B2798" s="63"/>
    </row>
    <row r="2799" spans="1:2" x14ac:dyDescent="0.25">
      <c r="A2799" s="63"/>
      <c r="B2799" s="63"/>
    </row>
    <row r="2800" spans="1:2" x14ac:dyDescent="0.25">
      <c r="A2800" s="63"/>
      <c r="B2800" s="63"/>
    </row>
    <row r="2801" spans="1:2" x14ac:dyDescent="0.25">
      <c r="A2801" s="63"/>
      <c r="B2801" s="63"/>
    </row>
    <row r="2802" spans="1:2" x14ac:dyDescent="0.25">
      <c r="A2802" s="63"/>
      <c r="B2802" s="63"/>
    </row>
    <row r="2803" spans="1:2" x14ac:dyDescent="0.25">
      <c r="A2803" s="63"/>
      <c r="B2803" s="63"/>
    </row>
    <row r="2804" spans="1:2" x14ac:dyDescent="0.25">
      <c r="A2804" s="63"/>
      <c r="B2804" s="63"/>
    </row>
    <row r="2805" spans="1:2" x14ac:dyDescent="0.25">
      <c r="A2805" s="63"/>
      <c r="B2805" s="63"/>
    </row>
    <row r="2806" spans="1:2" x14ac:dyDescent="0.25">
      <c r="A2806" s="63"/>
      <c r="B2806" s="63"/>
    </row>
    <row r="2807" spans="1:2" x14ac:dyDescent="0.25">
      <c r="A2807" s="63"/>
      <c r="B2807" s="63"/>
    </row>
    <row r="2808" spans="1:2" x14ac:dyDescent="0.25">
      <c r="A2808" s="63"/>
      <c r="B2808" s="63"/>
    </row>
    <row r="2809" spans="1:2" x14ac:dyDescent="0.25">
      <c r="A2809" s="63"/>
      <c r="B2809" s="63"/>
    </row>
    <row r="2810" spans="1:2" x14ac:dyDescent="0.25">
      <c r="A2810" s="63"/>
      <c r="B2810" s="63"/>
    </row>
    <row r="2811" spans="1:2" x14ac:dyDescent="0.25">
      <c r="A2811" s="63"/>
      <c r="B2811" s="63"/>
    </row>
    <row r="2812" spans="1:2" x14ac:dyDescent="0.25">
      <c r="A2812" s="63"/>
      <c r="B2812" s="63"/>
    </row>
    <row r="2813" spans="1:2" x14ac:dyDescent="0.25">
      <c r="A2813" s="63"/>
      <c r="B2813" s="63"/>
    </row>
    <row r="2814" spans="1:2" x14ac:dyDescent="0.25">
      <c r="A2814" s="63"/>
      <c r="B2814" s="63"/>
    </row>
    <row r="2815" spans="1:2" x14ac:dyDescent="0.25">
      <c r="A2815" s="63"/>
      <c r="B2815" s="63"/>
    </row>
    <row r="2816" spans="1:2" x14ac:dyDescent="0.25">
      <c r="A2816" s="63"/>
      <c r="B2816" s="63"/>
    </row>
    <row r="2817" spans="1:2" x14ac:dyDescent="0.25">
      <c r="A2817" s="63"/>
      <c r="B2817" s="63"/>
    </row>
    <row r="2818" spans="1:2" x14ac:dyDescent="0.25">
      <c r="A2818" s="63"/>
      <c r="B2818" s="63"/>
    </row>
    <row r="2819" spans="1:2" x14ac:dyDescent="0.25">
      <c r="A2819" s="63"/>
      <c r="B2819" s="63"/>
    </row>
    <row r="2820" spans="1:2" x14ac:dyDescent="0.25">
      <c r="A2820" s="63"/>
      <c r="B2820" s="63"/>
    </row>
    <row r="2821" spans="1:2" x14ac:dyDescent="0.25">
      <c r="A2821" s="63"/>
      <c r="B2821" s="63"/>
    </row>
    <row r="2822" spans="1:2" x14ac:dyDescent="0.25">
      <c r="A2822" s="63"/>
      <c r="B2822" s="63"/>
    </row>
    <row r="2823" spans="1:2" x14ac:dyDescent="0.25">
      <c r="A2823" s="63"/>
      <c r="B2823" s="63"/>
    </row>
    <row r="2824" spans="1:2" x14ac:dyDescent="0.25">
      <c r="A2824" s="63"/>
      <c r="B2824" s="63"/>
    </row>
    <row r="2825" spans="1:2" x14ac:dyDescent="0.25">
      <c r="A2825" s="63"/>
      <c r="B2825" s="63"/>
    </row>
    <row r="2826" spans="1:2" x14ac:dyDescent="0.25">
      <c r="A2826" s="63"/>
      <c r="B2826" s="63"/>
    </row>
    <row r="2827" spans="1:2" x14ac:dyDescent="0.25">
      <c r="A2827" s="63"/>
      <c r="B2827" s="63"/>
    </row>
    <row r="2828" spans="1:2" x14ac:dyDescent="0.25">
      <c r="A2828" s="63"/>
      <c r="B2828" s="63"/>
    </row>
    <row r="2829" spans="1:2" x14ac:dyDescent="0.25">
      <c r="A2829" s="63"/>
      <c r="B2829" s="63"/>
    </row>
    <row r="2830" spans="1:2" x14ac:dyDescent="0.25">
      <c r="A2830" s="63"/>
      <c r="B2830" s="63"/>
    </row>
    <row r="2831" spans="1:2" x14ac:dyDescent="0.25">
      <c r="A2831" s="63"/>
      <c r="B2831" s="63"/>
    </row>
    <row r="2832" spans="1:2" x14ac:dyDescent="0.25">
      <c r="A2832" s="63"/>
      <c r="B2832" s="63"/>
    </row>
    <row r="2833" spans="1:2" x14ac:dyDescent="0.25">
      <c r="A2833" s="63"/>
      <c r="B2833" s="63"/>
    </row>
    <row r="2834" spans="1:2" x14ac:dyDescent="0.25">
      <c r="A2834" s="63"/>
      <c r="B2834" s="63"/>
    </row>
    <row r="2835" spans="1:2" x14ac:dyDescent="0.25">
      <c r="A2835" s="63"/>
      <c r="B2835" s="63"/>
    </row>
    <row r="2836" spans="1:2" x14ac:dyDescent="0.25">
      <c r="A2836" s="63"/>
      <c r="B2836" s="63"/>
    </row>
    <row r="2837" spans="1:2" x14ac:dyDescent="0.25">
      <c r="A2837" s="63"/>
      <c r="B2837" s="63"/>
    </row>
    <row r="2838" spans="1:2" x14ac:dyDescent="0.25">
      <c r="A2838" s="63"/>
      <c r="B2838" s="63"/>
    </row>
    <row r="2839" spans="1:2" x14ac:dyDescent="0.25">
      <c r="A2839" s="63"/>
      <c r="B2839" s="63"/>
    </row>
    <row r="2840" spans="1:2" x14ac:dyDescent="0.25">
      <c r="A2840" s="63"/>
      <c r="B2840" s="63"/>
    </row>
    <row r="2841" spans="1:2" x14ac:dyDescent="0.25">
      <c r="A2841" s="63"/>
      <c r="B2841" s="63"/>
    </row>
    <row r="2842" spans="1:2" x14ac:dyDescent="0.25">
      <c r="A2842" s="63"/>
      <c r="B2842" s="63"/>
    </row>
    <row r="2843" spans="1:2" x14ac:dyDescent="0.25">
      <c r="A2843" s="63"/>
      <c r="B2843" s="63"/>
    </row>
    <row r="2844" spans="1:2" x14ac:dyDescent="0.25">
      <c r="A2844" s="63"/>
      <c r="B2844" s="63"/>
    </row>
    <row r="2845" spans="1:2" x14ac:dyDescent="0.25">
      <c r="A2845" s="63"/>
      <c r="B2845" s="63"/>
    </row>
    <row r="2846" spans="1:2" x14ac:dyDescent="0.25">
      <c r="A2846" s="63"/>
      <c r="B2846" s="63"/>
    </row>
    <row r="2847" spans="1:2" x14ac:dyDescent="0.25">
      <c r="A2847" s="63"/>
      <c r="B2847" s="63"/>
    </row>
    <row r="2848" spans="1:2" x14ac:dyDescent="0.25">
      <c r="A2848" s="63"/>
      <c r="B2848" s="63"/>
    </row>
    <row r="2849" spans="1:2" x14ac:dyDescent="0.25">
      <c r="A2849" s="63"/>
      <c r="B2849" s="63"/>
    </row>
    <row r="2850" spans="1:2" x14ac:dyDescent="0.25">
      <c r="A2850" s="63"/>
      <c r="B2850" s="63"/>
    </row>
    <row r="2851" spans="1:2" x14ac:dyDescent="0.25">
      <c r="A2851" s="63"/>
      <c r="B2851" s="63"/>
    </row>
    <row r="2852" spans="1:2" x14ac:dyDescent="0.25">
      <c r="A2852" s="63"/>
      <c r="B2852" s="63"/>
    </row>
    <row r="2853" spans="1:2" x14ac:dyDescent="0.25">
      <c r="A2853" s="63"/>
      <c r="B2853" s="63"/>
    </row>
    <row r="2854" spans="1:2" x14ac:dyDescent="0.25">
      <c r="A2854" s="63"/>
      <c r="B2854" s="63"/>
    </row>
    <row r="2855" spans="1:2" x14ac:dyDescent="0.25">
      <c r="A2855" s="63"/>
      <c r="B2855" s="63"/>
    </row>
    <row r="2856" spans="1:2" x14ac:dyDescent="0.25">
      <c r="A2856" s="63"/>
      <c r="B2856" s="63"/>
    </row>
    <row r="2857" spans="1:2" x14ac:dyDescent="0.25">
      <c r="A2857" s="63"/>
      <c r="B2857" s="63"/>
    </row>
    <row r="2858" spans="1:2" x14ac:dyDescent="0.25">
      <c r="A2858" s="63"/>
      <c r="B2858" s="63"/>
    </row>
    <row r="2859" spans="1:2" x14ac:dyDescent="0.25">
      <c r="A2859" s="63"/>
      <c r="B2859" s="63"/>
    </row>
    <row r="2860" spans="1:2" x14ac:dyDescent="0.25">
      <c r="A2860" s="63"/>
      <c r="B2860" s="63"/>
    </row>
    <row r="2861" spans="1:2" x14ac:dyDescent="0.25">
      <c r="A2861" s="63"/>
      <c r="B2861" s="63"/>
    </row>
    <row r="2862" spans="1:2" x14ac:dyDescent="0.25">
      <c r="A2862" s="63"/>
      <c r="B2862" s="63"/>
    </row>
    <row r="2863" spans="1:2" x14ac:dyDescent="0.25">
      <c r="A2863" s="63"/>
      <c r="B2863" s="63"/>
    </row>
    <row r="2864" spans="1:2" x14ac:dyDescent="0.25">
      <c r="A2864" s="63"/>
      <c r="B2864" s="63"/>
    </row>
    <row r="2865" spans="1:2" x14ac:dyDescent="0.25">
      <c r="A2865" s="63"/>
      <c r="B2865" s="63"/>
    </row>
    <row r="2866" spans="1:2" x14ac:dyDescent="0.25">
      <c r="A2866" s="63"/>
      <c r="B2866" s="63"/>
    </row>
    <row r="2867" spans="1:2" x14ac:dyDescent="0.25">
      <c r="A2867" s="63"/>
      <c r="B2867" s="63"/>
    </row>
    <row r="2868" spans="1:2" x14ac:dyDescent="0.25">
      <c r="A2868" s="63"/>
      <c r="B2868" s="63"/>
    </row>
    <row r="2869" spans="1:2" x14ac:dyDescent="0.25">
      <c r="A2869" s="63"/>
      <c r="B2869" s="63"/>
    </row>
    <row r="2870" spans="1:2" x14ac:dyDescent="0.25">
      <c r="A2870" s="63"/>
      <c r="B2870" s="63"/>
    </row>
    <row r="2871" spans="1:2" x14ac:dyDescent="0.25">
      <c r="A2871" s="63"/>
      <c r="B2871" s="63"/>
    </row>
    <row r="2872" spans="1:2" x14ac:dyDescent="0.25">
      <c r="A2872" s="63"/>
      <c r="B2872" s="63"/>
    </row>
    <row r="2873" spans="1:2" x14ac:dyDescent="0.25">
      <c r="A2873" s="63"/>
      <c r="B2873" s="63"/>
    </row>
    <row r="2874" spans="1:2" x14ac:dyDescent="0.25">
      <c r="A2874" s="63"/>
      <c r="B2874" s="63"/>
    </row>
    <row r="2875" spans="1:2" x14ac:dyDescent="0.25">
      <c r="A2875" s="63"/>
      <c r="B2875" s="63"/>
    </row>
    <row r="2876" spans="1:2" x14ac:dyDescent="0.25">
      <c r="A2876" s="63"/>
      <c r="B2876" s="63"/>
    </row>
    <row r="2877" spans="1:2" x14ac:dyDescent="0.25">
      <c r="A2877" s="63"/>
      <c r="B2877" s="63"/>
    </row>
    <row r="2878" spans="1:2" x14ac:dyDescent="0.25">
      <c r="A2878" s="63"/>
      <c r="B2878" s="63"/>
    </row>
    <row r="2879" spans="1:2" x14ac:dyDescent="0.25">
      <c r="A2879" s="63"/>
      <c r="B2879" s="63"/>
    </row>
    <row r="2880" spans="1:2" x14ac:dyDescent="0.25">
      <c r="A2880" s="63"/>
      <c r="B2880" s="63"/>
    </row>
    <row r="2881" spans="1:2" x14ac:dyDescent="0.25">
      <c r="A2881" s="63"/>
      <c r="B2881" s="63"/>
    </row>
    <row r="2882" spans="1:2" x14ac:dyDescent="0.25">
      <c r="A2882" s="63"/>
      <c r="B2882" s="63"/>
    </row>
    <row r="2883" spans="1:2" x14ac:dyDescent="0.25">
      <c r="A2883" s="63"/>
      <c r="B2883" s="63"/>
    </row>
    <row r="2884" spans="1:2" x14ac:dyDescent="0.25">
      <c r="A2884" s="63"/>
      <c r="B2884" s="63"/>
    </row>
    <row r="2885" spans="1:2" x14ac:dyDescent="0.25">
      <c r="A2885" s="63"/>
      <c r="B2885" s="63"/>
    </row>
    <row r="2886" spans="1:2" x14ac:dyDescent="0.25">
      <c r="A2886" s="63"/>
      <c r="B2886" s="63"/>
    </row>
    <row r="2887" spans="1:2" x14ac:dyDescent="0.25">
      <c r="A2887" s="63"/>
      <c r="B2887" s="63"/>
    </row>
    <row r="2888" spans="1:2" x14ac:dyDescent="0.25">
      <c r="A2888" s="63"/>
      <c r="B2888" s="63"/>
    </row>
    <row r="2889" spans="1:2" x14ac:dyDescent="0.25">
      <c r="A2889" s="63"/>
      <c r="B2889" s="63"/>
    </row>
    <row r="2890" spans="1:2" x14ac:dyDescent="0.25">
      <c r="A2890" s="63"/>
      <c r="B2890" s="63"/>
    </row>
    <row r="2891" spans="1:2" x14ac:dyDescent="0.25">
      <c r="A2891" s="63"/>
      <c r="B2891" s="63"/>
    </row>
    <row r="2892" spans="1:2" x14ac:dyDescent="0.25">
      <c r="A2892" s="63"/>
      <c r="B2892" s="63"/>
    </row>
    <row r="2893" spans="1:2" x14ac:dyDescent="0.25">
      <c r="A2893" s="63"/>
      <c r="B2893" s="63"/>
    </row>
    <row r="2894" spans="1:2" x14ac:dyDescent="0.25">
      <c r="A2894" s="63"/>
      <c r="B2894" s="63"/>
    </row>
    <row r="2895" spans="1:2" x14ac:dyDescent="0.25">
      <c r="A2895" s="63"/>
      <c r="B2895" s="63"/>
    </row>
    <row r="2896" spans="1:2" x14ac:dyDescent="0.25">
      <c r="A2896" s="63"/>
      <c r="B2896" s="63"/>
    </row>
    <row r="2897" spans="1:2" x14ac:dyDescent="0.25">
      <c r="A2897" s="63"/>
      <c r="B2897" s="63"/>
    </row>
    <row r="2898" spans="1:2" x14ac:dyDescent="0.25">
      <c r="A2898" s="63"/>
    </row>
    <row r="2899" spans="1:2" x14ac:dyDescent="0.25">
      <c r="A2899" s="63"/>
    </row>
    <row r="2900" spans="1:2" x14ac:dyDescent="0.25">
      <c r="A2900" s="63"/>
    </row>
    <row r="2901" spans="1:2" x14ac:dyDescent="0.25">
      <c r="A2901" s="63"/>
      <c r="B2901" s="63"/>
    </row>
    <row r="2902" spans="1:2" x14ac:dyDescent="0.25">
      <c r="A2902" s="63"/>
      <c r="B2902" s="63"/>
    </row>
    <row r="2903" spans="1:2" x14ac:dyDescent="0.25">
      <c r="A2903" s="63"/>
      <c r="B2903" s="63"/>
    </row>
    <row r="2904" spans="1:2" x14ac:dyDescent="0.25">
      <c r="A2904" s="63"/>
      <c r="B2904" s="63"/>
    </row>
    <row r="2905" spans="1:2" x14ac:dyDescent="0.25">
      <c r="A2905" s="63"/>
      <c r="B2905" s="63"/>
    </row>
    <row r="2906" spans="1:2" x14ac:dyDescent="0.25">
      <c r="A2906" s="63"/>
      <c r="B2906" s="63"/>
    </row>
    <row r="2907" spans="1:2" x14ac:dyDescent="0.25">
      <c r="A2907" s="63"/>
      <c r="B2907" s="63"/>
    </row>
    <row r="2908" spans="1:2" x14ac:dyDescent="0.25">
      <c r="A2908" s="63"/>
      <c r="B2908" s="63"/>
    </row>
    <row r="2909" spans="1:2" x14ac:dyDescent="0.25">
      <c r="A2909" s="63"/>
      <c r="B2909" s="63"/>
    </row>
    <row r="2910" spans="1:2" x14ac:dyDescent="0.25">
      <c r="A2910" s="63"/>
      <c r="B2910" s="63"/>
    </row>
    <row r="2911" spans="1:2" x14ac:dyDescent="0.25">
      <c r="A2911" s="63"/>
    </row>
    <row r="2912" spans="1:2" x14ac:dyDescent="0.25">
      <c r="A2912" s="63"/>
    </row>
    <row r="2913" spans="1:2" x14ac:dyDescent="0.25">
      <c r="A2913" s="63"/>
    </row>
    <row r="2914" spans="1:2" x14ac:dyDescent="0.25">
      <c r="A2914" s="63"/>
      <c r="B2914" s="63"/>
    </row>
    <row r="2915" spans="1:2" x14ac:dyDescent="0.25">
      <c r="A2915" s="63"/>
      <c r="B2915" s="63"/>
    </row>
    <row r="2916" spans="1:2" x14ac:dyDescent="0.25">
      <c r="A2916" s="63"/>
      <c r="B2916" s="63"/>
    </row>
    <row r="2917" spans="1:2" x14ac:dyDescent="0.25">
      <c r="A2917" s="63"/>
      <c r="B2917" s="63"/>
    </row>
    <row r="2918" spans="1:2" x14ac:dyDescent="0.25">
      <c r="A2918" s="63"/>
      <c r="B2918" s="63"/>
    </row>
    <row r="2919" spans="1:2" x14ac:dyDescent="0.25">
      <c r="A2919" s="63"/>
      <c r="B2919" s="63"/>
    </row>
    <row r="2920" spans="1:2" x14ac:dyDescent="0.25">
      <c r="A2920" s="63"/>
      <c r="B2920" s="63"/>
    </row>
    <row r="2921" spans="1:2" x14ac:dyDescent="0.25">
      <c r="A2921" s="63"/>
      <c r="B2921" s="63"/>
    </row>
    <row r="2922" spans="1:2" x14ac:dyDescent="0.25">
      <c r="A2922" s="63"/>
      <c r="B2922" s="63"/>
    </row>
    <row r="2923" spans="1:2" x14ac:dyDescent="0.25">
      <c r="A2923" s="63"/>
    </row>
    <row r="2924" spans="1:2" x14ac:dyDescent="0.25">
      <c r="A2924" s="63"/>
    </row>
    <row r="2925" spans="1:2" x14ac:dyDescent="0.25">
      <c r="A2925" s="63"/>
    </row>
    <row r="2926" spans="1:2" x14ac:dyDescent="0.25">
      <c r="A2926" s="63"/>
    </row>
    <row r="2927" spans="1:2" x14ac:dyDescent="0.25">
      <c r="A2927" s="63"/>
      <c r="B2927" s="63"/>
    </row>
    <row r="2928" spans="1:2" x14ac:dyDescent="0.25">
      <c r="A2928" s="63"/>
      <c r="B2928" s="63"/>
    </row>
    <row r="2929" spans="1:2" x14ac:dyDescent="0.25">
      <c r="A2929" s="63"/>
      <c r="B2929" s="63"/>
    </row>
    <row r="2930" spans="1:2" x14ac:dyDescent="0.25">
      <c r="A2930" s="63"/>
      <c r="B2930" s="63"/>
    </row>
    <row r="2931" spans="1:2" x14ac:dyDescent="0.25">
      <c r="A2931" s="63"/>
      <c r="B2931" s="63"/>
    </row>
    <row r="2932" spans="1:2" x14ac:dyDescent="0.25">
      <c r="A2932" s="63"/>
      <c r="B2932" s="63"/>
    </row>
    <row r="2933" spans="1:2" x14ac:dyDescent="0.25">
      <c r="A2933" s="63"/>
      <c r="B2933" s="63"/>
    </row>
    <row r="2934" spans="1:2" x14ac:dyDescent="0.25">
      <c r="A2934" s="63"/>
      <c r="B2934" s="63"/>
    </row>
    <row r="2935" spans="1:2" x14ac:dyDescent="0.25">
      <c r="A2935" s="63"/>
      <c r="B2935" s="63"/>
    </row>
    <row r="2936" spans="1:2" x14ac:dyDescent="0.25">
      <c r="A2936" s="63"/>
    </row>
    <row r="2937" spans="1:2" x14ac:dyDescent="0.25">
      <c r="A2937" s="63"/>
    </row>
    <row r="2938" spans="1:2" x14ac:dyDescent="0.25">
      <c r="A2938" s="63"/>
    </row>
    <row r="2939" spans="1:2" x14ac:dyDescent="0.25">
      <c r="A2939" s="63"/>
    </row>
    <row r="2940" spans="1:2" x14ac:dyDescent="0.25">
      <c r="A2940" s="63"/>
      <c r="B2940" s="63"/>
    </row>
    <row r="2941" spans="1:2" x14ac:dyDescent="0.25">
      <c r="A2941" s="63"/>
      <c r="B2941" s="63"/>
    </row>
    <row r="2942" spans="1:2" x14ac:dyDescent="0.25">
      <c r="A2942" s="63"/>
      <c r="B2942" s="63"/>
    </row>
    <row r="2943" spans="1:2" x14ac:dyDescent="0.25">
      <c r="A2943" s="63"/>
      <c r="B2943" s="63"/>
    </row>
    <row r="2944" spans="1:2" x14ac:dyDescent="0.25">
      <c r="A2944" s="63"/>
      <c r="B2944" s="63"/>
    </row>
    <row r="2945" spans="1:2" x14ac:dyDescent="0.25">
      <c r="A2945" s="63"/>
      <c r="B2945" s="63"/>
    </row>
    <row r="2946" spans="1:2" x14ac:dyDescent="0.25">
      <c r="A2946" s="63"/>
      <c r="B2946" s="63"/>
    </row>
    <row r="2947" spans="1:2" x14ac:dyDescent="0.25">
      <c r="A2947" s="63"/>
      <c r="B2947" s="63"/>
    </row>
    <row r="2948" spans="1:2" x14ac:dyDescent="0.25">
      <c r="A2948" s="63"/>
      <c r="B2948" s="63"/>
    </row>
    <row r="2949" spans="1:2" x14ac:dyDescent="0.25">
      <c r="A2949" s="63"/>
    </row>
    <row r="2950" spans="1:2" x14ac:dyDescent="0.25">
      <c r="A2950" s="63"/>
    </row>
    <row r="2951" spans="1:2" x14ac:dyDescent="0.25">
      <c r="A2951" s="63"/>
    </row>
    <row r="2952" spans="1:2" x14ac:dyDescent="0.25">
      <c r="A2952" s="63"/>
    </row>
    <row r="2953" spans="1:2" x14ac:dyDescent="0.25">
      <c r="A2953" s="63"/>
      <c r="B2953" s="63"/>
    </row>
    <row r="2954" spans="1:2" x14ac:dyDescent="0.25">
      <c r="A2954" s="63"/>
    </row>
    <row r="2955" spans="1:2" x14ac:dyDescent="0.25">
      <c r="A2955" s="63"/>
    </row>
    <row r="2956" spans="1:2" x14ac:dyDescent="0.25">
      <c r="A2956" s="63"/>
    </row>
    <row r="2957" spans="1:2" x14ac:dyDescent="0.25">
      <c r="A2957" s="63"/>
    </row>
    <row r="2958" spans="1:2" x14ac:dyDescent="0.25">
      <c r="A2958" s="63"/>
    </row>
    <row r="2959" spans="1:2" x14ac:dyDescent="0.25">
      <c r="A2959" s="63"/>
    </row>
    <row r="2960" spans="1:2" x14ac:dyDescent="0.25">
      <c r="A2960" s="63"/>
    </row>
    <row r="2961" spans="1:1" x14ac:dyDescent="0.25">
      <c r="A2961" s="63"/>
    </row>
    <row r="2962" spans="1:1" x14ac:dyDescent="0.25">
      <c r="A2962" s="63"/>
    </row>
    <row r="2963" spans="1:1" x14ac:dyDescent="0.25">
      <c r="A2963" s="63"/>
    </row>
    <row r="2964" spans="1:1" x14ac:dyDescent="0.25">
      <c r="A2964" s="63"/>
    </row>
    <row r="2965" spans="1:1" x14ac:dyDescent="0.25">
      <c r="A2965" s="63"/>
    </row>
    <row r="2966" spans="1:1" x14ac:dyDescent="0.25">
      <c r="A2966" s="63"/>
    </row>
    <row r="2967" spans="1:1" x14ac:dyDescent="0.25">
      <c r="A2967" s="63"/>
    </row>
    <row r="2968" spans="1:1" x14ac:dyDescent="0.25">
      <c r="A2968" s="63"/>
    </row>
    <row r="2969" spans="1:1" x14ac:dyDescent="0.25">
      <c r="A2969" s="63"/>
    </row>
    <row r="2970" spans="1:1" x14ac:dyDescent="0.25">
      <c r="A2970" s="63"/>
    </row>
    <row r="2971" spans="1:1" x14ac:dyDescent="0.25">
      <c r="A2971" s="63"/>
    </row>
    <row r="2972" spans="1:1" x14ac:dyDescent="0.25">
      <c r="A2972" s="63"/>
    </row>
    <row r="2973" spans="1:1" x14ac:dyDescent="0.25">
      <c r="A2973" s="63"/>
    </row>
    <row r="2974" spans="1:1" x14ac:dyDescent="0.25">
      <c r="A2974" s="63"/>
    </row>
    <row r="2975" spans="1:1" x14ac:dyDescent="0.25">
      <c r="A2975" s="63"/>
    </row>
    <row r="2976" spans="1:1" x14ac:dyDescent="0.25">
      <c r="A2976" s="63"/>
    </row>
    <row r="2977" spans="1:1" x14ac:dyDescent="0.25">
      <c r="A2977" s="63"/>
    </row>
    <row r="2978" spans="1:1" x14ac:dyDescent="0.25">
      <c r="A2978" s="63"/>
    </row>
    <row r="2979" spans="1:1" x14ac:dyDescent="0.25">
      <c r="A2979" s="63"/>
    </row>
    <row r="2980" spans="1:1" x14ac:dyDescent="0.25">
      <c r="A2980" s="63"/>
    </row>
    <row r="2981" spans="1:1" x14ac:dyDescent="0.25">
      <c r="A2981" s="63"/>
    </row>
    <row r="2982" spans="1:1" x14ac:dyDescent="0.25">
      <c r="A2982" s="63"/>
    </row>
    <row r="2983" spans="1:1" x14ac:dyDescent="0.25">
      <c r="A2983" s="63"/>
    </row>
    <row r="2984" spans="1:1" x14ac:dyDescent="0.25">
      <c r="A2984" s="63"/>
    </row>
    <row r="2985" spans="1:1" x14ac:dyDescent="0.25">
      <c r="A2985" s="63"/>
    </row>
    <row r="2986" spans="1:1" x14ac:dyDescent="0.25">
      <c r="A2986" s="63"/>
    </row>
    <row r="2987" spans="1:1" x14ac:dyDescent="0.25">
      <c r="A2987" s="63"/>
    </row>
    <row r="2988" spans="1:1" x14ac:dyDescent="0.25">
      <c r="A2988" s="63"/>
    </row>
    <row r="2989" spans="1:1" x14ac:dyDescent="0.25">
      <c r="A2989" s="63"/>
    </row>
    <row r="2990" spans="1:1" x14ac:dyDescent="0.25">
      <c r="A2990" s="63"/>
    </row>
    <row r="2991" spans="1:1" x14ac:dyDescent="0.25">
      <c r="A2991" s="63"/>
    </row>
    <row r="2992" spans="1:1" x14ac:dyDescent="0.25">
      <c r="A2992" s="63"/>
    </row>
    <row r="2993" spans="1:1" x14ac:dyDescent="0.25">
      <c r="A2993" s="63"/>
    </row>
    <row r="2994" spans="1:1" x14ac:dyDescent="0.25">
      <c r="A2994" s="63"/>
    </row>
    <row r="2995" spans="1:1" x14ac:dyDescent="0.25">
      <c r="A2995" s="63"/>
    </row>
    <row r="2996" spans="1:1" x14ac:dyDescent="0.25">
      <c r="A2996" s="63"/>
    </row>
    <row r="2997" spans="1:1" x14ac:dyDescent="0.25">
      <c r="A2997" s="63"/>
    </row>
    <row r="2998" spans="1:1" x14ac:dyDescent="0.25">
      <c r="A2998" s="63"/>
    </row>
    <row r="2999" spans="1:1" x14ac:dyDescent="0.25">
      <c r="A2999" s="63"/>
    </row>
    <row r="3000" spans="1:1" x14ac:dyDescent="0.25">
      <c r="A3000" s="63"/>
    </row>
    <row r="3001" spans="1:1" x14ac:dyDescent="0.25">
      <c r="A3001" s="63"/>
    </row>
    <row r="3002" spans="1:1" x14ac:dyDescent="0.25">
      <c r="A3002" s="63"/>
    </row>
    <row r="3003" spans="1:1" x14ac:dyDescent="0.25">
      <c r="A3003" s="63"/>
    </row>
    <row r="3004" spans="1:1" x14ac:dyDescent="0.25">
      <c r="A3004" s="63"/>
    </row>
    <row r="3005" spans="1:1" x14ac:dyDescent="0.25">
      <c r="A3005" s="63"/>
    </row>
    <row r="3006" spans="1:1" x14ac:dyDescent="0.25">
      <c r="A3006" s="63"/>
    </row>
    <row r="3007" spans="1:1" x14ac:dyDescent="0.25">
      <c r="A3007" s="63"/>
    </row>
    <row r="3008" spans="1:1" x14ac:dyDescent="0.25">
      <c r="A3008" s="63"/>
    </row>
    <row r="3009" spans="1:1" x14ac:dyDescent="0.25">
      <c r="A3009" s="63"/>
    </row>
    <row r="3010" spans="1:1" x14ac:dyDescent="0.25">
      <c r="A3010" s="63"/>
    </row>
    <row r="3011" spans="1:1" x14ac:dyDescent="0.25">
      <c r="A3011" s="63"/>
    </row>
    <row r="3012" spans="1:1" x14ac:dyDescent="0.25">
      <c r="A3012" s="63"/>
    </row>
    <row r="3013" spans="1:1" x14ac:dyDescent="0.25">
      <c r="A3013" s="63"/>
    </row>
    <row r="3014" spans="1:1" x14ac:dyDescent="0.25">
      <c r="A3014" s="63"/>
    </row>
    <row r="3015" spans="1:1" x14ac:dyDescent="0.25">
      <c r="A3015" s="63"/>
    </row>
    <row r="3016" spans="1:1" x14ac:dyDescent="0.25">
      <c r="A3016" s="63"/>
    </row>
    <row r="3017" spans="1:1" x14ac:dyDescent="0.25">
      <c r="A3017" s="63"/>
    </row>
    <row r="3018" spans="1:1" x14ac:dyDescent="0.25">
      <c r="A3018" s="63"/>
    </row>
    <row r="3019" spans="1:1" x14ac:dyDescent="0.25">
      <c r="A3019" s="63"/>
    </row>
    <row r="3020" spans="1:1" x14ac:dyDescent="0.25">
      <c r="A3020" s="63"/>
    </row>
    <row r="3021" spans="1:1" x14ac:dyDescent="0.25">
      <c r="A3021" s="63"/>
    </row>
    <row r="3022" spans="1:1" x14ac:dyDescent="0.25">
      <c r="A3022" s="63"/>
    </row>
    <row r="3023" spans="1:1" x14ac:dyDescent="0.25">
      <c r="A3023" s="63"/>
    </row>
    <row r="3024" spans="1:1" x14ac:dyDescent="0.25">
      <c r="A3024" s="63"/>
    </row>
    <row r="3025" spans="1:1" x14ac:dyDescent="0.25">
      <c r="A3025" s="63"/>
    </row>
    <row r="3026" spans="1:1" x14ac:dyDescent="0.25">
      <c r="A3026" s="63"/>
    </row>
    <row r="3027" spans="1:1" x14ac:dyDescent="0.25">
      <c r="A3027" s="63"/>
    </row>
    <row r="3028" spans="1:1" x14ac:dyDescent="0.25">
      <c r="A3028" s="63"/>
    </row>
    <row r="3029" spans="1:1" x14ac:dyDescent="0.25">
      <c r="A3029" s="63"/>
    </row>
    <row r="3030" spans="1:1" x14ac:dyDescent="0.25">
      <c r="A3030" s="63"/>
    </row>
    <row r="3031" spans="1:1" x14ac:dyDescent="0.25">
      <c r="A3031" s="63"/>
    </row>
    <row r="3032" spans="1:1" x14ac:dyDescent="0.25">
      <c r="A3032" s="63"/>
    </row>
    <row r="3033" spans="1:1" x14ac:dyDescent="0.25">
      <c r="A3033" s="63"/>
    </row>
    <row r="3034" spans="1:1" x14ac:dyDescent="0.25">
      <c r="A3034" s="63"/>
    </row>
    <row r="3035" spans="1:1" x14ac:dyDescent="0.25">
      <c r="A3035" s="63"/>
    </row>
    <row r="3036" spans="1:1" x14ac:dyDescent="0.25">
      <c r="A3036" s="63"/>
    </row>
    <row r="3037" spans="1:1" x14ac:dyDescent="0.25">
      <c r="A3037" s="63"/>
    </row>
    <row r="3038" spans="1:1" x14ac:dyDescent="0.25">
      <c r="A3038" s="63"/>
    </row>
    <row r="3039" spans="1:1" x14ac:dyDescent="0.25">
      <c r="A3039" s="63"/>
    </row>
    <row r="3040" spans="1:1" x14ac:dyDescent="0.25">
      <c r="A3040" s="63"/>
    </row>
    <row r="3041" spans="1:1" x14ac:dyDescent="0.25">
      <c r="A3041" s="63"/>
    </row>
    <row r="3042" spans="1:1" x14ac:dyDescent="0.25">
      <c r="A3042" s="63"/>
    </row>
    <row r="3043" spans="1:1" x14ac:dyDescent="0.25">
      <c r="A3043" s="63"/>
    </row>
    <row r="3044" spans="1:1" x14ac:dyDescent="0.25">
      <c r="A3044" s="63"/>
    </row>
    <row r="3045" spans="1:1" x14ac:dyDescent="0.25">
      <c r="A3045" s="63"/>
    </row>
    <row r="3046" spans="1:1" x14ac:dyDescent="0.25">
      <c r="A3046" s="63"/>
    </row>
    <row r="3047" spans="1:1" x14ac:dyDescent="0.25">
      <c r="A3047" s="63"/>
    </row>
    <row r="3048" spans="1:1" x14ac:dyDescent="0.25">
      <c r="A3048" s="63"/>
    </row>
    <row r="3049" spans="1:1" x14ac:dyDescent="0.25">
      <c r="A3049" s="63"/>
    </row>
    <row r="3050" spans="1:1" x14ac:dyDescent="0.25">
      <c r="A3050" s="63"/>
    </row>
    <row r="3051" spans="1:1" x14ac:dyDescent="0.25">
      <c r="A3051" s="63"/>
    </row>
    <row r="3052" spans="1:1" x14ac:dyDescent="0.25">
      <c r="A3052" s="63"/>
    </row>
    <row r="3053" spans="1:1" x14ac:dyDescent="0.25">
      <c r="A3053" s="63"/>
    </row>
    <row r="3054" spans="1:1" x14ac:dyDescent="0.25">
      <c r="A3054" s="63"/>
    </row>
    <row r="3055" spans="1:1" x14ac:dyDescent="0.25">
      <c r="A3055" s="63"/>
    </row>
    <row r="3056" spans="1:1" x14ac:dyDescent="0.25">
      <c r="A3056" s="63"/>
    </row>
    <row r="3057" spans="1:1" x14ac:dyDescent="0.25">
      <c r="A3057" s="63"/>
    </row>
    <row r="3058" spans="1:1" x14ac:dyDescent="0.25">
      <c r="A3058" s="63"/>
    </row>
    <row r="3059" spans="1:1" x14ac:dyDescent="0.25">
      <c r="A3059" s="63"/>
    </row>
    <row r="3060" spans="1:1" x14ac:dyDescent="0.25">
      <c r="A3060" s="63"/>
    </row>
    <row r="3061" spans="1:1" x14ac:dyDescent="0.25">
      <c r="A3061" s="63"/>
    </row>
    <row r="3062" spans="1:1" x14ac:dyDescent="0.25">
      <c r="A3062" s="63"/>
    </row>
    <row r="3063" spans="1:1" x14ac:dyDescent="0.25">
      <c r="A3063" s="63"/>
    </row>
    <row r="3064" spans="1:1" x14ac:dyDescent="0.25">
      <c r="A3064" s="63"/>
    </row>
    <row r="3065" spans="1:1" x14ac:dyDescent="0.25">
      <c r="A3065" s="63"/>
    </row>
    <row r="3066" spans="1:1" x14ac:dyDescent="0.25">
      <c r="A3066" s="63"/>
    </row>
    <row r="3067" spans="1:1" x14ac:dyDescent="0.25">
      <c r="A3067" s="63"/>
    </row>
    <row r="3068" spans="1:1" x14ac:dyDescent="0.25">
      <c r="A3068" s="63"/>
    </row>
    <row r="3069" spans="1:1" x14ac:dyDescent="0.25">
      <c r="A3069" s="63"/>
    </row>
    <row r="3070" spans="1:1" x14ac:dyDescent="0.25">
      <c r="A3070" s="63"/>
    </row>
    <row r="3071" spans="1:1" x14ac:dyDescent="0.25">
      <c r="A3071" s="63"/>
    </row>
    <row r="3072" spans="1:1" x14ac:dyDescent="0.25">
      <c r="A3072" s="63"/>
    </row>
    <row r="3073" spans="1:2" x14ac:dyDescent="0.25">
      <c r="A3073" s="63"/>
    </row>
    <row r="3074" spans="1:2" x14ac:dyDescent="0.25">
      <c r="A3074" s="63"/>
      <c r="B3074" s="63"/>
    </row>
    <row r="3075" spans="1:2" x14ac:dyDescent="0.25">
      <c r="A3075" s="63"/>
    </row>
    <row r="3076" spans="1:2" x14ac:dyDescent="0.25">
      <c r="A3076" s="63"/>
      <c r="B3076" s="63"/>
    </row>
    <row r="3077" spans="1:2" x14ac:dyDescent="0.25">
      <c r="A3077" s="63"/>
    </row>
    <row r="3078" spans="1:2" x14ac:dyDescent="0.25">
      <c r="A3078" s="63"/>
      <c r="B3078" s="63"/>
    </row>
    <row r="3079" spans="1:2" x14ac:dyDescent="0.25">
      <c r="A3079" s="63"/>
    </row>
    <row r="3080" spans="1:2" x14ac:dyDescent="0.25">
      <c r="A3080" s="63"/>
      <c r="B3080" s="63"/>
    </row>
    <row r="3081" spans="1:2" x14ac:dyDescent="0.25">
      <c r="A3081" s="63"/>
    </row>
    <row r="3082" spans="1:2" x14ac:dyDescent="0.25">
      <c r="A3082" s="63"/>
      <c r="B3082" s="63"/>
    </row>
    <row r="3083" spans="1:2" x14ac:dyDescent="0.25">
      <c r="A3083" s="63"/>
    </row>
    <row r="3084" spans="1:2" x14ac:dyDescent="0.25">
      <c r="A3084" s="63"/>
    </row>
    <row r="3085" spans="1:2" x14ac:dyDescent="0.25">
      <c r="A3085" s="63"/>
    </row>
    <row r="3086" spans="1:2" x14ac:dyDescent="0.25">
      <c r="A3086" s="63"/>
    </row>
    <row r="3087" spans="1:2" x14ac:dyDescent="0.25">
      <c r="A3087" s="63"/>
    </row>
    <row r="3088" spans="1:2" x14ac:dyDescent="0.25">
      <c r="A3088" s="63"/>
    </row>
    <row r="3089" spans="1:1" x14ac:dyDescent="0.25">
      <c r="A3089" s="63"/>
    </row>
    <row r="3090" spans="1:1" x14ac:dyDescent="0.25">
      <c r="A3090" s="63"/>
    </row>
    <row r="3091" spans="1:1" x14ac:dyDescent="0.25">
      <c r="A3091" s="63"/>
    </row>
    <row r="3092" spans="1:1" x14ac:dyDescent="0.25">
      <c r="A3092" s="63"/>
    </row>
    <row r="3093" spans="1:1" x14ac:dyDescent="0.25">
      <c r="A3093" s="63"/>
    </row>
    <row r="3094" spans="1:1" x14ac:dyDescent="0.25">
      <c r="A3094" s="63"/>
    </row>
    <row r="3095" spans="1:1" x14ac:dyDescent="0.25">
      <c r="A3095" s="63"/>
    </row>
    <row r="3096" spans="1:1" x14ac:dyDescent="0.25">
      <c r="A3096" s="63"/>
    </row>
    <row r="3097" spans="1:1" x14ac:dyDescent="0.25">
      <c r="A3097" s="63"/>
    </row>
    <row r="3098" spans="1:1" x14ac:dyDescent="0.25">
      <c r="A3098" s="63"/>
    </row>
    <row r="3099" spans="1:1" x14ac:dyDescent="0.25">
      <c r="A3099" s="63"/>
    </row>
    <row r="3100" spans="1:1" x14ac:dyDescent="0.25">
      <c r="A3100" s="63"/>
    </row>
    <row r="3101" spans="1:1" x14ac:dyDescent="0.25">
      <c r="A3101" s="63"/>
    </row>
    <row r="3102" spans="1:1" x14ac:dyDescent="0.25">
      <c r="A3102" s="63"/>
    </row>
    <row r="3103" spans="1:1" x14ac:dyDescent="0.25">
      <c r="A3103" s="63"/>
    </row>
    <row r="3104" spans="1:1" x14ac:dyDescent="0.25">
      <c r="A3104" s="63"/>
    </row>
    <row r="3105" spans="1:1" x14ac:dyDescent="0.25">
      <c r="A3105" s="63"/>
    </row>
    <row r="3106" spans="1:1" x14ac:dyDescent="0.25">
      <c r="A3106" s="63"/>
    </row>
    <row r="3107" spans="1:1" x14ac:dyDescent="0.25">
      <c r="A3107" s="63"/>
    </row>
    <row r="3108" spans="1:1" x14ac:dyDescent="0.25">
      <c r="A3108" s="63"/>
    </row>
    <row r="3109" spans="1:1" x14ac:dyDescent="0.25">
      <c r="A3109" s="63"/>
    </row>
    <row r="3110" spans="1:1" x14ac:dyDescent="0.25">
      <c r="A3110" s="63"/>
    </row>
    <row r="3111" spans="1:1" x14ac:dyDescent="0.25">
      <c r="A3111" s="63"/>
    </row>
    <row r="3112" spans="1:1" x14ac:dyDescent="0.25">
      <c r="A3112" s="63"/>
    </row>
    <row r="3113" spans="1:1" x14ac:dyDescent="0.25">
      <c r="A3113" s="63"/>
    </row>
    <row r="3114" spans="1:1" x14ac:dyDescent="0.25">
      <c r="A3114" s="63"/>
    </row>
    <row r="3115" spans="1:1" x14ac:dyDescent="0.25">
      <c r="A3115" s="63"/>
    </row>
    <row r="3116" spans="1:1" x14ac:dyDescent="0.25">
      <c r="A3116" s="63"/>
    </row>
    <row r="3117" spans="1:1" x14ac:dyDescent="0.25">
      <c r="A3117" s="63"/>
    </row>
    <row r="3118" spans="1:1" x14ac:dyDescent="0.25">
      <c r="A3118" s="63"/>
    </row>
    <row r="3119" spans="1:1" x14ac:dyDescent="0.25">
      <c r="A3119" s="63"/>
    </row>
    <row r="3120" spans="1:1" x14ac:dyDescent="0.25">
      <c r="A3120" s="63"/>
    </row>
    <row r="3121" spans="1:1" x14ac:dyDescent="0.25">
      <c r="A3121" s="63"/>
    </row>
    <row r="3122" spans="1:1" x14ac:dyDescent="0.25">
      <c r="A3122" s="63"/>
    </row>
    <row r="3123" spans="1:1" x14ac:dyDescent="0.25">
      <c r="A3123" s="63"/>
    </row>
    <row r="3124" spans="1:1" x14ac:dyDescent="0.25">
      <c r="A3124" s="63"/>
    </row>
    <row r="3125" spans="1:1" x14ac:dyDescent="0.25">
      <c r="A3125" s="63"/>
    </row>
    <row r="3126" spans="1:1" x14ac:dyDescent="0.25">
      <c r="A3126" s="63"/>
    </row>
    <row r="3127" spans="1:1" x14ac:dyDescent="0.25">
      <c r="A3127" s="63"/>
    </row>
    <row r="3128" spans="1:1" x14ac:dyDescent="0.25">
      <c r="A3128" s="63"/>
    </row>
    <row r="3129" spans="1:1" x14ac:dyDescent="0.25">
      <c r="A3129" s="63"/>
    </row>
    <row r="3130" spans="1:1" x14ac:dyDescent="0.25">
      <c r="A3130" s="63"/>
    </row>
    <row r="3131" spans="1:1" x14ac:dyDescent="0.25">
      <c r="A3131" s="63"/>
    </row>
    <row r="3132" spans="1:1" x14ac:dyDescent="0.25">
      <c r="A3132" s="63"/>
    </row>
    <row r="3133" spans="1:1" x14ac:dyDescent="0.25">
      <c r="A3133" s="63"/>
    </row>
    <row r="3134" spans="1:1" x14ac:dyDescent="0.25">
      <c r="A3134" s="63"/>
    </row>
    <row r="3135" spans="1:1" x14ac:dyDescent="0.25">
      <c r="A3135" s="63"/>
    </row>
    <row r="3136" spans="1:1" x14ac:dyDescent="0.25">
      <c r="A3136" s="63"/>
    </row>
    <row r="3137" spans="1:1" x14ac:dyDescent="0.25">
      <c r="A3137" s="63"/>
    </row>
    <row r="3138" spans="1:1" x14ac:dyDescent="0.25">
      <c r="A3138" s="63"/>
    </row>
    <row r="3139" spans="1:1" x14ac:dyDescent="0.25">
      <c r="A3139" s="63"/>
    </row>
    <row r="3140" spans="1:1" x14ac:dyDescent="0.25">
      <c r="A3140" s="63"/>
    </row>
    <row r="3141" spans="1:1" x14ac:dyDescent="0.25">
      <c r="A3141" s="63"/>
    </row>
    <row r="3142" spans="1:1" x14ac:dyDescent="0.25">
      <c r="A3142" s="63"/>
    </row>
    <row r="3143" spans="1:1" x14ac:dyDescent="0.25">
      <c r="A3143" s="63"/>
    </row>
    <row r="3144" spans="1:1" x14ac:dyDescent="0.25">
      <c r="A3144" s="63"/>
    </row>
    <row r="3145" spans="1:1" x14ac:dyDescent="0.25">
      <c r="A3145" s="63"/>
    </row>
    <row r="3146" spans="1:1" x14ac:dyDescent="0.25">
      <c r="A3146" s="63"/>
    </row>
    <row r="3147" spans="1:1" x14ac:dyDescent="0.25">
      <c r="A3147" s="63"/>
    </row>
    <row r="3148" spans="1:1" x14ac:dyDescent="0.25">
      <c r="A3148" s="63"/>
    </row>
    <row r="3149" spans="1:1" x14ac:dyDescent="0.25">
      <c r="A3149" s="63"/>
    </row>
    <row r="3150" spans="1:1" x14ac:dyDescent="0.25">
      <c r="A3150" s="63"/>
    </row>
    <row r="3151" spans="1:1" x14ac:dyDescent="0.25">
      <c r="A3151" s="63"/>
    </row>
    <row r="3152" spans="1:1" x14ac:dyDescent="0.25">
      <c r="A3152" s="63"/>
    </row>
    <row r="3153" spans="1:1" x14ac:dyDescent="0.25">
      <c r="A3153" s="63"/>
    </row>
    <row r="3154" spans="1:1" x14ac:dyDescent="0.25">
      <c r="A3154" s="63"/>
    </row>
    <row r="3155" spans="1:1" x14ac:dyDescent="0.25">
      <c r="A3155" s="63"/>
    </row>
    <row r="3156" spans="1:1" x14ac:dyDescent="0.25">
      <c r="A3156" s="63"/>
    </row>
    <row r="3157" spans="1:1" x14ac:dyDescent="0.25">
      <c r="A3157" s="63"/>
    </row>
    <row r="3158" spans="1:1" x14ac:dyDescent="0.25">
      <c r="A3158" s="63"/>
    </row>
    <row r="3159" spans="1:1" x14ac:dyDescent="0.25">
      <c r="A3159" s="63"/>
    </row>
    <row r="3160" spans="1:1" x14ac:dyDescent="0.25">
      <c r="A3160" s="63"/>
    </row>
    <row r="3161" spans="1:1" x14ac:dyDescent="0.25">
      <c r="A3161" s="63"/>
    </row>
    <row r="3162" spans="1:1" x14ac:dyDescent="0.25">
      <c r="A3162" s="63"/>
    </row>
    <row r="3163" spans="1:1" x14ac:dyDescent="0.25">
      <c r="A3163" s="63"/>
    </row>
    <row r="3164" spans="1:1" x14ac:dyDescent="0.25">
      <c r="A3164" s="63"/>
    </row>
    <row r="3165" spans="1:1" x14ac:dyDescent="0.25">
      <c r="A3165" s="63"/>
    </row>
    <row r="3166" spans="1:1" x14ac:dyDescent="0.25">
      <c r="A3166" s="63"/>
    </row>
    <row r="3167" spans="1:1" x14ac:dyDescent="0.25">
      <c r="A3167" s="63"/>
    </row>
    <row r="3168" spans="1:1" x14ac:dyDescent="0.25">
      <c r="A3168" s="63"/>
    </row>
    <row r="3169" spans="1:1" x14ac:dyDescent="0.25">
      <c r="A3169" s="63"/>
    </row>
    <row r="3170" spans="1:1" x14ac:dyDescent="0.25">
      <c r="A3170" s="63"/>
    </row>
    <row r="3171" spans="1:1" x14ac:dyDescent="0.25">
      <c r="A3171" s="63"/>
    </row>
    <row r="3172" spans="1:1" x14ac:dyDescent="0.25">
      <c r="A3172" s="63"/>
    </row>
    <row r="3173" spans="1:1" x14ac:dyDescent="0.25">
      <c r="A3173" s="63"/>
    </row>
    <row r="3174" spans="1:1" x14ac:dyDescent="0.25">
      <c r="A3174" s="63"/>
    </row>
    <row r="3175" spans="1:1" x14ac:dyDescent="0.25">
      <c r="A3175" s="63"/>
    </row>
    <row r="3176" spans="1:1" x14ac:dyDescent="0.25">
      <c r="A3176" s="63"/>
    </row>
    <row r="3177" spans="1:1" x14ac:dyDescent="0.25">
      <c r="A3177" s="63"/>
    </row>
    <row r="3178" spans="1:1" x14ac:dyDescent="0.25">
      <c r="A3178" s="63"/>
    </row>
    <row r="3179" spans="1:1" x14ac:dyDescent="0.25">
      <c r="A3179" s="63"/>
    </row>
    <row r="3180" spans="1:1" x14ac:dyDescent="0.25">
      <c r="A3180" s="63"/>
    </row>
    <row r="3181" spans="1:1" x14ac:dyDescent="0.25">
      <c r="A3181" s="63"/>
    </row>
    <row r="3182" spans="1:1" x14ac:dyDescent="0.25">
      <c r="A3182" s="63"/>
    </row>
    <row r="3183" spans="1:1" x14ac:dyDescent="0.25">
      <c r="A3183" s="63"/>
    </row>
    <row r="3184" spans="1:1" x14ac:dyDescent="0.25">
      <c r="A3184" s="63"/>
    </row>
    <row r="3185" spans="1:1" x14ac:dyDescent="0.25">
      <c r="A3185" s="63"/>
    </row>
    <row r="3186" spans="1:1" x14ac:dyDescent="0.25">
      <c r="A3186" s="63"/>
    </row>
    <row r="3187" spans="1:1" x14ac:dyDescent="0.25">
      <c r="A3187" s="63"/>
    </row>
    <row r="3188" spans="1:1" x14ac:dyDescent="0.25">
      <c r="A3188" s="63"/>
    </row>
    <row r="3189" spans="1:1" x14ac:dyDescent="0.25">
      <c r="A3189" s="63"/>
    </row>
    <row r="3190" spans="1:1" x14ac:dyDescent="0.25">
      <c r="A3190" s="63"/>
    </row>
    <row r="3191" spans="1:1" x14ac:dyDescent="0.25">
      <c r="A3191" s="63"/>
    </row>
    <row r="3192" spans="1:1" x14ac:dyDescent="0.25">
      <c r="A3192" s="63"/>
    </row>
    <row r="3193" spans="1:1" x14ac:dyDescent="0.25">
      <c r="A3193" s="63"/>
    </row>
    <row r="3194" spans="1:1" x14ac:dyDescent="0.25">
      <c r="A3194" s="63"/>
    </row>
    <row r="3195" spans="1:1" x14ac:dyDescent="0.25">
      <c r="A3195" s="63"/>
    </row>
    <row r="3196" spans="1:1" x14ac:dyDescent="0.25">
      <c r="A3196" s="63"/>
    </row>
    <row r="3197" spans="1:1" x14ac:dyDescent="0.25">
      <c r="A3197" s="63"/>
    </row>
    <row r="3198" spans="1:1" x14ac:dyDescent="0.25">
      <c r="A3198" s="63"/>
    </row>
    <row r="3199" spans="1:1" x14ac:dyDescent="0.25">
      <c r="A3199" s="63"/>
    </row>
    <row r="3200" spans="1:1" x14ac:dyDescent="0.25">
      <c r="A3200" s="63"/>
    </row>
    <row r="3201" spans="1:1" x14ac:dyDescent="0.25">
      <c r="A3201" s="63"/>
    </row>
    <row r="3202" spans="1:1" x14ac:dyDescent="0.25">
      <c r="A3202" s="63"/>
    </row>
    <row r="3203" spans="1:1" x14ac:dyDescent="0.25">
      <c r="A3203" s="63"/>
    </row>
    <row r="3204" spans="1:1" x14ac:dyDescent="0.25">
      <c r="A3204" s="63"/>
    </row>
    <row r="3205" spans="1:1" x14ac:dyDescent="0.25">
      <c r="A3205" s="63"/>
    </row>
    <row r="3206" spans="1:1" x14ac:dyDescent="0.25">
      <c r="A3206" s="63"/>
    </row>
    <row r="3207" spans="1:1" x14ac:dyDescent="0.25">
      <c r="A3207" s="63"/>
    </row>
    <row r="3208" spans="1:1" x14ac:dyDescent="0.25">
      <c r="A3208" s="63"/>
    </row>
    <row r="3209" spans="1:1" x14ac:dyDescent="0.25">
      <c r="A3209" s="63"/>
    </row>
    <row r="3210" spans="1:1" x14ac:dyDescent="0.25">
      <c r="A3210" s="63"/>
    </row>
    <row r="3211" spans="1:1" x14ac:dyDescent="0.25">
      <c r="A3211" s="63"/>
    </row>
    <row r="3212" spans="1:1" x14ac:dyDescent="0.25">
      <c r="A3212" s="63"/>
    </row>
    <row r="3213" spans="1:1" x14ac:dyDescent="0.25">
      <c r="A3213" s="63"/>
    </row>
    <row r="3214" spans="1:1" x14ac:dyDescent="0.25">
      <c r="A3214" s="63"/>
    </row>
    <row r="3215" spans="1:1" x14ac:dyDescent="0.25">
      <c r="A3215" s="63"/>
    </row>
    <row r="3216" spans="1:1" x14ac:dyDescent="0.25">
      <c r="A3216" s="63"/>
    </row>
    <row r="3217" spans="1:1" x14ac:dyDescent="0.25">
      <c r="A3217" s="63"/>
    </row>
    <row r="3218" spans="1:1" x14ac:dyDescent="0.25">
      <c r="A3218" s="63"/>
    </row>
    <row r="3219" spans="1:1" x14ac:dyDescent="0.25">
      <c r="A3219" s="63"/>
    </row>
    <row r="3220" spans="1:1" x14ac:dyDescent="0.25">
      <c r="A3220" s="63"/>
    </row>
    <row r="3221" spans="1:1" x14ac:dyDescent="0.25">
      <c r="A3221" s="63"/>
    </row>
    <row r="3222" spans="1:1" x14ac:dyDescent="0.25">
      <c r="A3222" s="63"/>
    </row>
    <row r="3223" spans="1:1" x14ac:dyDescent="0.25">
      <c r="A3223" s="63"/>
    </row>
    <row r="3224" spans="1:1" x14ac:dyDescent="0.25">
      <c r="A3224" s="63"/>
    </row>
    <row r="3225" spans="1:1" x14ac:dyDescent="0.25">
      <c r="A3225" s="63"/>
    </row>
    <row r="3226" spans="1:1" x14ac:dyDescent="0.25">
      <c r="A3226" s="63"/>
    </row>
    <row r="3227" spans="1:1" x14ac:dyDescent="0.25">
      <c r="A3227" s="63"/>
    </row>
    <row r="3228" spans="1:1" x14ac:dyDescent="0.25">
      <c r="A3228" s="63"/>
    </row>
    <row r="3229" spans="1:1" x14ac:dyDescent="0.25">
      <c r="A3229" s="63"/>
    </row>
    <row r="3230" spans="1:1" x14ac:dyDescent="0.25">
      <c r="A3230" s="63"/>
    </row>
    <row r="3231" spans="1:1" x14ac:dyDescent="0.25">
      <c r="A3231" s="63"/>
    </row>
    <row r="3232" spans="1:1" x14ac:dyDescent="0.25">
      <c r="A3232" s="63"/>
    </row>
    <row r="3233" spans="1:1" x14ac:dyDescent="0.25">
      <c r="A3233" s="63"/>
    </row>
    <row r="3234" spans="1:1" x14ac:dyDescent="0.25">
      <c r="A3234" s="63"/>
    </row>
    <row r="3235" spans="1:1" x14ac:dyDescent="0.25">
      <c r="A3235" s="63"/>
    </row>
    <row r="3236" spans="1:1" x14ac:dyDescent="0.25">
      <c r="A3236" s="63"/>
    </row>
    <row r="3237" spans="1:1" x14ac:dyDescent="0.25">
      <c r="A3237" s="63"/>
    </row>
    <row r="3238" spans="1:1" x14ac:dyDescent="0.25">
      <c r="A3238" s="63"/>
    </row>
    <row r="3239" spans="1:1" x14ac:dyDescent="0.25">
      <c r="A3239" s="63"/>
    </row>
    <row r="3240" spans="1:1" x14ac:dyDescent="0.25">
      <c r="A3240" s="63"/>
    </row>
    <row r="3241" spans="1:1" x14ac:dyDescent="0.25">
      <c r="A3241" s="63"/>
    </row>
    <row r="3242" spans="1:1" x14ac:dyDescent="0.25">
      <c r="A3242" s="63"/>
    </row>
    <row r="3243" spans="1:1" x14ac:dyDescent="0.25">
      <c r="A3243" s="63"/>
    </row>
    <row r="3244" spans="1:1" x14ac:dyDescent="0.25">
      <c r="A3244" s="63"/>
    </row>
    <row r="3245" spans="1:1" x14ac:dyDescent="0.25">
      <c r="A3245" s="63"/>
    </row>
    <row r="3246" spans="1:1" x14ac:dyDescent="0.25">
      <c r="A3246" s="63"/>
    </row>
    <row r="3247" spans="1:1" x14ac:dyDescent="0.25">
      <c r="A3247" s="63"/>
    </row>
    <row r="3248" spans="1:1" x14ac:dyDescent="0.25">
      <c r="A3248" s="63"/>
    </row>
    <row r="3249" spans="1:1" x14ac:dyDescent="0.25">
      <c r="A3249" s="63"/>
    </row>
    <row r="3250" spans="1:1" x14ac:dyDescent="0.25">
      <c r="A3250" s="63"/>
    </row>
    <row r="3251" spans="1:1" x14ac:dyDescent="0.25">
      <c r="A3251" s="63"/>
    </row>
    <row r="3252" spans="1:1" x14ac:dyDescent="0.25">
      <c r="A3252" s="63"/>
    </row>
    <row r="3253" spans="1:1" x14ac:dyDescent="0.25">
      <c r="A3253" s="63"/>
    </row>
    <row r="3254" spans="1:1" x14ac:dyDescent="0.25">
      <c r="A3254" s="63"/>
    </row>
    <row r="3255" spans="1:1" x14ac:dyDescent="0.25">
      <c r="A3255" s="63"/>
    </row>
    <row r="3256" spans="1:1" x14ac:dyDescent="0.25">
      <c r="A3256" s="63"/>
    </row>
    <row r="3257" spans="1:1" x14ac:dyDescent="0.25">
      <c r="A3257" s="63"/>
    </row>
    <row r="3258" spans="1:1" x14ac:dyDescent="0.25">
      <c r="A3258" s="63"/>
    </row>
    <row r="3259" spans="1:1" x14ac:dyDescent="0.25">
      <c r="A3259" s="63"/>
    </row>
    <row r="3260" spans="1:1" x14ac:dyDescent="0.25">
      <c r="A3260" s="63"/>
    </row>
    <row r="3261" spans="1:1" x14ac:dyDescent="0.25">
      <c r="A3261" s="63"/>
    </row>
    <row r="3262" spans="1:1" x14ac:dyDescent="0.25">
      <c r="A3262" s="63"/>
    </row>
    <row r="3263" spans="1:1" x14ac:dyDescent="0.25">
      <c r="A3263" s="63"/>
    </row>
    <row r="3264" spans="1:1" x14ac:dyDescent="0.25">
      <c r="A3264" s="63"/>
    </row>
    <row r="3265" spans="1:1" x14ac:dyDescent="0.25">
      <c r="A3265" s="63"/>
    </row>
    <row r="3266" spans="1:1" x14ac:dyDescent="0.25">
      <c r="A3266" s="63"/>
    </row>
    <row r="3267" spans="1:1" x14ac:dyDescent="0.25">
      <c r="A3267" s="63"/>
    </row>
    <row r="3268" spans="1:1" x14ac:dyDescent="0.25">
      <c r="A3268" s="63"/>
    </row>
    <row r="3269" spans="1:1" x14ac:dyDescent="0.25">
      <c r="A3269" s="63"/>
    </row>
    <row r="3270" spans="1:1" x14ac:dyDescent="0.25">
      <c r="A3270" s="63"/>
    </row>
    <row r="3271" spans="1:1" x14ac:dyDescent="0.25">
      <c r="A3271" s="63"/>
    </row>
    <row r="3272" spans="1:1" x14ac:dyDescent="0.25">
      <c r="A3272" s="63"/>
    </row>
    <row r="3273" spans="1:1" x14ac:dyDescent="0.25">
      <c r="A3273" s="63"/>
    </row>
    <row r="3274" spans="1:1" x14ac:dyDescent="0.25">
      <c r="A3274" s="63"/>
    </row>
    <row r="3275" spans="1:1" x14ac:dyDescent="0.25">
      <c r="A3275" s="63"/>
    </row>
    <row r="3276" spans="1:1" x14ac:dyDescent="0.25">
      <c r="A3276" s="63"/>
    </row>
    <row r="3277" spans="1:1" x14ac:dyDescent="0.25">
      <c r="A3277" s="63"/>
    </row>
    <row r="3278" spans="1:1" x14ac:dyDescent="0.25">
      <c r="A3278" s="63"/>
    </row>
    <row r="3279" spans="1:1" x14ac:dyDescent="0.25">
      <c r="A3279" s="63"/>
    </row>
    <row r="3280" spans="1:1" x14ac:dyDescent="0.25">
      <c r="A3280" s="63"/>
    </row>
    <row r="3281" spans="1:1" x14ac:dyDescent="0.25">
      <c r="A3281" s="63"/>
    </row>
    <row r="3282" spans="1:1" x14ac:dyDescent="0.25">
      <c r="A3282" s="63"/>
    </row>
    <row r="3283" spans="1:1" x14ac:dyDescent="0.25">
      <c r="A3283" s="63"/>
    </row>
    <row r="3284" spans="1:1" x14ac:dyDescent="0.25">
      <c r="A3284" s="63"/>
    </row>
    <row r="3285" spans="1:1" x14ac:dyDescent="0.25">
      <c r="A3285" s="63"/>
    </row>
    <row r="3286" spans="1:1" x14ac:dyDescent="0.25">
      <c r="A3286" s="63"/>
    </row>
    <row r="3287" spans="1:1" x14ac:dyDescent="0.25">
      <c r="A3287" s="63"/>
    </row>
    <row r="3288" spans="1:1" x14ac:dyDescent="0.25">
      <c r="A3288" s="63"/>
    </row>
    <row r="3289" spans="1:1" x14ac:dyDescent="0.25">
      <c r="A3289" s="63"/>
    </row>
    <row r="3290" spans="1:1" x14ac:dyDescent="0.25">
      <c r="A3290" s="63"/>
    </row>
    <row r="3291" spans="1:1" x14ac:dyDescent="0.25">
      <c r="A3291" s="63"/>
    </row>
    <row r="3292" spans="1:1" x14ac:dyDescent="0.25">
      <c r="A3292" s="63"/>
    </row>
    <row r="3293" spans="1:1" x14ac:dyDescent="0.25">
      <c r="A3293" s="63"/>
    </row>
    <row r="3294" spans="1:1" x14ac:dyDescent="0.25">
      <c r="A3294" s="63"/>
    </row>
    <row r="3295" spans="1:1" x14ac:dyDescent="0.25">
      <c r="A3295" s="63"/>
    </row>
    <row r="3296" spans="1:1" x14ac:dyDescent="0.25">
      <c r="A3296" s="63"/>
    </row>
    <row r="3297" spans="1:1" x14ac:dyDescent="0.25">
      <c r="A3297" s="63"/>
    </row>
    <row r="3298" spans="1:1" x14ac:dyDescent="0.25">
      <c r="A3298" s="63"/>
    </row>
    <row r="3299" spans="1:1" x14ac:dyDescent="0.25">
      <c r="A3299" s="63"/>
    </row>
    <row r="3300" spans="1:1" x14ac:dyDescent="0.25">
      <c r="A3300" s="63"/>
    </row>
    <row r="3301" spans="1:1" x14ac:dyDescent="0.25">
      <c r="A3301" s="63"/>
    </row>
    <row r="3302" spans="1:1" x14ac:dyDescent="0.25">
      <c r="A3302" s="63"/>
    </row>
    <row r="3303" spans="1:1" x14ac:dyDescent="0.25">
      <c r="A3303" s="63"/>
    </row>
    <row r="3304" spans="1:1" x14ac:dyDescent="0.25">
      <c r="A3304" s="63"/>
    </row>
    <row r="3305" spans="1:1" x14ac:dyDescent="0.25">
      <c r="A3305" s="63"/>
    </row>
    <row r="3306" spans="1:1" x14ac:dyDescent="0.25">
      <c r="A3306" s="63"/>
    </row>
    <row r="3307" spans="1:1" x14ac:dyDescent="0.25">
      <c r="A3307" s="63"/>
    </row>
    <row r="3308" spans="1:1" x14ac:dyDescent="0.25">
      <c r="A3308" s="63"/>
    </row>
    <row r="3309" spans="1:1" x14ac:dyDescent="0.25">
      <c r="A3309" s="63"/>
    </row>
    <row r="3310" spans="1:1" x14ac:dyDescent="0.25">
      <c r="A3310" s="63"/>
    </row>
    <row r="3311" spans="1:1" x14ac:dyDescent="0.25">
      <c r="A3311" s="63"/>
    </row>
    <row r="3312" spans="1:1" x14ac:dyDescent="0.25">
      <c r="A3312" s="63"/>
    </row>
    <row r="3313" spans="1:1" x14ac:dyDescent="0.25">
      <c r="A3313" s="63"/>
    </row>
    <row r="3314" spans="1:1" x14ac:dyDescent="0.25">
      <c r="A3314" s="63"/>
    </row>
    <row r="3315" spans="1:1" x14ac:dyDescent="0.25">
      <c r="A3315" s="63"/>
    </row>
    <row r="3316" spans="1:1" x14ac:dyDescent="0.25">
      <c r="A3316" s="63"/>
    </row>
    <row r="3317" spans="1:1" x14ac:dyDescent="0.25">
      <c r="A3317" s="63"/>
    </row>
    <row r="3318" spans="1:1" x14ac:dyDescent="0.25">
      <c r="A3318" s="63"/>
    </row>
    <row r="3319" spans="1:1" x14ac:dyDescent="0.25">
      <c r="A3319" s="63"/>
    </row>
    <row r="3320" spans="1:1" x14ac:dyDescent="0.25">
      <c r="A3320" s="63"/>
    </row>
    <row r="3321" spans="1:1" x14ac:dyDescent="0.25">
      <c r="A3321" s="63"/>
    </row>
    <row r="3322" spans="1:1" x14ac:dyDescent="0.25">
      <c r="A3322" s="63"/>
    </row>
    <row r="3323" spans="1:1" x14ac:dyDescent="0.25">
      <c r="A3323" s="63"/>
    </row>
    <row r="3324" spans="1:1" x14ac:dyDescent="0.25">
      <c r="A3324" s="63"/>
    </row>
    <row r="3325" spans="1:1" x14ac:dyDescent="0.25">
      <c r="A3325" s="63"/>
    </row>
    <row r="3326" spans="1:1" x14ac:dyDescent="0.25">
      <c r="A3326" s="63"/>
    </row>
    <row r="3327" spans="1:1" x14ac:dyDescent="0.25">
      <c r="A3327" s="63"/>
    </row>
    <row r="3328" spans="1:1" x14ac:dyDescent="0.25">
      <c r="A3328" s="63"/>
    </row>
    <row r="3329" spans="1:1" x14ac:dyDescent="0.25">
      <c r="A3329" s="63"/>
    </row>
    <row r="3330" spans="1:1" x14ac:dyDescent="0.25">
      <c r="A3330" s="63"/>
    </row>
    <row r="3331" spans="1:1" x14ac:dyDescent="0.25">
      <c r="A3331" s="63"/>
    </row>
    <row r="3332" spans="1:1" x14ac:dyDescent="0.25">
      <c r="A3332" s="63"/>
    </row>
    <row r="3333" spans="1:1" x14ac:dyDescent="0.25">
      <c r="A3333" s="63"/>
    </row>
    <row r="3334" spans="1:1" x14ac:dyDescent="0.25">
      <c r="A3334" s="63"/>
    </row>
    <row r="3335" spans="1:1" x14ac:dyDescent="0.25">
      <c r="A3335" s="63"/>
    </row>
    <row r="3336" spans="1:1" x14ac:dyDescent="0.25">
      <c r="A3336" s="63"/>
    </row>
    <row r="3337" spans="1:1" x14ac:dyDescent="0.25">
      <c r="A3337" s="63"/>
    </row>
    <row r="3338" spans="1:1" x14ac:dyDescent="0.25">
      <c r="A3338" s="63"/>
    </row>
    <row r="3339" spans="1:1" x14ac:dyDescent="0.25">
      <c r="A3339" s="63"/>
    </row>
    <row r="3340" spans="1:1" x14ac:dyDescent="0.25">
      <c r="A3340" s="63"/>
    </row>
    <row r="3341" spans="1:1" x14ac:dyDescent="0.25">
      <c r="A3341" s="63"/>
    </row>
    <row r="3342" spans="1:1" x14ac:dyDescent="0.25">
      <c r="A3342" s="63"/>
    </row>
    <row r="3343" spans="1:1" x14ac:dyDescent="0.25">
      <c r="A3343" s="63"/>
    </row>
    <row r="3344" spans="1:1" x14ac:dyDescent="0.25">
      <c r="A3344" s="63"/>
    </row>
    <row r="3345" spans="1:1" x14ac:dyDescent="0.25">
      <c r="A3345" s="63"/>
    </row>
    <row r="3346" spans="1:1" x14ac:dyDescent="0.25">
      <c r="A3346" s="63"/>
    </row>
    <row r="3347" spans="1:1" x14ac:dyDescent="0.25">
      <c r="A3347" s="63"/>
    </row>
    <row r="3348" spans="1:1" x14ac:dyDescent="0.25">
      <c r="A3348" s="63"/>
    </row>
    <row r="3349" spans="1:1" x14ac:dyDescent="0.25">
      <c r="A3349" s="63"/>
    </row>
    <row r="3350" spans="1:1" x14ac:dyDescent="0.25">
      <c r="A3350" s="63"/>
    </row>
    <row r="3351" spans="1:1" x14ac:dyDescent="0.25">
      <c r="A3351" s="63"/>
    </row>
    <row r="3352" spans="1:1" x14ac:dyDescent="0.25">
      <c r="A3352" s="63"/>
    </row>
    <row r="3353" spans="1:1" x14ac:dyDescent="0.25">
      <c r="A3353" s="63"/>
    </row>
    <row r="3354" spans="1:1" x14ac:dyDescent="0.25">
      <c r="A3354" s="63"/>
    </row>
    <row r="3355" spans="1:1" x14ac:dyDescent="0.25">
      <c r="A3355" s="63"/>
    </row>
    <row r="3356" spans="1:1" x14ac:dyDescent="0.25">
      <c r="A3356" s="63"/>
    </row>
    <row r="3357" spans="1:1" x14ac:dyDescent="0.25">
      <c r="A3357" s="63"/>
    </row>
    <row r="3358" spans="1:1" x14ac:dyDescent="0.25">
      <c r="A3358" s="63"/>
    </row>
    <row r="3359" spans="1:1" x14ac:dyDescent="0.25">
      <c r="A3359" s="63"/>
    </row>
    <row r="3360" spans="1:1" x14ac:dyDescent="0.25">
      <c r="A3360" s="63"/>
    </row>
    <row r="3361" spans="1:1" x14ac:dyDescent="0.25">
      <c r="A3361" s="63"/>
    </row>
    <row r="3362" spans="1:1" x14ac:dyDescent="0.25">
      <c r="A3362" s="63"/>
    </row>
    <row r="3363" spans="1:1" x14ac:dyDescent="0.25">
      <c r="A3363" s="63"/>
    </row>
    <row r="3364" spans="1:1" x14ac:dyDescent="0.25">
      <c r="A3364" s="63"/>
    </row>
    <row r="3365" spans="1:1" x14ac:dyDescent="0.25">
      <c r="A3365" s="63"/>
    </row>
    <row r="3366" spans="1:1" x14ac:dyDescent="0.25">
      <c r="A3366" s="63"/>
    </row>
    <row r="3367" spans="1:1" x14ac:dyDescent="0.25">
      <c r="A3367" s="63"/>
    </row>
    <row r="3368" spans="1:1" x14ac:dyDescent="0.25">
      <c r="A3368" s="63"/>
    </row>
    <row r="3369" spans="1:1" x14ac:dyDescent="0.25">
      <c r="A3369" s="63"/>
    </row>
    <row r="3370" spans="1:1" x14ac:dyDescent="0.25">
      <c r="A3370" s="63"/>
    </row>
    <row r="3371" spans="1:1" x14ac:dyDescent="0.25">
      <c r="A3371" s="63"/>
    </row>
    <row r="3372" spans="1:1" x14ac:dyDescent="0.25">
      <c r="A3372" s="63"/>
    </row>
    <row r="3373" spans="1:1" x14ac:dyDescent="0.25">
      <c r="A3373" s="63"/>
    </row>
    <row r="3374" spans="1:1" x14ac:dyDescent="0.25">
      <c r="A3374" s="63"/>
    </row>
    <row r="3375" spans="1:1" x14ac:dyDescent="0.25">
      <c r="A3375" s="63"/>
    </row>
    <row r="3376" spans="1:1" x14ac:dyDescent="0.25">
      <c r="A3376" s="63"/>
    </row>
    <row r="3377" spans="1:1" x14ac:dyDescent="0.25">
      <c r="A3377" s="63"/>
    </row>
    <row r="3378" spans="1:1" x14ac:dyDescent="0.25">
      <c r="A3378" s="63"/>
    </row>
    <row r="3379" spans="1:1" x14ac:dyDescent="0.25">
      <c r="A3379" s="63"/>
    </row>
    <row r="3380" spans="1:1" x14ac:dyDescent="0.25">
      <c r="A3380" s="63"/>
    </row>
    <row r="3381" spans="1:1" x14ac:dyDescent="0.25">
      <c r="A3381" s="63"/>
    </row>
    <row r="3382" spans="1:1" x14ac:dyDescent="0.25">
      <c r="A3382" s="63"/>
    </row>
    <row r="3383" spans="1:1" x14ac:dyDescent="0.25">
      <c r="A3383" s="63"/>
    </row>
    <row r="3384" spans="1:1" x14ac:dyDescent="0.25">
      <c r="A3384" s="63"/>
    </row>
    <row r="3385" spans="1:1" x14ac:dyDescent="0.25">
      <c r="A3385" s="63"/>
    </row>
    <row r="3386" spans="1:1" x14ac:dyDescent="0.25">
      <c r="A3386" s="63"/>
    </row>
    <row r="3387" spans="1:1" x14ac:dyDescent="0.25">
      <c r="A3387" s="63"/>
    </row>
    <row r="3388" spans="1:1" x14ac:dyDescent="0.25">
      <c r="A3388" s="63"/>
    </row>
    <row r="3389" spans="1:1" x14ac:dyDescent="0.25">
      <c r="A3389" s="63"/>
    </row>
    <row r="3390" spans="1:1" x14ac:dyDescent="0.25">
      <c r="A3390" s="63"/>
    </row>
    <row r="3391" spans="1:1" x14ac:dyDescent="0.25">
      <c r="A3391" s="63"/>
    </row>
    <row r="3392" spans="1:1" x14ac:dyDescent="0.25">
      <c r="A3392" s="63"/>
    </row>
    <row r="3393" spans="1:2" x14ac:dyDescent="0.25">
      <c r="A3393" s="63"/>
    </row>
    <row r="3394" spans="1:2" x14ac:dyDescent="0.25">
      <c r="A3394" s="63"/>
    </row>
    <row r="3395" spans="1:2" x14ac:dyDescent="0.25">
      <c r="A3395" s="63"/>
    </row>
    <row r="3396" spans="1:2" x14ac:dyDescent="0.25">
      <c r="A3396" s="63"/>
    </row>
    <row r="3397" spans="1:2" x14ac:dyDescent="0.25">
      <c r="A3397" s="63"/>
    </row>
    <row r="3398" spans="1:2" x14ac:dyDescent="0.25">
      <c r="A3398" s="63"/>
    </row>
    <row r="3399" spans="1:2" x14ac:dyDescent="0.25">
      <c r="A3399" s="63"/>
    </row>
    <row r="3400" spans="1:2" x14ac:dyDescent="0.25">
      <c r="A3400" s="63"/>
    </row>
    <row r="3401" spans="1:2" x14ac:dyDescent="0.25">
      <c r="A3401" s="63"/>
    </row>
    <row r="3402" spans="1:2" x14ac:dyDescent="0.25">
      <c r="A3402" s="63"/>
      <c r="B3402" s="63"/>
    </row>
    <row r="3403" spans="1:2" x14ac:dyDescent="0.25">
      <c r="A3403" s="63"/>
    </row>
    <row r="3404" spans="1:2" x14ac:dyDescent="0.25">
      <c r="A3404" s="63"/>
    </row>
    <row r="3405" spans="1:2" x14ac:dyDescent="0.25">
      <c r="A3405" s="63"/>
    </row>
    <row r="3406" spans="1:2" x14ac:dyDescent="0.25">
      <c r="A3406" s="63"/>
      <c r="B3406" s="63"/>
    </row>
    <row r="3407" spans="1:2" x14ac:dyDescent="0.25">
      <c r="A3407" s="63"/>
    </row>
    <row r="3408" spans="1:2" x14ac:dyDescent="0.25">
      <c r="A3408" s="63"/>
      <c r="B3408" s="63"/>
    </row>
    <row r="3409" spans="1:2" x14ac:dyDescent="0.25">
      <c r="A3409" s="63"/>
    </row>
    <row r="3410" spans="1:2" x14ac:dyDescent="0.25">
      <c r="A3410" s="63"/>
    </row>
    <row r="3411" spans="1:2" x14ac:dyDescent="0.25">
      <c r="A3411" s="63"/>
      <c r="B3411" s="63"/>
    </row>
    <row r="3412" spans="1:2" x14ac:dyDescent="0.25">
      <c r="A3412" s="63"/>
    </row>
    <row r="3413" spans="1:2" x14ac:dyDescent="0.25">
      <c r="A3413" s="63"/>
    </row>
    <row r="3414" spans="1:2" x14ac:dyDescent="0.25">
      <c r="A3414" s="63"/>
      <c r="B3414" s="63"/>
    </row>
    <row r="3415" spans="1:2" x14ac:dyDescent="0.25">
      <c r="A3415" s="63"/>
    </row>
    <row r="3416" spans="1:2" x14ac:dyDescent="0.25">
      <c r="A3416" s="63"/>
    </row>
    <row r="3417" spans="1:2" x14ac:dyDescent="0.25">
      <c r="A3417" s="63"/>
      <c r="B3417" s="63"/>
    </row>
    <row r="3418" spans="1:2" x14ac:dyDescent="0.25">
      <c r="A3418" s="63"/>
    </row>
    <row r="3419" spans="1:2" x14ac:dyDescent="0.25">
      <c r="A3419" s="63"/>
    </row>
    <row r="3420" spans="1:2" x14ac:dyDescent="0.25">
      <c r="A3420" s="63"/>
    </row>
    <row r="3421" spans="1:2" x14ac:dyDescent="0.25">
      <c r="A3421" s="63"/>
    </row>
    <row r="3422" spans="1:2" x14ac:dyDescent="0.25">
      <c r="A3422" s="63"/>
    </row>
    <row r="3423" spans="1:2" x14ac:dyDescent="0.25">
      <c r="A3423" s="63"/>
    </row>
    <row r="3424" spans="1:2" x14ac:dyDescent="0.25">
      <c r="A3424" s="63"/>
    </row>
    <row r="3425" spans="1:2" x14ac:dyDescent="0.25">
      <c r="A3425" s="63"/>
    </row>
    <row r="3426" spans="1:2" x14ac:dyDescent="0.25">
      <c r="A3426" s="63"/>
    </row>
    <row r="3427" spans="1:2" x14ac:dyDescent="0.25">
      <c r="A3427" s="63"/>
    </row>
    <row r="3428" spans="1:2" x14ac:dyDescent="0.25">
      <c r="A3428" s="63"/>
    </row>
    <row r="3429" spans="1:2" x14ac:dyDescent="0.25">
      <c r="A3429" s="63"/>
    </row>
    <row r="3430" spans="1:2" x14ac:dyDescent="0.25">
      <c r="A3430" s="63"/>
    </row>
    <row r="3431" spans="1:2" x14ac:dyDescent="0.25">
      <c r="A3431" s="63"/>
    </row>
    <row r="3432" spans="1:2" x14ac:dyDescent="0.25">
      <c r="A3432" s="63"/>
    </row>
    <row r="3433" spans="1:2" x14ac:dyDescent="0.25">
      <c r="A3433" s="63"/>
    </row>
    <row r="3434" spans="1:2" x14ac:dyDescent="0.25">
      <c r="A3434" s="63"/>
    </row>
    <row r="3435" spans="1:2" x14ac:dyDescent="0.25">
      <c r="A3435" s="63"/>
    </row>
    <row r="3436" spans="1:2" x14ac:dyDescent="0.25">
      <c r="A3436" s="63"/>
    </row>
    <row r="3437" spans="1:2" x14ac:dyDescent="0.25">
      <c r="A3437" s="63"/>
    </row>
    <row r="3438" spans="1:2" x14ac:dyDescent="0.25">
      <c r="A3438" s="63"/>
    </row>
    <row r="3439" spans="1:2" x14ac:dyDescent="0.25">
      <c r="A3439" s="63"/>
      <c r="B3439" s="63"/>
    </row>
    <row r="3440" spans="1:2" x14ac:dyDescent="0.25">
      <c r="A3440" s="63"/>
    </row>
    <row r="3441" spans="1:2" x14ac:dyDescent="0.25">
      <c r="A3441" s="63"/>
      <c r="B3441" s="63"/>
    </row>
    <row r="3442" spans="1:2" x14ac:dyDescent="0.25">
      <c r="A3442" s="63"/>
    </row>
    <row r="3443" spans="1:2" x14ac:dyDescent="0.25">
      <c r="A3443" s="63"/>
    </row>
    <row r="3444" spans="1:2" x14ac:dyDescent="0.25">
      <c r="A3444" s="63"/>
    </row>
    <row r="3445" spans="1:2" x14ac:dyDescent="0.25">
      <c r="A3445" s="63"/>
    </row>
    <row r="3446" spans="1:2" x14ac:dyDescent="0.25">
      <c r="A3446" s="63"/>
    </row>
    <row r="3447" spans="1:2" x14ac:dyDescent="0.25">
      <c r="A3447" s="63"/>
    </row>
    <row r="3448" spans="1:2" x14ac:dyDescent="0.25">
      <c r="A3448" s="63"/>
    </row>
    <row r="3449" spans="1:2" x14ac:dyDescent="0.25">
      <c r="A3449" s="63"/>
    </row>
    <row r="3450" spans="1:2" x14ac:dyDescent="0.25">
      <c r="A3450" s="63"/>
    </row>
    <row r="3451" spans="1:2" x14ac:dyDescent="0.25">
      <c r="A3451" s="63"/>
    </row>
    <row r="3452" spans="1:2" x14ac:dyDescent="0.25">
      <c r="A3452" s="63"/>
    </row>
    <row r="3453" spans="1:2" x14ac:dyDescent="0.25">
      <c r="A3453" s="63"/>
    </row>
    <row r="3454" spans="1:2" x14ac:dyDescent="0.25">
      <c r="A3454" s="63"/>
    </row>
    <row r="3455" spans="1:2" x14ac:dyDescent="0.25">
      <c r="A3455" s="63"/>
    </row>
    <row r="3456" spans="1:2" x14ac:dyDescent="0.25">
      <c r="A3456" s="63"/>
    </row>
    <row r="3457" spans="1:1" x14ac:dyDescent="0.25">
      <c r="A3457" s="63"/>
    </row>
    <row r="3458" spans="1:1" x14ac:dyDescent="0.25">
      <c r="A3458" s="63"/>
    </row>
    <row r="3459" spans="1:1" x14ac:dyDescent="0.25">
      <c r="A3459" s="63"/>
    </row>
    <row r="3460" spans="1:1" x14ac:dyDescent="0.25">
      <c r="A3460" s="63"/>
    </row>
    <row r="3461" spans="1:1" x14ac:dyDescent="0.25">
      <c r="A3461" s="63"/>
    </row>
    <row r="3462" spans="1:1" x14ac:dyDescent="0.25">
      <c r="A3462" s="63"/>
    </row>
    <row r="3463" spans="1:1" x14ac:dyDescent="0.25">
      <c r="A3463" s="63"/>
    </row>
  </sheetData>
  <sheetProtection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H1"/>
  <sheetViews>
    <sheetView workbookViewId="0">
      <selection activeCell="D27" sqref="D27"/>
    </sheetView>
  </sheetViews>
  <sheetFormatPr defaultColWidth="0" defaultRowHeight="15" x14ac:dyDescent="0.25"/>
  <cols>
    <col min="1" max="1" width="8.5703125" style="3" customWidth="1"/>
    <col min="2" max="2" width="24.7109375" style="3" customWidth="1"/>
    <col min="3" max="3" width="27.7109375" style="3" customWidth="1"/>
    <col min="4" max="8" width="9.140625" style="3" customWidth="1"/>
    <col min="9" max="16384" width="9.140625" style="3" hidden="1"/>
  </cols>
  <sheetData>
    <row r="1" spans="1:8" x14ac:dyDescent="0.25">
      <c r="A1" s="26" t="s">
        <v>112</v>
      </c>
      <c r="B1" s="26" t="s">
        <v>113</v>
      </c>
      <c r="C1" s="26" t="s">
        <v>114</v>
      </c>
      <c r="D1" s="26" t="s">
        <v>115</v>
      </c>
      <c r="E1" s="26" t="s">
        <v>116</v>
      </c>
      <c r="F1" s="41" t="s">
        <v>117</v>
      </c>
      <c r="G1" s="26" t="s">
        <v>118</v>
      </c>
      <c r="H1" s="26" t="s">
        <v>119</v>
      </c>
    </row>
  </sheetData>
  <sheetProtection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1"/>
  <sheetViews>
    <sheetView workbookViewId="0">
      <selection activeCell="F1" sqref="F1"/>
    </sheetView>
  </sheetViews>
  <sheetFormatPr defaultColWidth="0" defaultRowHeight="15" x14ac:dyDescent="0.25"/>
  <cols>
    <col min="1" max="1" width="8.5703125" style="3" customWidth="1"/>
    <col min="2" max="2" width="24.5703125" style="3" customWidth="1"/>
    <col min="3" max="3" width="27.5703125" style="3" customWidth="1"/>
    <col min="4" max="7" width="9.140625" style="3" customWidth="1"/>
    <col min="8" max="16384" width="9.140625" style="3" hidden="1"/>
  </cols>
  <sheetData>
    <row r="1" spans="1:7" x14ac:dyDescent="0.25">
      <c r="A1" s="39" t="s">
        <v>112</v>
      </c>
      <c r="B1" s="39" t="s">
        <v>113</v>
      </c>
      <c r="C1" s="39" t="s">
        <v>114</v>
      </c>
      <c r="D1" s="39" t="s">
        <v>115</v>
      </c>
      <c r="E1" s="39" t="s">
        <v>116</v>
      </c>
      <c r="F1" s="39" t="s">
        <v>118</v>
      </c>
      <c r="G1" s="39" t="s">
        <v>119</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G1"/>
  <sheetViews>
    <sheetView workbookViewId="0">
      <selection activeCell="A2" sqref="A2"/>
    </sheetView>
  </sheetViews>
  <sheetFormatPr defaultRowHeight="15" x14ac:dyDescent="0.25"/>
  <cols>
    <col min="1" max="1" width="12.7109375" style="3" customWidth="1"/>
    <col min="2" max="2" width="30.7109375" style="80" customWidth="1"/>
    <col min="3" max="3" width="12.28515625" style="3" customWidth="1"/>
    <col min="4" max="5" width="12.7109375" style="3" customWidth="1"/>
    <col min="6" max="6" width="9.140625" style="3"/>
    <col min="7" max="7" width="13.5703125" style="3" customWidth="1"/>
    <col min="8" max="16384" width="9.140625" style="3"/>
  </cols>
  <sheetData>
    <row r="1" spans="1:7" x14ac:dyDescent="0.25">
      <c r="A1" s="52" t="s">
        <v>138</v>
      </c>
      <c r="B1" s="79" t="s">
        <v>139</v>
      </c>
      <c r="C1" s="52"/>
      <c r="D1" s="52"/>
      <c r="E1" s="52"/>
      <c r="F1" s="52"/>
      <c r="G1" s="52"/>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B1:BH9"/>
  <sheetViews>
    <sheetView topLeftCell="V1" workbookViewId="0">
      <selection activeCell="AD14" sqref="AD14"/>
    </sheetView>
  </sheetViews>
  <sheetFormatPr defaultColWidth="9.140625" defaultRowHeight="15" x14ac:dyDescent="0.25"/>
  <cols>
    <col min="1" max="4" width="7.7109375" style="121" customWidth="1"/>
    <col min="5" max="5" width="10.7109375" style="121" customWidth="1"/>
    <col min="6" max="37" width="7.7109375" style="121" customWidth="1"/>
    <col min="38" max="38" width="6.7109375" style="121" customWidth="1"/>
    <col min="39" max="16384" width="9.140625" style="121"/>
  </cols>
  <sheetData>
    <row r="1" spans="2:60" x14ac:dyDescent="0.25">
      <c r="P1" s="174" t="s">
        <v>159</v>
      </c>
      <c r="Q1" s="174"/>
      <c r="R1" s="174"/>
      <c r="S1" s="174"/>
      <c r="T1" s="174"/>
      <c r="U1" s="174"/>
      <c r="V1" s="174"/>
      <c r="W1" s="174" t="s">
        <v>160</v>
      </c>
      <c r="X1" s="174"/>
      <c r="Y1" s="174"/>
      <c r="Z1" s="174"/>
      <c r="AA1" s="174"/>
      <c r="AB1" s="174"/>
      <c r="AC1" s="174"/>
    </row>
    <row r="2" spans="2:60" ht="17.25" customHeight="1" x14ac:dyDescent="0.25">
      <c r="C2" s="104" t="s">
        <v>187</v>
      </c>
      <c r="D2" s="122">
        <v>10</v>
      </c>
      <c r="P2" s="174" t="s">
        <v>176</v>
      </c>
      <c r="Q2" s="174"/>
      <c r="R2" s="174"/>
      <c r="S2" s="174" t="s">
        <v>161</v>
      </c>
      <c r="T2" s="174"/>
      <c r="U2" s="174"/>
      <c r="V2" s="112" t="s">
        <v>264</v>
      </c>
      <c r="W2" s="174" t="s">
        <v>176</v>
      </c>
      <c r="X2" s="174"/>
      <c r="Y2" s="174"/>
      <c r="Z2" s="174" t="s">
        <v>161</v>
      </c>
      <c r="AA2" s="174"/>
      <c r="AB2" s="174"/>
      <c r="AC2" s="112" t="s">
        <v>264</v>
      </c>
      <c r="AI2" s="173" t="s">
        <v>256</v>
      </c>
      <c r="AJ2" s="173"/>
      <c r="AK2" s="173"/>
      <c r="AL2" s="173"/>
      <c r="AM2" s="173"/>
      <c r="AN2" s="173"/>
      <c r="AO2" s="173"/>
      <c r="AP2" s="173"/>
      <c r="AQ2" s="173"/>
      <c r="AR2" s="173"/>
      <c r="AS2" s="173"/>
      <c r="AT2" s="173"/>
      <c r="AU2" s="173"/>
      <c r="AV2" s="173"/>
      <c r="AW2" s="173"/>
      <c r="AX2" s="173"/>
      <c r="AY2" s="173"/>
      <c r="AZ2" s="173"/>
      <c r="BA2" s="173"/>
      <c r="BB2" s="173"/>
      <c r="BC2" s="173"/>
      <c r="BD2" s="173"/>
      <c r="BE2" s="173"/>
      <c r="BF2" s="173"/>
      <c r="BG2" s="173"/>
      <c r="BH2" s="173"/>
    </row>
    <row r="3" spans="2:60" ht="25.5" x14ac:dyDescent="0.25">
      <c r="B3" s="123" t="s">
        <v>152</v>
      </c>
      <c r="C3" s="124" t="s">
        <v>163</v>
      </c>
      <c r="D3" s="124" t="s">
        <v>153</v>
      </c>
      <c r="E3" s="125" t="s">
        <v>263</v>
      </c>
      <c r="F3" s="124" t="s">
        <v>154</v>
      </c>
      <c r="G3" s="124" t="s">
        <v>164</v>
      </c>
      <c r="H3" s="124" t="s">
        <v>165</v>
      </c>
      <c r="I3" s="124" t="s">
        <v>155</v>
      </c>
      <c r="J3" s="124" t="s">
        <v>166</v>
      </c>
      <c r="K3" s="124" t="s">
        <v>167</v>
      </c>
      <c r="L3" s="124" t="s">
        <v>168</v>
      </c>
      <c r="M3" s="124" t="s">
        <v>169</v>
      </c>
      <c r="N3" s="124" t="s">
        <v>170</v>
      </c>
      <c r="O3" s="124" t="s">
        <v>171</v>
      </c>
      <c r="P3" s="124" t="s">
        <v>172</v>
      </c>
      <c r="Q3" s="124" t="s">
        <v>183</v>
      </c>
      <c r="R3" s="124" t="s">
        <v>173</v>
      </c>
      <c r="S3" s="124" t="s">
        <v>162</v>
      </c>
      <c r="T3" s="124" t="s">
        <v>184</v>
      </c>
      <c r="U3" s="124" t="s">
        <v>174</v>
      </c>
      <c r="V3" s="124" t="s">
        <v>175</v>
      </c>
      <c r="W3" s="124" t="s">
        <v>177</v>
      </c>
      <c r="X3" s="124" t="s">
        <v>185</v>
      </c>
      <c r="Y3" s="124" t="s">
        <v>178</v>
      </c>
      <c r="Z3" s="124" t="s">
        <v>179</v>
      </c>
      <c r="AA3" s="124" t="s">
        <v>186</v>
      </c>
      <c r="AB3" s="124" t="s">
        <v>180</v>
      </c>
      <c r="AC3" s="124" t="s">
        <v>181</v>
      </c>
      <c r="AD3" s="124" t="s">
        <v>156</v>
      </c>
      <c r="AE3" s="124" t="s">
        <v>157</v>
      </c>
      <c r="AF3" s="126" t="s">
        <v>182</v>
      </c>
      <c r="AG3" s="127" t="s">
        <v>226</v>
      </c>
      <c r="AI3" s="173"/>
      <c r="AJ3" s="173"/>
      <c r="AK3" s="173"/>
      <c r="AL3" s="173"/>
      <c r="AM3" s="173"/>
      <c r="AN3" s="173"/>
      <c r="AO3" s="173"/>
      <c r="AP3" s="173"/>
      <c r="AQ3" s="173"/>
      <c r="AR3" s="173"/>
      <c r="AS3" s="173"/>
      <c r="AT3" s="173"/>
      <c r="AU3" s="173"/>
      <c r="AV3" s="173"/>
      <c r="AW3" s="173"/>
      <c r="AX3" s="173"/>
      <c r="AY3" s="173"/>
      <c r="AZ3" s="173"/>
      <c r="BA3" s="173"/>
      <c r="BB3" s="173"/>
      <c r="BC3" s="173"/>
      <c r="BD3" s="173"/>
      <c r="BE3" s="173"/>
      <c r="BF3" s="173"/>
      <c r="BG3" s="173"/>
      <c r="BH3" s="173"/>
    </row>
    <row r="4" spans="2:60" x14ac:dyDescent="0.25">
      <c r="B4" s="128"/>
      <c r="C4" s="129"/>
      <c r="D4" s="129"/>
      <c r="E4" s="129"/>
      <c r="F4" s="129"/>
      <c r="G4" s="129"/>
      <c r="H4" s="129"/>
      <c r="I4" s="129"/>
      <c r="J4" s="129" t="e">
        <f>MonopoleSections[n]*(MonopoleSections[Dt]/2)^2*TAN(PI()/MonopoleSections[n])</f>
        <v>#DIV/0!</v>
      </c>
      <c r="K4" s="129" t="e">
        <f>MonopoleSections[n]*(MonopoleSections[Dt]/2-MonopoleSections[t])^2*TAN(PI()/MonopoleSections[n])</f>
        <v>#DIV/0!</v>
      </c>
      <c r="L4" s="129" t="e">
        <f>MonopoleSections[n]*(MonopoleSections[Db]/2)^2*TAN(PI()/MonopoleSections[n])</f>
        <v>#DIV/0!</v>
      </c>
      <c r="M4" s="129" t="e">
        <f>MonopoleSections[n]*(MonopoleSections[Db]/2-MonopoleSections[t])^2*TAN(PI()/MonopoleSections[n])</f>
        <v>#DIV/0!</v>
      </c>
      <c r="N4" s="129" t="e">
        <f>(MonopoleSections[L]*12/3)*(MonopoleSections[Ato]+MonopoleSections[Abo]+SQRT(MonopoleSections[Ato]*MonopoleSections[Abo]))/1728</f>
        <v>#DIV/0!</v>
      </c>
      <c r="O4" s="129" t="e">
        <f>(MonopoleSections[L]*12/3)*(MonopoleSections[Ati]+MonopoleSections[Abi]+SQRT(MonopoleSections[Ati]*MonopoleSections[Abi]))/1728</f>
        <v>#DIV/0!</v>
      </c>
      <c r="P4" s="129">
        <f>MonopoleSections[Dt]/2</f>
        <v>0</v>
      </c>
      <c r="Q4" s="129" t="e">
        <f>2*MonopoleSections[rto]*TAN(PI()/MonopoleSections[n])</f>
        <v>#DIV/0!</v>
      </c>
      <c r="R4" s="129">
        <f>IF(OR(MonopoleSections[n]=0,MonopoleSections[n]=1),PI()*(MonopoleSections[rto]^4)/4,MonopoleSections[Ato]*(12*(MonopoleSections[rto]^2)+MonopoleSections[Sto]^2)/48)</f>
        <v>0</v>
      </c>
      <c r="S4" s="129">
        <f>MonopoleSections[Dt]/2-MonopoleSections[t]</f>
        <v>0</v>
      </c>
      <c r="T4" s="129" t="e">
        <f>2*MonopoleSections[rti]*TAN(PI()/MonopoleSections[n])</f>
        <v>#DIV/0!</v>
      </c>
      <c r="U4" s="129">
        <f>IF(OR(MonopoleSections[n]=0,MonopoleSections[n]=1),PI()*(MonopoleSections[rti]^4)/4,MonopoleSections[Ati]*(12*(MonopoleSections[rti]^2)+MonopoleSections[Sti]^2)/48)</f>
        <v>0</v>
      </c>
      <c r="V4" s="129">
        <f>MonopoleSections[Ito]-MonopoleSections[Iti]</f>
        <v>0</v>
      </c>
      <c r="W4" s="129">
        <f>MonopoleSections[Db]/2</f>
        <v>0</v>
      </c>
      <c r="X4" s="129" t="e">
        <f>2*MonopoleSections[rbo]*TAN(PI()/MonopoleSections[n])</f>
        <v>#DIV/0!</v>
      </c>
      <c r="Y4" s="129">
        <f>IF(OR(MonopoleSections[n]=0,MonopoleSections[n]=1),PI()*(MonopoleSections[rbo]^4)/4,MonopoleSections[Abo]*(12*(MonopoleSections[rbo]^2)+MonopoleSections[Sbo]^2)/48)</f>
        <v>0</v>
      </c>
      <c r="Z4" s="129">
        <f>MonopoleSections[Db]/2-MonopoleSections[t]</f>
        <v>0</v>
      </c>
      <c r="AA4" s="129" t="e">
        <f>2*MonopoleSections[rbi]*TAN(PI()/MonopoleSections[n])</f>
        <v>#DIV/0!</v>
      </c>
      <c r="AB4" s="129">
        <f>IF(OR(MonopoleSections[n]=0,MonopoleSections[n]=1),PI()*(MonopoleSections[rbi]^4)/4,MonopoleSections[Abi]*(12*(MonopoleSections[rbi]^2)+MonopoleSections[Sbi]^2)/48)</f>
        <v>0</v>
      </c>
      <c r="AC4" s="129">
        <f>MonopoleSections[Ibo]-MonopoleSections[Ibi]</f>
        <v>0</v>
      </c>
      <c r="AD4" s="129" t="str">
        <f>IF(MonopoleSections[Ht]="","",IF(OR(MonopoleSections[n]=0,MonopoleSections[n]=1),PI()*((MonopoleSections[Dt]/2)^2-(MonopoleSections[Dt]/2-MonopoleSections[t])^2)*MonopoleSections[L]/144,MonopoleSections[Vo]-MonopoleSections[Vi]))</f>
        <v/>
      </c>
      <c r="AE4" s="129" t="str">
        <f>IF(MonopoleSections[Ht]="","",MonopoleSections[Weight Multiplier]*MonopoleSections[V]*D_mp)</f>
        <v/>
      </c>
      <c r="AF4" s="130">
        <f>(MonopoleSections[[#This Row],[It]]+MonopoleSections[[#This Row],[Ib]])/2</f>
        <v>0</v>
      </c>
      <c r="AG4" s="131">
        <f>MonopoleSections[[#This Row],[Iavg]]*MonopoleSections[[#This Row],[L]]</f>
        <v>0</v>
      </c>
      <c r="AI4" s="173"/>
      <c r="AJ4" s="173"/>
      <c r="AK4" s="173"/>
      <c r="AL4" s="173"/>
      <c r="AM4" s="173"/>
      <c r="AN4" s="173"/>
      <c r="AO4" s="173"/>
      <c r="AP4" s="173"/>
      <c r="AQ4" s="173"/>
      <c r="AR4" s="173"/>
      <c r="AS4" s="173"/>
      <c r="AT4" s="173"/>
      <c r="AU4" s="173"/>
      <c r="AV4" s="173"/>
      <c r="AW4" s="173"/>
      <c r="AX4" s="173"/>
      <c r="AY4" s="173"/>
      <c r="AZ4" s="173"/>
      <c r="BA4" s="173"/>
      <c r="BB4" s="173"/>
      <c r="BC4" s="173"/>
      <c r="BD4" s="173"/>
      <c r="BE4" s="173"/>
      <c r="BF4" s="173"/>
      <c r="BG4" s="173"/>
      <c r="BH4" s="173"/>
    </row>
    <row r="5" spans="2:60" x14ac:dyDescent="0.25">
      <c r="D5" s="132">
        <f>SUM(MonopoleSections[L])</f>
        <v>0</v>
      </c>
      <c r="E5" s="101"/>
      <c r="AG5" s="133">
        <f>SUM(MonopoleSections[IavgL])</f>
        <v>0</v>
      </c>
      <c r="AI5" s="173"/>
      <c r="AJ5" s="173"/>
      <c r="AK5" s="173"/>
      <c r="AL5" s="173"/>
      <c r="AM5" s="173"/>
      <c r="AN5" s="173"/>
      <c r="AO5" s="173"/>
      <c r="AP5" s="173"/>
      <c r="AQ5" s="173"/>
      <c r="AR5" s="173"/>
      <c r="AS5" s="173"/>
      <c r="AT5" s="173"/>
      <c r="AU5" s="173"/>
      <c r="AV5" s="173"/>
      <c r="AW5" s="173"/>
      <c r="AX5" s="173"/>
      <c r="AY5" s="173"/>
      <c r="AZ5" s="173"/>
      <c r="BA5" s="173"/>
      <c r="BB5" s="173"/>
      <c r="BC5" s="173"/>
      <c r="BD5" s="173"/>
      <c r="BE5" s="173"/>
      <c r="BF5" s="173"/>
      <c r="BG5" s="173"/>
      <c r="BH5" s="173"/>
    </row>
    <row r="7" spans="2:60" x14ac:dyDescent="0.25">
      <c r="B7" s="101"/>
      <c r="C7" s="101"/>
      <c r="D7" s="101"/>
      <c r="E7" s="101"/>
      <c r="F7" s="101"/>
      <c r="G7" s="101"/>
      <c r="H7" s="101"/>
      <c r="I7" s="101"/>
      <c r="J7" s="101"/>
      <c r="K7" s="101"/>
      <c r="L7" s="101"/>
      <c r="M7" s="101"/>
      <c r="N7" s="101"/>
      <c r="O7" s="101"/>
      <c r="P7" s="101"/>
      <c r="Q7" s="101"/>
      <c r="R7" s="101"/>
      <c r="S7" s="101"/>
      <c r="T7" s="101"/>
      <c r="U7" s="101"/>
      <c r="V7" s="101"/>
      <c r="W7" s="101"/>
      <c r="X7" s="101"/>
      <c r="Y7" s="101"/>
      <c r="Z7" s="101"/>
      <c r="AA7" s="101"/>
      <c r="AB7" s="101"/>
      <c r="AC7" s="101"/>
      <c r="AD7" s="101"/>
      <c r="AE7" s="101"/>
      <c r="AF7" s="101"/>
      <c r="AG7" s="121" t="e">
        <f>AG5/D5</f>
        <v>#DIV/0!</v>
      </c>
    </row>
    <row r="8" spans="2:60" ht="30" customHeight="1" x14ac:dyDescent="0.25">
      <c r="B8" s="101"/>
      <c r="C8" s="101"/>
      <c r="D8" s="101"/>
      <c r="E8" s="101"/>
      <c r="F8" s="101"/>
      <c r="G8" s="101"/>
      <c r="H8" s="101"/>
      <c r="I8" s="101"/>
      <c r="J8" s="101"/>
      <c r="K8" s="101"/>
      <c r="L8" s="101"/>
      <c r="M8" s="101"/>
      <c r="N8" s="101"/>
      <c r="O8" s="101"/>
      <c r="P8" s="101"/>
      <c r="Q8" s="101"/>
      <c r="R8" s="101"/>
      <c r="S8" s="101"/>
      <c r="T8" s="101"/>
      <c r="U8" s="101"/>
      <c r="V8" s="101"/>
      <c r="W8" s="101"/>
      <c r="X8" s="101"/>
      <c r="Y8" s="101"/>
      <c r="Z8" s="101"/>
      <c r="AA8" s="101"/>
      <c r="AB8" s="101"/>
      <c r="AC8" s="101"/>
      <c r="AD8" s="101"/>
      <c r="AE8" s="101"/>
      <c r="AF8" s="101"/>
      <c r="AL8" s="106" t="s">
        <v>28</v>
      </c>
    </row>
    <row r="9" spans="2:60" x14ac:dyDescent="0.25">
      <c r="B9" s="101"/>
      <c r="C9" s="101"/>
      <c r="D9" s="101"/>
      <c r="E9" s="101"/>
      <c r="F9" s="101"/>
      <c r="G9" s="101"/>
      <c r="H9" s="101"/>
      <c r="I9" s="101"/>
      <c r="J9" s="101"/>
      <c r="K9" s="101"/>
      <c r="L9" s="101"/>
      <c r="M9" s="101"/>
      <c r="N9" s="101"/>
      <c r="O9" s="101"/>
      <c r="P9" s="101"/>
      <c r="Q9" s="101"/>
      <c r="R9" s="101"/>
      <c r="S9" s="101"/>
      <c r="T9" s="101"/>
      <c r="U9" s="101"/>
      <c r="V9" s="101"/>
      <c r="W9" s="101"/>
      <c r="X9" s="101"/>
      <c r="Y9" s="101"/>
      <c r="Z9" s="101"/>
      <c r="AA9" s="101"/>
      <c r="AB9" s="101"/>
      <c r="AC9" s="101"/>
      <c r="AD9" s="101"/>
      <c r="AE9" s="101"/>
      <c r="AF9" s="101"/>
    </row>
  </sheetData>
  <sheetProtection sheet="1" objects="1" scenarios="1"/>
  <mergeCells count="7">
    <mergeCell ref="AI2:BH5"/>
    <mergeCell ref="P1:V1"/>
    <mergeCell ref="W1:AC1"/>
    <mergeCell ref="P2:R2"/>
    <mergeCell ref="S2:U2"/>
    <mergeCell ref="W2:Y2"/>
    <mergeCell ref="Z2:AB2"/>
  </mergeCells>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C27"/>
  <sheetViews>
    <sheetView workbookViewId="0">
      <selection activeCell="A2" sqref="A2"/>
    </sheetView>
  </sheetViews>
  <sheetFormatPr defaultColWidth="0" defaultRowHeight="15" x14ac:dyDescent="0.25"/>
  <cols>
    <col min="1" max="3" width="15.7109375" style="3" customWidth="1"/>
    <col min="4" max="16384" width="9.140625" hidden="1"/>
  </cols>
  <sheetData>
    <row r="1" spans="1:3" x14ac:dyDescent="0.25">
      <c r="A1" s="42" t="s">
        <v>125</v>
      </c>
      <c r="B1" s="42" t="s">
        <v>131</v>
      </c>
      <c r="C1" s="42" t="s">
        <v>132</v>
      </c>
    </row>
    <row r="2" spans="1:3" x14ac:dyDescent="0.25">
      <c r="A2" s="51"/>
      <c r="B2" s="51"/>
      <c r="C2" s="51"/>
    </row>
    <row r="3" spans="1:3" x14ac:dyDescent="0.25">
      <c r="A3" s="51"/>
      <c r="B3" s="51"/>
      <c r="C3" s="51"/>
    </row>
    <row r="4" spans="1:3" x14ac:dyDescent="0.25">
      <c r="A4" s="51"/>
      <c r="B4" s="51"/>
      <c r="C4" s="51"/>
    </row>
    <row r="5" spans="1:3" x14ac:dyDescent="0.25">
      <c r="A5" s="51"/>
      <c r="B5" s="51"/>
      <c r="C5" s="51"/>
    </row>
    <row r="6" spans="1:3" x14ac:dyDescent="0.25">
      <c r="A6" s="51"/>
      <c r="B6" s="51"/>
      <c r="C6" s="51"/>
    </row>
    <row r="7" spans="1:3" x14ac:dyDescent="0.25">
      <c r="A7" s="51"/>
      <c r="B7" s="51"/>
      <c r="C7" s="51"/>
    </row>
    <row r="8" spans="1:3" x14ac:dyDescent="0.25">
      <c r="A8" s="51"/>
      <c r="B8" s="51"/>
      <c r="C8" s="51"/>
    </row>
    <row r="9" spans="1:3" x14ac:dyDescent="0.25">
      <c r="A9" s="51"/>
      <c r="B9" s="51"/>
      <c r="C9" s="51"/>
    </row>
    <row r="10" spans="1:3" x14ac:dyDescent="0.25">
      <c r="A10" s="51"/>
      <c r="B10" s="51"/>
      <c r="C10" s="51"/>
    </row>
    <row r="11" spans="1:3" x14ac:dyDescent="0.25">
      <c r="A11" s="51"/>
      <c r="B11" s="51"/>
      <c r="C11" s="51"/>
    </row>
    <row r="12" spans="1:3" x14ac:dyDescent="0.25">
      <c r="A12" s="51"/>
      <c r="B12" s="51"/>
      <c r="C12" s="51"/>
    </row>
    <row r="13" spans="1:3" x14ac:dyDescent="0.25">
      <c r="A13" s="51"/>
      <c r="B13" s="51"/>
      <c r="C13" s="51"/>
    </row>
    <row r="14" spans="1:3" x14ac:dyDescent="0.25">
      <c r="A14" s="51"/>
      <c r="B14" s="51"/>
      <c r="C14" s="51"/>
    </row>
    <row r="15" spans="1:3" x14ac:dyDescent="0.25">
      <c r="A15" s="51"/>
      <c r="B15" s="51"/>
      <c r="C15" s="51"/>
    </row>
    <row r="16" spans="1:3" x14ac:dyDescent="0.25">
      <c r="A16" s="51"/>
      <c r="B16" s="51"/>
      <c r="C16" s="51"/>
    </row>
    <row r="17" spans="1:3" x14ac:dyDescent="0.25">
      <c r="A17" s="51"/>
      <c r="B17" s="51"/>
      <c r="C17" s="51"/>
    </row>
    <row r="18" spans="1:3" x14ac:dyDescent="0.25">
      <c r="A18" s="51"/>
      <c r="B18" s="51"/>
      <c r="C18" s="51"/>
    </row>
    <row r="19" spans="1:3" x14ac:dyDescent="0.25">
      <c r="A19" s="51"/>
      <c r="B19" s="51"/>
      <c r="C19" s="51"/>
    </row>
    <row r="20" spans="1:3" x14ac:dyDescent="0.25">
      <c r="A20" s="51"/>
      <c r="B20" s="51"/>
      <c r="C20" s="51"/>
    </row>
    <row r="21" spans="1:3" x14ac:dyDescent="0.25">
      <c r="A21" s="51"/>
      <c r="B21" s="51"/>
      <c r="C21" s="51"/>
    </row>
    <row r="22" spans="1:3" x14ac:dyDescent="0.25">
      <c r="A22" s="51"/>
      <c r="B22" s="51"/>
      <c r="C22" s="51"/>
    </row>
    <row r="23" spans="1:3" x14ac:dyDescent="0.25">
      <c r="A23" s="51"/>
      <c r="B23" s="51"/>
      <c r="C23" s="51"/>
    </row>
    <row r="24" spans="1:3" x14ac:dyDescent="0.25">
      <c r="A24" s="51"/>
      <c r="B24" s="51"/>
      <c r="C24" s="51"/>
    </row>
    <row r="25" spans="1:3" x14ac:dyDescent="0.25">
      <c r="A25" s="51"/>
      <c r="B25" s="51"/>
      <c r="C25" s="51"/>
    </row>
    <row r="26" spans="1:3" x14ac:dyDescent="0.25">
      <c r="A26" s="51"/>
      <c r="B26" s="51"/>
      <c r="C26" s="51"/>
    </row>
    <row r="27" spans="1:3" x14ac:dyDescent="0.25">
      <c r="A27" s="51"/>
      <c r="B27" s="51"/>
      <c r="C27" s="51"/>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B5"/>
  <sheetViews>
    <sheetView workbookViewId="0">
      <selection activeCell="B9" sqref="B9"/>
    </sheetView>
  </sheetViews>
  <sheetFormatPr defaultColWidth="0" defaultRowHeight="15" x14ac:dyDescent="0.25"/>
  <cols>
    <col min="1" max="2" width="20.7109375" style="3" customWidth="1"/>
    <col min="3" max="16384" width="9.140625" hidden="1"/>
  </cols>
  <sheetData>
    <row r="1" spans="1:2" x14ac:dyDescent="0.25">
      <c r="A1" s="42" t="s">
        <v>129</v>
      </c>
      <c r="B1" s="42" t="s">
        <v>130</v>
      </c>
    </row>
    <row r="2" spans="1:2" x14ac:dyDescent="0.25">
      <c r="A2" s="51"/>
      <c r="B2" s="51"/>
    </row>
    <row r="3" spans="1:2" x14ac:dyDescent="0.25">
      <c r="A3" s="51"/>
      <c r="B3" s="51"/>
    </row>
    <row r="4" spans="1:2" x14ac:dyDescent="0.25">
      <c r="A4" s="51"/>
      <c r="B4" s="51"/>
    </row>
    <row r="5" spans="1:2" x14ac:dyDescent="0.25">
      <c r="A5" s="51"/>
      <c r="B5" s="51"/>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5F847-CF13-44EC-B994-6F3864BFDD2B}">
  <sheetPr codeName="Sheet17"/>
  <dimension ref="A1:I1"/>
  <sheetViews>
    <sheetView workbookViewId="0">
      <selection activeCell="A2" sqref="A2"/>
    </sheetView>
  </sheetViews>
  <sheetFormatPr defaultColWidth="9.140625" defaultRowHeight="15" x14ac:dyDescent="0.25"/>
  <cols>
    <col min="1" max="1" width="8.5703125" style="145" customWidth="1"/>
    <col min="2" max="2" width="27.5703125" style="145" customWidth="1"/>
    <col min="3" max="5" width="9.140625" style="145" customWidth="1"/>
    <col min="6" max="16384" width="9.140625" style="145"/>
  </cols>
  <sheetData>
    <row r="1" spans="1:9" x14ac:dyDescent="0.25">
      <c r="A1" s="52" t="s">
        <v>112</v>
      </c>
      <c r="B1" s="52" t="s">
        <v>299</v>
      </c>
      <c r="C1" s="52" t="s">
        <v>116</v>
      </c>
      <c r="D1" s="52" t="s">
        <v>118</v>
      </c>
      <c r="E1" s="52" t="s">
        <v>119</v>
      </c>
      <c r="F1" s="52" t="s">
        <v>300</v>
      </c>
      <c r="G1" s="52" t="s">
        <v>301</v>
      </c>
      <c r="H1" s="52" t="s">
        <v>302</v>
      </c>
      <c r="I1" s="52" t="s">
        <v>303</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K31"/>
  <sheetViews>
    <sheetView showGridLines="0" showRowColHeaders="0" zoomScaleNormal="100" workbookViewId="0">
      <selection activeCell="B24" sqref="B24"/>
    </sheetView>
  </sheetViews>
  <sheetFormatPr defaultColWidth="0" defaultRowHeight="15" x14ac:dyDescent="0.25"/>
  <cols>
    <col min="1" max="2" width="12.7109375" style="101" customWidth="1"/>
    <col min="3" max="3" width="120.7109375" style="101" customWidth="1"/>
    <col min="4" max="5" width="15.7109375" style="101" customWidth="1"/>
    <col min="6" max="11" width="0" style="101" hidden="1" customWidth="1"/>
    <col min="12" max="16384" width="9.140625" style="101" hidden="1"/>
  </cols>
  <sheetData>
    <row r="1" spans="1:5" x14ac:dyDescent="0.25">
      <c r="B1" s="104" t="s">
        <v>234</v>
      </c>
      <c r="C1" s="105" t="s">
        <v>235</v>
      </c>
      <c r="D1" s="104" t="s">
        <v>232</v>
      </c>
      <c r="E1" s="106" t="str">
        <f>LOOKUP(2,1/(RevHistory[Revision]&lt;&gt;""),RevHistory[Revision])</f>
        <v>3.3.9</v>
      </c>
    </row>
    <row r="2" spans="1:5" x14ac:dyDescent="0.25">
      <c r="A2" s="107" t="s">
        <v>229</v>
      </c>
      <c r="B2" s="108" t="s">
        <v>230</v>
      </c>
      <c r="C2" s="108" t="s">
        <v>231</v>
      </c>
      <c r="D2" s="108" t="s">
        <v>241</v>
      </c>
      <c r="E2" s="109" t="s">
        <v>287</v>
      </c>
    </row>
    <row r="3" spans="1:5" ht="195" x14ac:dyDescent="0.25">
      <c r="A3" s="115" t="s">
        <v>244</v>
      </c>
      <c r="B3" s="110">
        <v>43213</v>
      </c>
      <c r="C3" s="111" t="s">
        <v>246</v>
      </c>
      <c r="D3" s="112" t="s">
        <v>233</v>
      </c>
      <c r="E3" s="112"/>
    </row>
    <row r="4" spans="1:5" x14ac:dyDescent="0.25">
      <c r="A4" s="115" t="s">
        <v>249</v>
      </c>
      <c r="B4" s="110">
        <v>43300</v>
      </c>
      <c r="C4" s="113" t="s">
        <v>250</v>
      </c>
      <c r="D4" s="112" t="s">
        <v>233</v>
      </c>
      <c r="E4" s="112"/>
    </row>
    <row r="5" spans="1:5" ht="255" x14ac:dyDescent="0.25">
      <c r="A5" s="115" t="s">
        <v>252</v>
      </c>
      <c r="B5" s="110">
        <v>43335</v>
      </c>
      <c r="C5" s="111" t="s">
        <v>261</v>
      </c>
      <c r="D5" s="112" t="s">
        <v>233</v>
      </c>
      <c r="E5" s="112"/>
    </row>
    <row r="6" spans="1:5" ht="60" x14ac:dyDescent="0.25">
      <c r="A6" s="115" t="s">
        <v>257</v>
      </c>
      <c r="B6" s="110">
        <v>43336</v>
      </c>
      <c r="C6" s="111" t="s">
        <v>259</v>
      </c>
      <c r="D6" s="112" t="s">
        <v>233</v>
      </c>
      <c r="E6" s="112"/>
    </row>
    <row r="7" spans="1:5" ht="105" x14ac:dyDescent="0.25">
      <c r="A7" s="115" t="s">
        <v>258</v>
      </c>
      <c r="B7" s="110">
        <v>43348</v>
      </c>
      <c r="C7" s="111" t="s">
        <v>260</v>
      </c>
      <c r="D7" s="112" t="s">
        <v>233</v>
      </c>
      <c r="E7" s="112"/>
    </row>
    <row r="8" spans="1:5" ht="75" x14ac:dyDescent="0.25">
      <c r="A8" s="115" t="s">
        <v>262</v>
      </c>
      <c r="B8" s="110">
        <v>43353</v>
      </c>
      <c r="C8" s="111" t="s">
        <v>265</v>
      </c>
      <c r="D8" s="112" t="s">
        <v>233</v>
      </c>
      <c r="E8" s="112"/>
    </row>
    <row r="9" spans="1:5" ht="105" x14ac:dyDescent="0.25">
      <c r="A9" s="115" t="s">
        <v>284</v>
      </c>
      <c r="B9" s="110">
        <v>43363</v>
      </c>
      <c r="C9" s="111" t="s">
        <v>285</v>
      </c>
      <c r="D9" s="112" t="s">
        <v>233</v>
      </c>
      <c r="E9" s="112"/>
    </row>
    <row r="10" spans="1:5" ht="90" x14ac:dyDescent="0.25">
      <c r="A10" s="115" t="s">
        <v>288</v>
      </c>
      <c r="B10" s="110">
        <v>43364</v>
      </c>
      <c r="C10" s="111" t="s">
        <v>286</v>
      </c>
      <c r="D10" s="112" t="s">
        <v>233</v>
      </c>
      <c r="E10" s="112"/>
    </row>
    <row r="11" spans="1:5" ht="18" x14ac:dyDescent="0.25">
      <c r="A11" s="115" t="s">
        <v>289</v>
      </c>
      <c r="B11" s="110">
        <v>43374</v>
      </c>
      <c r="C11" s="113" t="s">
        <v>290</v>
      </c>
      <c r="D11" s="112" t="s">
        <v>233</v>
      </c>
      <c r="E11" s="112"/>
    </row>
    <row r="12" spans="1:5" x14ac:dyDescent="0.25">
      <c r="A12" s="115" t="s">
        <v>291</v>
      </c>
      <c r="B12" s="110">
        <v>43392</v>
      </c>
      <c r="C12" s="113" t="s">
        <v>292</v>
      </c>
      <c r="D12" s="112" t="s">
        <v>293</v>
      </c>
      <c r="E12" s="112"/>
    </row>
    <row r="13" spans="1:5" x14ac:dyDescent="0.25">
      <c r="A13" s="115" t="s">
        <v>294</v>
      </c>
      <c r="B13" s="110">
        <v>43467</v>
      </c>
      <c r="C13" s="113" t="s">
        <v>295</v>
      </c>
      <c r="D13" s="112" t="s">
        <v>233</v>
      </c>
      <c r="E13" s="112"/>
    </row>
    <row r="14" spans="1:5" ht="303" x14ac:dyDescent="0.25">
      <c r="A14" s="115" t="s">
        <v>298</v>
      </c>
      <c r="B14" s="110">
        <v>44021</v>
      </c>
      <c r="C14" s="146" t="s">
        <v>315</v>
      </c>
      <c r="D14" s="112" t="s">
        <v>233</v>
      </c>
      <c r="E14" s="112"/>
    </row>
    <row r="15" spans="1:5" ht="90" x14ac:dyDescent="0.25">
      <c r="A15" s="115" t="s">
        <v>316</v>
      </c>
      <c r="B15" s="110">
        <v>44027</v>
      </c>
      <c r="C15" s="146" t="s">
        <v>317</v>
      </c>
      <c r="D15" s="112" t="s">
        <v>233</v>
      </c>
      <c r="E15" s="112"/>
    </row>
    <row r="16" spans="1:5" ht="60" x14ac:dyDescent="0.25">
      <c r="A16" s="115" t="s">
        <v>318</v>
      </c>
      <c r="B16" s="110">
        <v>44035</v>
      </c>
      <c r="C16" s="146" t="s">
        <v>319</v>
      </c>
      <c r="D16" s="112" t="s">
        <v>233</v>
      </c>
      <c r="E16" s="112"/>
    </row>
    <row r="17" spans="1:5" ht="120" x14ac:dyDescent="0.25">
      <c r="A17" s="115" t="s">
        <v>320</v>
      </c>
      <c r="B17" s="110">
        <v>44055</v>
      </c>
      <c r="C17" s="146" t="s">
        <v>355</v>
      </c>
      <c r="D17" s="112" t="s">
        <v>233</v>
      </c>
      <c r="E17" s="112"/>
    </row>
    <row r="18" spans="1:5" x14ac:dyDescent="0.25">
      <c r="A18" s="115" t="s">
        <v>356</v>
      </c>
      <c r="B18" s="110">
        <v>44069</v>
      </c>
      <c r="C18" s="146" t="s">
        <v>357</v>
      </c>
      <c r="D18" s="112" t="s">
        <v>233</v>
      </c>
      <c r="E18" s="112"/>
    </row>
    <row r="19" spans="1:5" ht="30" x14ac:dyDescent="0.25">
      <c r="A19" s="115" t="s">
        <v>358</v>
      </c>
      <c r="B19" s="110">
        <v>44112</v>
      </c>
      <c r="C19" s="146" t="s">
        <v>359</v>
      </c>
      <c r="D19" s="112" t="s">
        <v>233</v>
      </c>
      <c r="E19" s="112"/>
    </row>
    <row r="20" spans="1:5" ht="33" x14ac:dyDescent="0.25">
      <c r="A20" s="115" t="s">
        <v>360</v>
      </c>
      <c r="B20" s="110">
        <v>44154</v>
      </c>
      <c r="C20" s="146" t="s">
        <v>361</v>
      </c>
      <c r="D20" s="112" t="s">
        <v>233</v>
      </c>
      <c r="E20" s="112"/>
    </row>
    <row r="21" spans="1:5" ht="45" x14ac:dyDescent="0.25">
      <c r="A21" s="115" t="s">
        <v>362</v>
      </c>
      <c r="B21" s="110">
        <v>44356</v>
      </c>
      <c r="C21" s="146" t="s">
        <v>363</v>
      </c>
      <c r="D21" s="112" t="s">
        <v>233</v>
      </c>
      <c r="E21" s="112"/>
    </row>
    <row r="22" spans="1:5" ht="60" x14ac:dyDescent="0.25">
      <c r="A22" s="115" t="s">
        <v>369</v>
      </c>
      <c r="B22" s="110">
        <v>44432</v>
      </c>
      <c r="C22" s="146" t="s">
        <v>368</v>
      </c>
      <c r="D22" s="112" t="s">
        <v>233</v>
      </c>
      <c r="E22" s="112"/>
    </row>
    <row r="23" spans="1:5" ht="45" x14ac:dyDescent="0.25">
      <c r="A23" s="115" t="s">
        <v>370</v>
      </c>
      <c r="B23" s="110">
        <v>44519</v>
      </c>
      <c r="C23" s="146" t="s">
        <v>371</v>
      </c>
      <c r="D23" s="112" t="s">
        <v>233</v>
      </c>
      <c r="E23" s="112"/>
    </row>
    <row r="24" spans="1:5" x14ac:dyDescent="0.25">
      <c r="A24" s="115"/>
      <c r="B24" s="110"/>
      <c r="C24" s="113"/>
      <c r="D24" s="112"/>
      <c r="E24" s="112"/>
    </row>
    <row r="25" spans="1:5" x14ac:dyDescent="0.25">
      <c r="A25" s="115"/>
      <c r="B25" s="110"/>
      <c r="C25" s="113"/>
      <c r="D25" s="112"/>
      <c r="E25" s="112"/>
    </row>
    <row r="26" spans="1:5" x14ac:dyDescent="0.25">
      <c r="A26" s="115"/>
      <c r="B26" s="110"/>
      <c r="C26" s="113"/>
      <c r="D26" s="112"/>
      <c r="E26" s="112"/>
    </row>
    <row r="27" spans="1:5" x14ac:dyDescent="0.25">
      <c r="A27" s="115"/>
      <c r="B27" s="110"/>
      <c r="C27" s="113"/>
      <c r="D27" s="112"/>
      <c r="E27" s="112"/>
    </row>
    <row r="28" spans="1:5" x14ac:dyDescent="0.25">
      <c r="A28" s="115"/>
      <c r="B28" s="110"/>
      <c r="C28" s="113"/>
      <c r="D28" s="112"/>
      <c r="E28" s="112"/>
    </row>
    <row r="29" spans="1:5" x14ac:dyDescent="0.25">
      <c r="A29" s="115"/>
      <c r="B29" s="110"/>
      <c r="C29" s="113"/>
      <c r="D29" s="112"/>
      <c r="E29" s="112"/>
    </row>
    <row r="30" spans="1:5" x14ac:dyDescent="0.25">
      <c r="A30" s="115"/>
      <c r="B30" s="110"/>
      <c r="C30" s="113"/>
      <c r="D30" s="112"/>
      <c r="E30" s="112"/>
    </row>
    <row r="31" spans="1:5" x14ac:dyDescent="0.25">
      <c r="A31" s="115"/>
      <c r="B31" s="110"/>
      <c r="C31" s="113"/>
      <c r="D31" s="112"/>
      <c r="E31" s="112"/>
    </row>
  </sheetData>
  <sheetProtection sheet="1" objects="1" scenarios="1" selectLockedCells="1"/>
  <hyperlinks>
    <hyperlink ref="C1" r:id="rId1" xr:uid="{00000000-0004-0000-0F00-000000000000}"/>
  </hyperlinks>
  <pageMargins left="0.7" right="0.7" top="0.75" bottom="0.75" header="0.3" footer="0.3"/>
  <pageSetup scale="52" orientation="portrait"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249F5-955B-4B0D-BD35-1D3F7CCFFFCF}">
  <sheetPr codeName="Sheet3"/>
  <dimension ref="A1:Z31"/>
  <sheetViews>
    <sheetView workbookViewId="0">
      <selection activeCell="F21" sqref="F21"/>
    </sheetView>
  </sheetViews>
  <sheetFormatPr defaultRowHeight="15" x14ac:dyDescent="0.25"/>
  <cols>
    <col min="1" max="1" width="21.85546875" customWidth="1"/>
    <col min="2" max="22" width="9.7109375" customWidth="1"/>
    <col min="24" max="24" width="26.28515625" customWidth="1"/>
    <col min="25" max="25" width="48.28515625" customWidth="1"/>
    <col min="26" max="26" width="48.140625" customWidth="1"/>
  </cols>
  <sheetData>
    <row r="1" spans="1:26" x14ac:dyDescent="0.25">
      <c r="A1" s="156" t="s">
        <v>229</v>
      </c>
      <c r="H1" s="154" t="s">
        <v>348</v>
      </c>
      <c r="R1" s="156" t="s">
        <v>353</v>
      </c>
      <c r="S1" t="s">
        <v>354</v>
      </c>
    </row>
    <row r="2" spans="1:26" x14ac:dyDescent="0.25">
      <c r="A2" t="s">
        <v>350</v>
      </c>
      <c r="B2" t="s">
        <v>370</v>
      </c>
      <c r="C2" t="s">
        <v>369</v>
      </c>
      <c r="D2" t="s">
        <v>362</v>
      </c>
      <c r="E2" t="s">
        <v>360</v>
      </c>
      <c r="F2" t="s">
        <v>358</v>
      </c>
      <c r="G2" t="s">
        <v>356</v>
      </c>
      <c r="H2" t="s">
        <v>320</v>
      </c>
      <c r="I2" t="s">
        <v>318</v>
      </c>
      <c r="J2" t="s">
        <v>316</v>
      </c>
      <c r="K2" t="s">
        <v>298</v>
      </c>
      <c r="L2" t="s">
        <v>294</v>
      </c>
      <c r="M2" t="s">
        <v>291</v>
      </c>
      <c r="N2" t="s">
        <v>289</v>
      </c>
      <c r="O2" t="s">
        <v>288</v>
      </c>
      <c r="P2" t="s">
        <v>284</v>
      </c>
      <c r="Q2" t="s">
        <v>262</v>
      </c>
      <c r="R2" t="s">
        <v>258</v>
      </c>
      <c r="S2" t="s">
        <v>257</v>
      </c>
      <c r="T2" t="s">
        <v>252</v>
      </c>
      <c r="U2" t="s">
        <v>249</v>
      </c>
      <c r="V2" t="s">
        <v>244</v>
      </c>
      <c r="X2" s="118" t="s">
        <v>347</v>
      </c>
      <c r="Y2" s="118" t="s">
        <v>344</v>
      </c>
      <c r="Z2" s="118" t="s">
        <v>345</v>
      </c>
    </row>
    <row r="3" spans="1:26" x14ac:dyDescent="0.25">
      <c r="A3" s="153"/>
      <c r="B3" s="153" t="s">
        <v>321</v>
      </c>
      <c r="C3" s="153" t="s">
        <v>321</v>
      </c>
      <c r="D3" s="153" t="s">
        <v>321</v>
      </c>
      <c r="E3" s="153" t="s">
        <v>321</v>
      </c>
      <c r="F3" s="153" t="s">
        <v>321</v>
      </c>
      <c r="G3" s="153" t="s">
        <v>321</v>
      </c>
      <c r="H3" s="153" t="s">
        <v>321</v>
      </c>
      <c r="I3" s="153" t="s">
        <v>321</v>
      </c>
      <c r="J3" s="153" t="s">
        <v>321</v>
      </c>
      <c r="K3" s="153" t="s">
        <v>321</v>
      </c>
      <c r="L3" s="153" t="s">
        <v>321</v>
      </c>
      <c r="M3" s="153" t="s">
        <v>321</v>
      </c>
      <c r="N3" s="153" t="s">
        <v>321</v>
      </c>
      <c r="O3" s="153" t="s">
        <v>321</v>
      </c>
      <c r="P3" s="153" t="s">
        <v>321</v>
      </c>
      <c r="Q3" s="153" t="s">
        <v>321</v>
      </c>
      <c r="R3" s="153" t="s">
        <v>321</v>
      </c>
      <c r="S3" s="153" t="s">
        <v>321</v>
      </c>
      <c r="T3" s="153" t="s">
        <v>321</v>
      </c>
      <c r="U3" s="153" t="s">
        <v>321</v>
      </c>
      <c r="V3" s="153" t="s">
        <v>321</v>
      </c>
      <c r="X3" s="155" t="s">
        <v>341</v>
      </c>
      <c r="Y3" s="155" t="s">
        <v>349</v>
      </c>
      <c r="Z3" s="118"/>
    </row>
    <row r="4" spans="1:26" x14ac:dyDescent="0.25">
      <c r="A4" s="153"/>
      <c r="B4" t="s">
        <v>322</v>
      </c>
      <c r="C4" t="s">
        <v>322</v>
      </c>
      <c r="D4" t="s">
        <v>322</v>
      </c>
      <c r="E4" t="s">
        <v>322</v>
      </c>
      <c r="F4" t="s">
        <v>322</v>
      </c>
      <c r="G4" t="s">
        <v>322</v>
      </c>
      <c r="H4" t="s">
        <v>322</v>
      </c>
      <c r="I4" t="s">
        <v>322</v>
      </c>
      <c r="J4" t="s">
        <v>322</v>
      </c>
      <c r="K4" t="s">
        <v>322</v>
      </c>
      <c r="L4" t="s">
        <v>322</v>
      </c>
      <c r="M4" t="s">
        <v>322</v>
      </c>
      <c r="N4" t="s">
        <v>322</v>
      </c>
      <c r="O4" t="s">
        <v>322</v>
      </c>
      <c r="P4" t="s">
        <v>322</v>
      </c>
      <c r="Q4" t="s">
        <v>322</v>
      </c>
      <c r="R4" t="s">
        <v>322</v>
      </c>
      <c r="S4" t="s">
        <v>322</v>
      </c>
      <c r="T4" t="s">
        <v>322</v>
      </c>
      <c r="U4" t="s">
        <v>322</v>
      </c>
      <c r="V4" t="s">
        <v>322</v>
      </c>
      <c r="X4" s="155" t="s">
        <v>343</v>
      </c>
      <c r="Y4" s="155" t="s">
        <v>372</v>
      </c>
      <c r="Z4" s="118"/>
    </row>
    <row r="5" spans="1:26" x14ac:dyDescent="0.25">
      <c r="B5" t="s">
        <v>323</v>
      </c>
      <c r="C5" t="s">
        <v>323</v>
      </c>
      <c r="D5" t="s">
        <v>323</v>
      </c>
      <c r="E5" t="s">
        <v>323</v>
      </c>
      <c r="F5" t="s">
        <v>323</v>
      </c>
      <c r="G5" t="s">
        <v>323</v>
      </c>
      <c r="H5" t="s">
        <v>323</v>
      </c>
      <c r="I5" t="s">
        <v>323</v>
      </c>
      <c r="J5" t="s">
        <v>323</v>
      </c>
      <c r="K5" t="s">
        <v>323</v>
      </c>
      <c r="L5" t="s">
        <v>323</v>
      </c>
      <c r="M5" t="s">
        <v>323</v>
      </c>
      <c r="N5" t="s">
        <v>323</v>
      </c>
      <c r="O5" t="s">
        <v>323</v>
      </c>
      <c r="P5" t="s">
        <v>323</v>
      </c>
      <c r="Q5" t="s">
        <v>323</v>
      </c>
      <c r="R5" t="s">
        <v>323</v>
      </c>
      <c r="S5" t="s">
        <v>323</v>
      </c>
      <c r="T5" t="s">
        <v>323</v>
      </c>
      <c r="U5" t="s">
        <v>323</v>
      </c>
      <c r="V5" t="s">
        <v>323</v>
      </c>
      <c r="X5" s="118" t="s">
        <v>342</v>
      </c>
      <c r="Y5" s="118" t="s">
        <v>229</v>
      </c>
      <c r="Z5" s="118" t="s">
        <v>346</v>
      </c>
    </row>
    <row r="6" spans="1:26" x14ac:dyDescent="0.25">
      <c r="B6" t="s">
        <v>324</v>
      </c>
      <c r="C6" t="s">
        <v>324</v>
      </c>
      <c r="D6" t="s">
        <v>324</v>
      </c>
      <c r="E6" t="s">
        <v>324</v>
      </c>
      <c r="F6" t="s">
        <v>324</v>
      </c>
      <c r="G6" t="s">
        <v>324</v>
      </c>
      <c r="H6" t="s">
        <v>324</v>
      </c>
      <c r="I6" t="s">
        <v>324</v>
      </c>
      <c r="J6" t="s">
        <v>324</v>
      </c>
      <c r="K6" t="s">
        <v>324</v>
      </c>
      <c r="L6" t="s">
        <v>324</v>
      </c>
      <c r="M6" t="s">
        <v>324</v>
      </c>
      <c r="N6" t="s">
        <v>324</v>
      </c>
      <c r="O6" t="s">
        <v>324</v>
      </c>
      <c r="P6" t="s">
        <v>324</v>
      </c>
      <c r="Q6" t="s">
        <v>324</v>
      </c>
      <c r="R6" t="s">
        <v>324</v>
      </c>
      <c r="S6" t="s">
        <v>324</v>
      </c>
      <c r="T6" t="s">
        <v>324</v>
      </c>
      <c r="U6" t="s">
        <v>324</v>
      </c>
      <c r="V6" t="s">
        <v>324</v>
      </c>
    </row>
    <row r="7" spans="1:26" x14ac:dyDescent="0.25">
      <c r="B7" t="s">
        <v>325</v>
      </c>
      <c r="C7" t="s">
        <v>325</v>
      </c>
      <c r="D7" t="s">
        <v>325</v>
      </c>
      <c r="E7" t="s">
        <v>325</v>
      </c>
      <c r="F7" t="s">
        <v>325</v>
      </c>
      <c r="G7" t="s">
        <v>325</v>
      </c>
      <c r="H7" t="s">
        <v>325</v>
      </c>
      <c r="I7" t="s">
        <v>325</v>
      </c>
      <c r="J7" t="s">
        <v>325</v>
      </c>
      <c r="K7" t="s">
        <v>325</v>
      </c>
      <c r="L7" t="s">
        <v>325</v>
      </c>
      <c r="M7" t="s">
        <v>325</v>
      </c>
      <c r="N7" t="s">
        <v>325</v>
      </c>
      <c r="O7" t="s">
        <v>325</v>
      </c>
      <c r="P7" t="s">
        <v>325</v>
      </c>
      <c r="Q7" t="s">
        <v>325</v>
      </c>
      <c r="R7" t="s">
        <v>325</v>
      </c>
      <c r="S7" t="s">
        <v>325</v>
      </c>
      <c r="T7" t="s">
        <v>325</v>
      </c>
      <c r="U7" t="s">
        <v>325</v>
      </c>
      <c r="V7" t="s">
        <v>325</v>
      </c>
      <c r="X7" s="175" t="s">
        <v>352</v>
      </c>
      <c r="Y7" s="175"/>
      <c r="Z7" s="175"/>
    </row>
    <row r="8" spans="1:26" x14ac:dyDescent="0.25">
      <c r="B8" t="s">
        <v>326</v>
      </c>
      <c r="C8" t="s">
        <v>326</v>
      </c>
      <c r="D8" t="s">
        <v>326</v>
      </c>
      <c r="E8" t="s">
        <v>326</v>
      </c>
      <c r="F8" t="s">
        <v>326</v>
      </c>
      <c r="G8" t="s">
        <v>326</v>
      </c>
      <c r="H8" t="s">
        <v>326</v>
      </c>
      <c r="I8" t="s">
        <v>326</v>
      </c>
      <c r="J8" t="s">
        <v>326</v>
      </c>
      <c r="K8" t="s">
        <v>326</v>
      </c>
      <c r="L8" t="s">
        <v>326</v>
      </c>
      <c r="M8" t="s">
        <v>326</v>
      </c>
      <c r="N8" t="s">
        <v>326</v>
      </c>
      <c r="O8" t="s">
        <v>326</v>
      </c>
      <c r="P8" t="s">
        <v>326</v>
      </c>
      <c r="Q8" t="s">
        <v>326</v>
      </c>
      <c r="R8" t="s">
        <v>326</v>
      </c>
      <c r="S8" t="s">
        <v>326</v>
      </c>
      <c r="T8" t="s">
        <v>326</v>
      </c>
      <c r="U8" t="s">
        <v>326</v>
      </c>
      <c r="V8" t="s">
        <v>326</v>
      </c>
      <c r="X8" s="175"/>
      <c r="Y8" s="175"/>
      <c r="Z8" s="175"/>
    </row>
    <row r="9" spans="1:26" x14ac:dyDescent="0.25">
      <c r="B9" t="s">
        <v>327</v>
      </c>
      <c r="C9" t="s">
        <v>327</v>
      </c>
      <c r="D9" t="s">
        <v>327</v>
      </c>
      <c r="E9" t="s">
        <v>327</v>
      </c>
      <c r="F9" t="s">
        <v>327</v>
      </c>
      <c r="G9" t="s">
        <v>327</v>
      </c>
      <c r="H9" t="s">
        <v>327</v>
      </c>
      <c r="I9" t="s">
        <v>327</v>
      </c>
      <c r="J9" t="s">
        <v>327</v>
      </c>
      <c r="K9" t="s">
        <v>327</v>
      </c>
      <c r="L9" t="s">
        <v>327</v>
      </c>
      <c r="M9" t="s">
        <v>327</v>
      </c>
      <c r="N9" t="s">
        <v>327</v>
      </c>
      <c r="O9" t="s">
        <v>327</v>
      </c>
      <c r="P9" t="s">
        <v>327</v>
      </c>
      <c r="Q9" t="s">
        <v>327</v>
      </c>
      <c r="R9" t="s">
        <v>327</v>
      </c>
      <c r="S9" t="s">
        <v>327</v>
      </c>
      <c r="T9" t="s">
        <v>327</v>
      </c>
      <c r="U9" t="s">
        <v>327</v>
      </c>
      <c r="V9" t="s">
        <v>327</v>
      </c>
      <c r="X9" s="175"/>
      <c r="Y9" s="175"/>
      <c r="Z9" s="175"/>
    </row>
    <row r="10" spans="1:26" x14ac:dyDescent="0.25">
      <c r="B10" t="s">
        <v>328</v>
      </c>
      <c r="C10" t="s">
        <v>328</v>
      </c>
      <c r="D10" t="s">
        <v>328</v>
      </c>
      <c r="E10" t="s">
        <v>328</v>
      </c>
      <c r="F10" t="s">
        <v>328</v>
      </c>
      <c r="G10" t="s">
        <v>328</v>
      </c>
      <c r="H10" t="s">
        <v>328</v>
      </c>
      <c r="I10" t="s">
        <v>328</v>
      </c>
      <c r="J10" t="s">
        <v>328</v>
      </c>
      <c r="K10" t="s">
        <v>328</v>
      </c>
      <c r="L10" t="s">
        <v>328</v>
      </c>
      <c r="M10" t="s">
        <v>328</v>
      </c>
      <c r="N10" t="s">
        <v>328</v>
      </c>
      <c r="O10" t="s">
        <v>328</v>
      </c>
      <c r="P10" t="s">
        <v>328</v>
      </c>
      <c r="Q10" t="s">
        <v>328</v>
      </c>
      <c r="R10" t="s">
        <v>328</v>
      </c>
      <c r="S10" t="s">
        <v>328</v>
      </c>
      <c r="T10" t="s">
        <v>328</v>
      </c>
      <c r="U10" t="s">
        <v>328</v>
      </c>
      <c r="V10" t="s">
        <v>328</v>
      </c>
      <c r="X10" s="175"/>
      <c r="Y10" s="175"/>
      <c r="Z10" s="175"/>
    </row>
    <row r="11" spans="1:26" x14ac:dyDescent="0.25">
      <c r="U11" t="s">
        <v>338</v>
      </c>
      <c r="V11" t="s">
        <v>338</v>
      </c>
    </row>
    <row r="12" spans="1:26" x14ac:dyDescent="0.25">
      <c r="B12" t="s">
        <v>329</v>
      </c>
      <c r="C12" t="s">
        <v>329</v>
      </c>
      <c r="D12" t="s">
        <v>329</v>
      </c>
      <c r="E12" t="s">
        <v>329</v>
      </c>
      <c r="F12" t="s">
        <v>329</v>
      </c>
      <c r="G12" t="s">
        <v>329</v>
      </c>
      <c r="H12" t="s">
        <v>329</v>
      </c>
      <c r="I12" t="s">
        <v>329</v>
      </c>
      <c r="J12" t="s">
        <v>329</v>
      </c>
      <c r="K12" t="s">
        <v>329</v>
      </c>
      <c r="L12" t="s">
        <v>351</v>
      </c>
      <c r="M12" t="s">
        <v>351</v>
      </c>
      <c r="N12" t="s">
        <v>351</v>
      </c>
      <c r="O12" t="s">
        <v>351</v>
      </c>
      <c r="P12" t="s">
        <v>351</v>
      </c>
      <c r="Q12" t="s">
        <v>329</v>
      </c>
      <c r="R12" t="s">
        <v>329</v>
      </c>
      <c r="S12" t="s">
        <v>329</v>
      </c>
      <c r="T12" t="s">
        <v>329</v>
      </c>
      <c r="U12" t="s">
        <v>329</v>
      </c>
      <c r="V12" t="s">
        <v>329</v>
      </c>
    </row>
    <row r="13" spans="1:26" x14ac:dyDescent="0.25">
      <c r="B13" t="s">
        <v>335</v>
      </c>
      <c r="C13" t="s">
        <v>335</v>
      </c>
      <c r="D13" t="s">
        <v>335</v>
      </c>
      <c r="E13" t="s">
        <v>335</v>
      </c>
      <c r="F13" t="s">
        <v>335</v>
      </c>
      <c r="G13" t="s">
        <v>335</v>
      </c>
      <c r="H13" t="s">
        <v>335</v>
      </c>
      <c r="I13" t="s">
        <v>335</v>
      </c>
      <c r="J13" t="s">
        <v>335</v>
      </c>
      <c r="K13" t="s">
        <v>335</v>
      </c>
    </row>
    <row r="14" spans="1:26" x14ac:dyDescent="0.25">
      <c r="B14" t="s">
        <v>330</v>
      </c>
      <c r="C14" t="s">
        <v>330</v>
      </c>
      <c r="D14" t="s">
        <v>330</v>
      </c>
      <c r="E14" t="s">
        <v>330</v>
      </c>
      <c r="F14" t="s">
        <v>330</v>
      </c>
      <c r="G14" t="s">
        <v>330</v>
      </c>
      <c r="H14" t="s">
        <v>330</v>
      </c>
      <c r="I14" t="s">
        <v>330</v>
      </c>
      <c r="J14" t="s">
        <v>330</v>
      </c>
      <c r="K14" t="s">
        <v>330</v>
      </c>
      <c r="L14" t="s">
        <v>330</v>
      </c>
      <c r="M14" t="s">
        <v>330</v>
      </c>
      <c r="N14" t="s">
        <v>330</v>
      </c>
      <c r="O14" t="s">
        <v>330</v>
      </c>
      <c r="P14" t="s">
        <v>330</v>
      </c>
      <c r="Q14" t="s">
        <v>330</v>
      </c>
      <c r="R14" t="s">
        <v>330</v>
      </c>
      <c r="S14" t="s">
        <v>330</v>
      </c>
      <c r="T14" t="s">
        <v>330</v>
      </c>
      <c r="U14" t="s">
        <v>330</v>
      </c>
      <c r="V14" t="s">
        <v>330</v>
      </c>
    </row>
    <row r="15" spans="1:26" x14ac:dyDescent="0.25">
      <c r="B15" t="s">
        <v>331</v>
      </c>
      <c r="C15" t="s">
        <v>331</v>
      </c>
      <c r="D15" t="s">
        <v>331</v>
      </c>
      <c r="E15" t="s">
        <v>331</v>
      </c>
      <c r="F15" t="s">
        <v>331</v>
      </c>
      <c r="G15" t="s">
        <v>331</v>
      </c>
      <c r="H15" t="s">
        <v>331</v>
      </c>
      <c r="I15" t="s">
        <v>331</v>
      </c>
      <c r="J15" t="s">
        <v>331</v>
      </c>
      <c r="K15" t="s">
        <v>331</v>
      </c>
      <c r="L15" t="s">
        <v>331</v>
      </c>
      <c r="M15" t="s">
        <v>331</v>
      </c>
      <c r="N15" t="s">
        <v>331</v>
      </c>
      <c r="O15" t="s">
        <v>331</v>
      </c>
      <c r="P15" t="s">
        <v>331</v>
      </c>
      <c r="Q15" t="s">
        <v>331</v>
      </c>
      <c r="R15" t="s">
        <v>331</v>
      </c>
      <c r="S15" t="s">
        <v>331</v>
      </c>
      <c r="T15" t="s">
        <v>331</v>
      </c>
      <c r="U15" t="s">
        <v>331</v>
      </c>
      <c r="V15" t="s">
        <v>331</v>
      </c>
    </row>
    <row r="16" spans="1:26" x14ac:dyDescent="0.25">
      <c r="B16" t="s">
        <v>332</v>
      </c>
      <c r="C16" t="s">
        <v>332</v>
      </c>
      <c r="D16" t="s">
        <v>332</v>
      </c>
      <c r="E16" t="s">
        <v>332</v>
      </c>
      <c r="F16" t="s">
        <v>332</v>
      </c>
      <c r="G16" t="s">
        <v>332</v>
      </c>
      <c r="H16" t="s">
        <v>332</v>
      </c>
      <c r="I16" t="s">
        <v>332</v>
      </c>
      <c r="J16" t="s">
        <v>332</v>
      </c>
      <c r="K16" t="s">
        <v>332</v>
      </c>
      <c r="L16" t="s">
        <v>332</v>
      </c>
      <c r="M16" t="s">
        <v>332</v>
      </c>
      <c r="N16" t="s">
        <v>332</v>
      </c>
      <c r="O16" t="s">
        <v>332</v>
      </c>
      <c r="P16" t="s">
        <v>332</v>
      </c>
      <c r="Q16" t="s">
        <v>332</v>
      </c>
      <c r="R16" t="s">
        <v>332</v>
      </c>
      <c r="S16" t="s">
        <v>332</v>
      </c>
      <c r="T16" t="s">
        <v>332</v>
      </c>
      <c r="U16" t="s">
        <v>332</v>
      </c>
      <c r="V16" t="s">
        <v>332</v>
      </c>
    </row>
    <row r="17" spans="2:22" x14ac:dyDescent="0.25">
      <c r="B17" t="s">
        <v>333</v>
      </c>
      <c r="C17" t="s">
        <v>333</v>
      </c>
      <c r="D17" t="s">
        <v>333</v>
      </c>
      <c r="E17" t="s">
        <v>333</v>
      </c>
      <c r="F17" t="s">
        <v>333</v>
      </c>
      <c r="G17" t="s">
        <v>333</v>
      </c>
      <c r="H17" t="s">
        <v>333</v>
      </c>
      <c r="I17" t="s">
        <v>333</v>
      </c>
      <c r="J17" t="s">
        <v>333</v>
      </c>
      <c r="K17" t="s">
        <v>333</v>
      </c>
      <c r="L17" t="s">
        <v>333</v>
      </c>
      <c r="M17" t="s">
        <v>333</v>
      </c>
      <c r="N17" t="s">
        <v>333</v>
      </c>
      <c r="O17" t="s">
        <v>333</v>
      </c>
      <c r="P17" t="s">
        <v>333</v>
      </c>
      <c r="Q17" t="s">
        <v>333</v>
      </c>
      <c r="R17" t="s">
        <v>333</v>
      </c>
      <c r="S17" t="s">
        <v>333</v>
      </c>
      <c r="T17" t="s">
        <v>333</v>
      </c>
      <c r="U17" t="s">
        <v>333</v>
      </c>
      <c r="V17" t="s">
        <v>333</v>
      </c>
    </row>
    <row r="18" spans="2:22" x14ac:dyDescent="0.25">
      <c r="B18" t="s">
        <v>334</v>
      </c>
      <c r="C18" t="s">
        <v>334</v>
      </c>
      <c r="D18" t="s">
        <v>334</v>
      </c>
      <c r="E18" t="s">
        <v>334</v>
      </c>
      <c r="F18" t="s">
        <v>334</v>
      </c>
      <c r="G18" t="s">
        <v>334</v>
      </c>
      <c r="H18" t="s">
        <v>334</v>
      </c>
      <c r="I18" t="s">
        <v>334</v>
      </c>
      <c r="J18" t="s">
        <v>334</v>
      </c>
      <c r="K18" t="s">
        <v>334</v>
      </c>
      <c r="L18" t="s">
        <v>334</v>
      </c>
      <c r="M18" t="s">
        <v>334</v>
      </c>
      <c r="N18" t="s">
        <v>334</v>
      </c>
      <c r="O18" t="s">
        <v>334</v>
      </c>
      <c r="P18" t="s">
        <v>334</v>
      </c>
      <c r="Q18" t="s">
        <v>334</v>
      </c>
      <c r="R18" t="s">
        <v>334</v>
      </c>
      <c r="S18" t="s">
        <v>334</v>
      </c>
      <c r="T18" t="s">
        <v>334</v>
      </c>
      <c r="U18" t="s">
        <v>334</v>
      </c>
      <c r="V18" t="s">
        <v>334</v>
      </c>
    </row>
    <row r="19" spans="2:22" x14ac:dyDescent="0.25">
      <c r="B19" t="s">
        <v>340</v>
      </c>
      <c r="C19" t="s">
        <v>340</v>
      </c>
      <c r="D19" t="s">
        <v>340</v>
      </c>
      <c r="E19" t="s">
        <v>340</v>
      </c>
      <c r="F19" t="s">
        <v>340</v>
      </c>
      <c r="G19" t="s">
        <v>340</v>
      </c>
      <c r="H19" t="s">
        <v>340</v>
      </c>
      <c r="I19" t="s">
        <v>340</v>
      </c>
      <c r="J19" t="s">
        <v>340</v>
      </c>
      <c r="K19" t="s">
        <v>340</v>
      </c>
      <c r="L19" t="s">
        <v>340</v>
      </c>
      <c r="M19" t="s">
        <v>340</v>
      </c>
      <c r="N19" t="s">
        <v>340</v>
      </c>
      <c r="O19" t="s">
        <v>340</v>
      </c>
      <c r="P19" t="s">
        <v>340</v>
      </c>
      <c r="Q19" t="s">
        <v>340</v>
      </c>
      <c r="R19" t="s">
        <v>340</v>
      </c>
      <c r="S19" t="s">
        <v>340</v>
      </c>
      <c r="T19" t="s">
        <v>340</v>
      </c>
      <c r="U19" t="s">
        <v>340</v>
      </c>
      <c r="V19" t="s">
        <v>340</v>
      </c>
    </row>
    <row r="20" spans="2:22" x14ac:dyDescent="0.25">
      <c r="B20" t="s">
        <v>336</v>
      </c>
      <c r="C20" t="s">
        <v>336</v>
      </c>
      <c r="D20" t="s">
        <v>336</v>
      </c>
      <c r="E20" t="s">
        <v>336</v>
      </c>
      <c r="F20" t="s">
        <v>336</v>
      </c>
      <c r="G20" t="s">
        <v>336</v>
      </c>
      <c r="H20" t="s">
        <v>336</v>
      </c>
      <c r="I20" t="s">
        <v>336</v>
      </c>
      <c r="J20" t="s">
        <v>336</v>
      </c>
      <c r="K20" t="s">
        <v>336</v>
      </c>
      <c r="L20" t="s">
        <v>336</v>
      </c>
      <c r="M20" t="s">
        <v>336</v>
      </c>
      <c r="N20" t="s">
        <v>336</v>
      </c>
      <c r="O20" t="s">
        <v>336</v>
      </c>
      <c r="P20" t="s">
        <v>336</v>
      </c>
      <c r="Q20" t="s">
        <v>336</v>
      </c>
      <c r="R20" t="s">
        <v>336</v>
      </c>
      <c r="S20" t="s">
        <v>336</v>
      </c>
      <c r="T20" t="s">
        <v>336</v>
      </c>
      <c r="U20" t="s">
        <v>336</v>
      </c>
      <c r="V20" t="s">
        <v>336</v>
      </c>
    </row>
    <row r="21" spans="2:22" x14ac:dyDescent="0.25">
      <c r="B21" t="s">
        <v>337</v>
      </c>
      <c r="C21" t="s">
        <v>337</v>
      </c>
      <c r="D21" t="s">
        <v>337</v>
      </c>
      <c r="E21" t="s">
        <v>337</v>
      </c>
      <c r="F21" t="s">
        <v>337</v>
      </c>
      <c r="G21" t="s">
        <v>337</v>
      </c>
      <c r="H21" t="s">
        <v>337</v>
      </c>
      <c r="I21" t="s">
        <v>337</v>
      </c>
      <c r="J21" t="s">
        <v>337</v>
      </c>
      <c r="K21" t="s">
        <v>337</v>
      </c>
      <c r="L21" t="s">
        <v>339</v>
      </c>
      <c r="M21" t="s">
        <v>339</v>
      </c>
      <c r="N21" t="s">
        <v>339</v>
      </c>
      <c r="O21" t="s">
        <v>339</v>
      </c>
      <c r="P21" t="s">
        <v>339</v>
      </c>
      <c r="Q21" t="s">
        <v>339</v>
      </c>
      <c r="R21" t="s">
        <v>339</v>
      </c>
      <c r="S21" t="s">
        <v>339</v>
      </c>
      <c r="T21" t="s">
        <v>339</v>
      </c>
      <c r="U21" t="s">
        <v>339</v>
      </c>
      <c r="V21" t="s">
        <v>339</v>
      </c>
    </row>
    <row r="22" spans="2:22" x14ac:dyDescent="0.25">
      <c r="B22" t="s">
        <v>18</v>
      </c>
      <c r="C22" t="s">
        <v>18</v>
      </c>
      <c r="D22" t="s">
        <v>18</v>
      </c>
      <c r="E22" t="s">
        <v>18</v>
      </c>
      <c r="F22" t="s">
        <v>18</v>
      </c>
      <c r="G22" t="s">
        <v>18</v>
      </c>
      <c r="H22" t="s">
        <v>18</v>
      </c>
      <c r="I22" t="s">
        <v>18</v>
      </c>
      <c r="J22" t="s">
        <v>18</v>
      </c>
      <c r="K22" t="s">
        <v>18</v>
      </c>
      <c r="L22" t="s">
        <v>18</v>
      </c>
      <c r="M22" t="s">
        <v>18</v>
      </c>
      <c r="N22" t="s">
        <v>18</v>
      </c>
      <c r="O22" t="s">
        <v>18</v>
      </c>
      <c r="P22" t="s">
        <v>18</v>
      </c>
      <c r="Q22" t="s">
        <v>18</v>
      </c>
      <c r="R22" t="s">
        <v>18</v>
      </c>
      <c r="S22" t="s">
        <v>18</v>
      </c>
      <c r="T22" t="s">
        <v>18</v>
      </c>
      <c r="U22" t="s">
        <v>18</v>
      </c>
      <c r="V22" t="s">
        <v>18</v>
      </c>
    </row>
    <row r="23" spans="2:22" x14ac:dyDescent="0.25">
      <c r="B23" t="s">
        <v>376</v>
      </c>
      <c r="C23" t="s">
        <v>376</v>
      </c>
      <c r="D23" t="s">
        <v>376</v>
      </c>
      <c r="E23" t="s">
        <v>376</v>
      </c>
      <c r="F23" t="s">
        <v>376</v>
      </c>
      <c r="G23" t="s">
        <v>376</v>
      </c>
      <c r="H23" t="s">
        <v>376</v>
      </c>
      <c r="I23" t="s">
        <v>376</v>
      </c>
      <c r="J23" t="s">
        <v>376</v>
      </c>
      <c r="K23" t="s">
        <v>376</v>
      </c>
      <c r="L23" t="s">
        <v>376</v>
      </c>
      <c r="M23" t="s">
        <v>376</v>
      </c>
      <c r="N23" t="s">
        <v>376</v>
      </c>
      <c r="O23" t="s">
        <v>376</v>
      </c>
      <c r="P23" t="s">
        <v>376</v>
      </c>
      <c r="Q23" t="s">
        <v>376</v>
      </c>
      <c r="R23" t="s">
        <v>376</v>
      </c>
      <c r="S23" t="s">
        <v>376</v>
      </c>
      <c r="T23" t="s">
        <v>376</v>
      </c>
      <c r="U23" t="s">
        <v>376</v>
      </c>
      <c r="V23" t="s">
        <v>376</v>
      </c>
    </row>
    <row r="24" spans="2:22" x14ac:dyDescent="0.25">
      <c r="B24" t="s">
        <v>377</v>
      </c>
      <c r="C24" t="s">
        <v>377</v>
      </c>
      <c r="D24" t="s">
        <v>377</v>
      </c>
      <c r="E24" t="s">
        <v>377</v>
      </c>
      <c r="F24" t="s">
        <v>377</v>
      </c>
      <c r="G24" t="s">
        <v>377</v>
      </c>
      <c r="H24" t="s">
        <v>377</v>
      </c>
      <c r="I24" t="s">
        <v>377</v>
      </c>
      <c r="J24" t="s">
        <v>377</v>
      </c>
      <c r="K24" t="s">
        <v>377</v>
      </c>
      <c r="L24" t="s">
        <v>377</v>
      </c>
      <c r="M24" t="s">
        <v>377</v>
      </c>
      <c r="N24" t="s">
        <v>377</v>
      </c>
      <c r="O24" t="s">
        <v>377</v>
      </c>
      <c r="P24" t="s">
        <v>377</v>
      </c>
      <c r="Q24" t="s">
        <v>377</v>
      </c>
      <c r="R24" t="s">
        <v>377</v>
      </c>
      <c r="S24" t="s">
        <v>377</v>
      </c>
      <c r="T24" t="s">
        <v>377</v>
      </c>
      <c r="U24" t="s">
        <v>377</v>
      </c>
      <c r="V24" t="s">
        <v>377</v>
      </c>
    </row>
    <row r="25" spans="2:22" x14ac:dyDescent="0.25">
      <c r="B25" t="s">
        <v>375</v>
      </c>
    </row>
    <row r="26" spans="2:22" x14ac:dyDescent="0.25">
      <c r="B26" t="s">
        <v>373</v>
      </c>
    </row>
    <row r="27" spans="2:22" x14ac:dyDescent="0.25">
      <c r="B27" t="s">
        <v>374</v>
      </c>
      <c r="H27" s="153"/>
    </row>
    <row r="31" spans="2:22" x14ac:dyDescent="0.25">
      <c r="N31" s="153"/>
    </row>
  </sheetData>
  <sheetProtection sheet="1" objects="1" scenarios="1"/>
  <mergeCells count="1">
    <mergeCell ref="X7:Z10"/>
  </mergeCells>
  <phoneticPr fontId="25" type="noConversion"/>
  <pageMargins left="0.7" right="0.7" top="0.75" bottom="0.75" header="0.3" footer="0.3"/>
  <pageSetup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A44"/>
  <sheetViews>
    <sheetView showGridLines="0" showRowColHeaders="0" workbookViewId="0">
      <selection activeCell="A2" sqref="A2"/>
    </sheetView>
  </sheetViews>
  <sheetFormatPr defaultColWidth="0" defaultRowHeight="15" x14ac:dyDescent="0.25"/>
  <cols>
    <col min="1" max="1" width="173.7109375" customWidth="1"/>
    <col min="2" max="16384" width="9.140625" hidden="1"/>
  </cols>
  <sheetData>
    <row r="1" spans="1:1" x14ac:dyDescent="0.25">
      <c r="A1" s="52" t="s">
        <v>248</v>
      </c>
    </row>
    <row r="2" spans="1:1" x14ac:dyDescent="0.25">
      <c r="A2" s="114" t="str">
        <f>CONCATENATE("Seismic loads generated by CCISeismic  ",Revision)</f>
        <v>Seismic loads generated by CCISeismic  3.3.9</v>
      </c>
    </row>
    <row r="3" spans="1:1" x14ac:dyDescent="0.25">
      <c r="A3" s="114" t="str">
        <f>CONCATENATE("Seismic calculations are in accordance with  ",dcode)</f>
        <v>Seismic calculations are in accordance with  TIA-222-H-1</v>
      </c>
    </row>
    <row r="4" spans="1:1" x14ac:dyDescent="0.25">
      <c r="A4" s="114"/>
    </row>
    <row r="5" spans="1:1" x14ac:dyDescent="0.25">
      <c r="A5" s="114"/>
    </row>
    <row r="6" spans="1:1" x14ac:dyDescent="0.25">
      <c r="A6" s="114"/>
    </row>
    <row r="7" spans="1:1" x14ac:dyDescent="0.25">
      <c r="A7" s="114"/>
    </row>
    <row r="8" spans="1:1" x14ac:dyDescent="0.25">
      <c r="A8" s="114"/>
    </row>
    <row r="9" spans="1:1" x14ac:dyDescent="0.25">
      <c r="A9" s="114"/>
    </row>
    <row r="10" spans="1:1" x14ac:dyDescent="0.25">
      <c r="A10" s="114"/>
    </row>
    <row r="11" spans="1:1" x14ac:dyDescent="0.25">
      <c r="A11" s="114"/>
    </row>
    <row r="12" spans="1:1" x14ac:dyDescent="0.25">
      <c r="A12" s="114"/>
    </row>
    <row r="13" spans="1:1" x14ac:dyDescent="0.25">
      <c r="A13" s="114"/>
    </row>
    <row r="14" spans="1:1" x14ac:dyDescent="0.25">
      <c r="A14" s="114"/>
    </row>
    <row r="15" spans="1:1" x14ac:dyDescent="0.25">
      <c r="A15" s="114"/>
    </row>
    <row r="16" spans="1:1" x14ac:dyDescent="0.25">
      <c r="A16" s="114"/>
    </row>
    <row r="17" spans="1:1" x14ac:dyDescent="0.25">
      <c r="A17" s="114"/>
    </row>
    <row r="18" spans="1:1" x14ac:dyDescent="0.25">
      <c r="A18" s="114"/>
    </row>
    <row r="19" spans="1:1" x14ac:dyDescent="0.25">
      <c r="A19" s="114"/>
    </row>
    <row r="20" spans="1:1" x14ac:dyDescent="0.25">
      <c r="A20" s="114"/>
    </row>
    <row r="21" spans="1:1" x14ac:dyDescent="0.25">
      <c r="A21" s="114"/>
    </row>
    <row r="22" spans="1:1" x14ac:dyDescent="0.25">
      <c r="A22" s="114"/>
    </row>
    <row r="23" spans="1:1" x14ac:dyDescent="0.25">
      <c r="A23" s="114"/>
    </row>
    <row r="24" spans="1:1" x14ac:dyDescent="0.25">
      <c r="A24" s="114"/>
    </row>
    <row r="25" spans="1:1" x14ac:dyDescent="0.25">
      <c r="A25" s="114"/>
    </row>
    <row r="26" spans="1:1" x14ac:dyDescent="0.25">
      <c r="A26" s="114"/>
    </row>
    <row r="27" spans="1:1" x14ac:dyDescent="0.25">
      <c r="A27" s="114"/>
    </row>
    <row r="28" spans="1:1" x14ac:dyDescent="0.25">
      <c r="A28" s="114"/>
    </row>
    <row r="29" spans="1:1" x14ac:dyDescent="0.25">
      <c r="A29" s="114"/>
    </row>
    <row r="30" spans="1:1" x14ac:dyDescent="0.25">
      <c r="A30" s="114"/>
    </row>
    <row r="31" spans="1:1" x14ac:dyDescent="0.25">
      <c r="A31" s="114"/>
    </row>
    <row r="32" spans="1:1" x14ac:dyDescent="0.25">
      <c r="A32" s="114"/>
    </row>
    <row r="33" spans="1:1" x14ac:dyDescent="0.25">
      <c r="A33" s="114"/>
    </row>
    <row r="34" spans="1:1" x14ac:dyDescent="0.25">
      <c r="A34" s="114"/>
    </row>
    <row r="35" spans="1:1" x14ac:dyDescent="0.25">
      <c r="A35" s="114"/>
    </row>
    <row r="36" spans="1:1" x14ac:dyDescent="0.25">
      <c r="A36" s="114"/>
    </row>
    <row r="37" spans="1:1" x14ac:dyDescent="0.25">
      <c r="A37" s="114"/>
    </row>
    <row r="38" spans="1:1" x14ac:dyDescent="0.25">
      <c r="A38" s="114"/>
    </row>
    <row r="39" spans="1:1" x14ac:dyDescent="0.25">
      <c r="A39" s="114"/>
    </row>
    <row r="40" spans="1:1" x14ac:dyDescent="0.25">
      <c r="A40" s="114"/>
    </row>
    <row r="41" spans="1:1" x14ac:dyDescent="0.25">
      <c r="A41" s="114"/>
    </row>
    <row r="42" spans="1:1" x14ac:dyDescent="0.25">
      <c r="A42" s="114"/>
    </row>
    <row r="43" spans="1:1" x14ac:dyDescent="0.25">
      <c r="A43" s="114"/>
    </row>
    <row r="44" spans="1:1" x14ac:dyDescent="0.25">
      <c r="A44" s="28"/>
    </row>
  </sheetData>
  <sheetProtection sheet="1" objects="1" scenarios="1"/>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C20"/>
  <sheetViews>
    <sheetView workbookViewId="0">
      <selection activeCell="E11" sqref="E11"/>
    </sheetView>
  </sheetViews>
  <sheetFormatPr defaultRowHeight="15" x14ac:dyDescent="0.25"/>
  <cols>
    <col min="1" max="1" width="12.7109375" customWidth="1"/>
    <col min="2" max="2" width="48.7109375" customWidth="1"/>
    <col min="3" max="3" width="24.7109375" customWidth="1"/>
  </cols>
  <sheetData>
    <row r="1" spans="1:3" ht="15.75" thickBot="1" x14ac:dyDescent="0.3">
      <c r="A1" s="103" t="s">
        <v>237</v>
      </c>
      <c r="B1" s="103" t="s">
        <v>238</v>
      </c>
      <c r="C1" s="103" t="s">
        <v>239</v>
      </c>
    </row>
    <row r="2" spans="1:3" x14ac:dyDescent="0.25">
      <c r="A2">
        <v>91</v>
      </c>
      <c r="B2" s="45" t="s">
        <v>364</v>
      </c>
      <c r="C2" t="s">
        <v>365</v>
      </c>
    </row>
    <row r="3" spans="1:3" x14ac:dyDescent="0.25">
      <c r="A3">
        <v>91</v>
      </c>
      <c r="B3" t="s">
        <v>364</v>
      </c>
      <c r="C3" t="s">
        <v>365</v>
      </c>
    </row>
    <row r="4" spans="1:3" x14ac:dyDescent="0.25">
      <c r="A4">
        <v>91</v>
      </c>
      <c r="B4" t="s">
        <v>364</v>
      </c>
      <c r="C4" t="s">
        <v>365</v>
      </c>
    </row>
    <row r="5" spans="1:3" ht="45" x14ac:dyDescent="0.25">
      <c r="A5">
        <v>-2147483638</v>
      </c>
      <c r="B5" s="45" t="s">
        <v>366</v>
      </c>
      <c r="C5" t="s">
        <v>367</v>
      </c>
    </row>
    <row r="6" spans="1:3" ht="45" x14ac:dyDescent="0.25">
      <c r="A6">
        <v>-2147483638</v>
      </c>
      <c r="B6" s="45" t="s">
        <v>366</v>
      </c>
      <c r="C6" t="s">
        <v>367</v>
      </c>
    </row>
    <row r="7" spans="1:3" x14ac:dyDescent="0.25">
      <c r="A7">
        <v>91</v>
      </c>
      <c r="B7" s="45" t="s">
        <v>364</v>
      </c>
      <c r="C7" t="s">
        <v>365</v>
      </c>
    </row>
    <row r="20" spans="2:2" x14ac:dyDescent="0.25">
      <c r="B20" s="45"/>
    </row>
  </sheetData>
  <sheetProtection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380F7FA71A2D146BFD10E51870C24B2" ma:contentTypeVersion="11" ma:contentTypeDescription="Create a new document." ma:contentTypeScope="" ma:versionID="d629cf66cb7437d97c05d471986f298d">
  <xsd:schema xmlns:xsd="http://www.w3.org/2001/XMLSchema" xmlns:xs="http://www.w3.org/2001/XMLSchema" xmlns:p="http://schemas.microsoft.com/office/2006/metadata/properties" xmlns:ns2="cbfdd7c9-7280-41c4-b5fd-bd4e36265668" xmlns:ns3="34ea2ff3-6ec2-43d9-a471-c19986830980" targetNamespace="http://schemas.microsoft.com/office/2006/metadata/properties" ma:root="true" ma:fieldsID="daf824d6f7acac3782f0b9fe8845967a" ns2:_="" ns3:_="">
    <xsd:import namespace="cbfdd7c9-7280-41c4-b5fd-bd4e36265668"/>
    <xsd:import namespace="34ea2ff3-6ec2-43d9-a471-c1998683098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fdd7c9-7280-41c4-b5fd-bd4e3626566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4ea2ff3-6ec2-43d9-a471-c19986830980"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8AB91E2-8706-457B-9EBD-EFB3DD8EEFCF}">
  <ds:schemaRefs>
    <ds:schemaRef ds:uri="http://schemas.microsoft.com/DataMashup"/>
  </ds:schemaRefs>
</ds:datastoreItem>
</file>

<file path=customXml/itemProps2.xml><?xml version="1.0" encoding="utf-8"?>
<ds:datastoreItem xmlns:ds="http://schemas.openxmlformats.org/officeDocument/2006/customXml" ds:itemID="{70EE7504-A089-4990-971F-43EF78155516}">
  <ds:schemaRefs>
    <ds:schemaRef ds:uri="65342ae2-0146-4020-b84f-9a1cc2adbfe7"/>
    <ds:schemaRef ds:uri="http://purl.org/dc/terms/"/>
    <ds:schemaRef ds:uri="http://schemas.openxmlformats.org/package/2006/metadata/core-properties"/>
    <ds:schemaRef ds:uri="http://schemas.microsoft.com/office/2006/documentManagement/types"/>
    <ds:schemaRef ds:uri="http://purl.org/dc/elements/1.1/"/>
    <ds:schemaRef ds:uri="http://schemas.microsoft.com/office/2006/metadata/properties"/>
    <ds:schemaRef ds:uri="c7accfda-0245-44b0-89e8-2ca9994861f5"/>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10AF0651-FDBB-44BE-AB0B-04ED15CF645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fdd7c9-7280-41c4-b5fd-bd4e36265668"/>
    <ds:schemaRef ds:uri="34ea2ff3-6ec2-43d9-a471-c199868309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FA3E37CD-AA16-46A8-9D43-54F73608EAD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563</vt:i4>
      </vt:variant>
    </vt:vector>
  </HeadingPairs>
  <TitlesOfParts>
    <vt:vector size="583" baseType="lpstr">
      <vt:lpstr>Site SDC Data</vt:lpstr>
      <vt:lpstr>Tower Data</vt:lpstr>
      <vt:lpstr>ASCE 7-10 Loads</vt:lpstr>
      <vt:lpstr>TIA-222-G Loads</vt:lpstr>
      <vt:lpstr>TIA-222-H Loads</vt:lpstr>
      <vt:lpstr>Reference</vt:lpstr>
      <vt:lpstr>TNX Import</vt:lpstr>
      <vt:lpstr>TNX Export</vt:lpstr>
      <vt:lpstr>Linear Sorting</vt:lpstr>
      <vt:lpstr>Discrete Sorting</vt:lpstr>
      <vt:lpstr>Dish Sorting</vt:lpstr>
      <vt:lpstr>Section Database</vt:lpstr>
      <vt:lpstr>Monopole Sections</vt:lpstr>
      <vt:lpstr>Lattice Sections</vt:lpstr>
      <vt:lpstr>Guys</vt:lpstr>
      <vt:lpstr>UserForce Sorting</vt:lpstr>
      <vt:lpstr>Revision History</vt:lpstr>
      <vt:lpstr>Import Ranges</vt:lpstr>
      <vt:lpstr>Notes</vt:lpstr>
      <vt:lpstr>Error Log</vt:lpstr>
      <vt:lpstr>app</vt:lpstr>
      <vt:lpstr>As</vt:lpstr>
      <vt:lpstr>asce_7_10_warning</vt:lpstr>
      <vt:lpstr>ASCEDiscreteWx</vt:lpstr>
      <vt:lpstr>ASCEDiscreteWxHxk</vt:lpstr>
      <vt:lpstr>ASCEGuyKg</vt:lpstr>
      <vt:lpstr>ASCEGuyWx</vt:lpstr>
      <vt:lpstr>ASCEGuyWxHxk</vt:lpstr>
      <vt:lpstr>ASCEHalfGuyWx</vt:lpstr>
      <vt:lpstr>ASCELinearWx</vt:lpstr>
      <vt:lpstr>ASCELinearWxHxk</vt:lpstr>
      <vt:lpstr>ASCESectionWx</vt:lpstr>
      <vt:lpstr>ASCESectionWxHxk</vt:lpstr>
      <vt:lpstr>base_shear</vt:lpstr>
      <vt:lpstr>bu</vt:lpstr>
      <vt:lpstr>CCI_URL</vt:lpstr>
      <vt:lpstr>Cg</vt:lpstr>
      <vt:lpstr>codes</vt:lpstr>
      <vt:lpstr>CoorX</vt:lpstr>
      <vt:lpstr>cs</vt:lpstr>
      <vt:lpstr>cs_all</vt:lpstr>
      <vt:lpstr>csc</vt:lpstr>
      <vt:lpstr>csmax</vt:lpstr>
      <vt:lpstr>csmax1</vt:lpstr>
      <vt:lpstr>csmax2</vt:lpstr>
      <vt:lpstr>csmin</vt:lpstr>
      <vt:lpstr>csmin1</vt:lpstr>
      <vt:lpstr>csmin2</vt:lpstr>
      <vt:lpstr>D_mp</vt:lpstr>
      <vt:lpstr>dcode</vt:lpstr>
      <vt:lpstr>dcode_input</vt:lpstr>
      <vt:lpstr>dcodes</vt:lpstr>
      <vt:lpstr>Design06</vt:lpstr>
      <vt:lpstr>Design09</vt:lpstr>
      <vt:lpstr>Design12</vt:lpstr>
      <vt:lpstr>Design15</vt:lpstr>
      <vt:lpstr>Design18</vt:lpstr>
      <vt:lpstr>E</vt:lpstr>
      <vt:lpstr>EndRow</vt:lpstr>
      <vt:lpstr>eq_lat_disc_rng</vt:lpstr>
      <vt:lpstr>eq_lat_lin_rng</vt:lpstr>
      <vt:lpstr>eq_lat_rng</vt:lpstr>
      <vt:lpstr>eq_lat_twr_rng</vt:lpstr>
      <vt:lpstr>eq_mod</vt:lpstr>
      <vt:lpstr>'TIA-222-G Loads'!eq_mod_disc_rng</vt:lpstr>
      <vt:lpstr>'TIA-222-G Loads'!eq_mod_lin_rng</vt:lpstr>
      <vt:lpstr>eq_mod_rng</vt:lpstr>
      <vt:lpstr>eq_mod_SA</vt:lpstr>
      <vt:lpstr>'TIA-222-G Loads'!eq_mod_twr_rng</vt:lpstr>
      <vt:lpstr>ErrHnd</vt:lpstr>
      <vt:lpstr>Existing_UF</vt:lpstr>
      <vt:lpstr>Existing_UF_Apps</vt:lpstr>
      <vt:lpstr>fa</vt:lpstr>
      <vt:lpstr>fa_12</vt:lpstr>
      <vt:lpstr>fa_18</vt:lpstr>
      <vt:lpstr>Fa_GT</vt:lpstr>
      <vt:lpstr>Fa_mp</vt:lpstr>
      <vt:lpstr>Fa_SS</vt:lpstr>
      <vt:lpstr>filename_search_keyword</vt:lpstr>
      <vt:lpstr>ForceX</vt:lpstr>
      <vt:lpstr>fv</vt:lpstr>
      <vt:lpstr>fv_12</vt:lpstr>
      <vt:lpstr>fv_18</vt:lpstr>
      <vt:lpstr>g</vt:lpstr>
      <vt:lpstr>'ASCE 7-10 Loads'!Guy_Rng</vt:lpstr>
      <vt:lpstr>'TIA-222-G Loads'!Guy_Rng</vt:lpstr>
      <vt:lpstr>'TIA-222-H Loads'!Guy_Rng</vt:lpstr>
      <vt:lpstr>'ASCE 7-10 Loads'!Guy_T_Rng</vt:lpstr>
      <vt:lpstr>'TIA-222-G Loads'!Guy_T_Rng</vt:lpstr>
      <vt:lpstr>'TIA-222-H Loads'!Guy_T_Rng</vt:lpstr>
      <vt:lpstr>Guys_ASCE</vt:lpstr>
      <vt:lpstr>Guys_TIAG</vt:lpstr>
      <vt:lpstr>Guys_TIAH</vt:lpstr>
      <vt:lpstr>h</vt:lpstr>
      <vt:lpstr>Iavg</vt:lpstr>
      <vt:lpstr>ie</vt:lpstr>
      <vt:lpstr>ie_auto</vt:lpstr>
      <vt:lpstr>ie_override</vt:lpstr>
      <vt:lpstr>ie_user</vt:lpstr>
      <vt:lpstr>imported</vt:lpstr>
      <vt:lpstr>k</vt:lpstr>
      <vt:lpstr>Kf</vt:lpstr>
      <vt:lpstr>Kg</vt:lpstr>
      <vt:lpstr>last_blank_col_tia_g</vt:lpstr>
      <vt:lpstr>lat</vt:lpstr>
      <vt:lpstr>latdeg</vt:lpstr>
      <vt:lpstr>latlong</vt:lpstr>
      <vt:lpstr>latlong_complete</vt:lpstr>
      <vt:lpstr>latlong_import</vt:lpstr>
      <vt:lpstr>latlongsign</vt:lpstr>
      <vt:lpstr>latmin</vt:lpstr>
      <vt:lpstr>latsec</vt:lpstr>
      <vt:lpstr>latsign</vt:lpstr>
      <vt:lpstr>launchTNX</vt:lpstr>
      <vt:lpstr>LoadingBar</vt:lpstr>
      <vt:lpstr>long</vt:lpstr>
      <vt:lpstr>longdeg</vt:lpstr>
      <vt:lpstr>longmin</vt:lpstr>
      <vt:lpstr>longsec</vt:lpstr>
      <vt:lpstr>longsign</vt:lpstr>
      <vt:lpstr>mp_d_override</vt:lpstr>
      <vt:lpstr>mp_inc</vt:lpstr>
      <vt:lpstr>MP_SumIavgL</vt:lpstr>
      <vt:lpstr>MP_sumL</vt:lpstr>
      <vt:lpstr>Note_2</vt:lpstr>
      <vt:lpstr>NoteRow</vt:lpstr>
      <vt:lpstr>'TNX Import'!ORIGINAL_TNX_DATA</vt:lpstr>
      <vt:lpstr>'TNX Import'!ORIGINAL_TNX_DATA_1</vt:lpstr>
      <vt:lpstr>'TNX Import'!ORIGINAL_TNX_DATA_10</vt:lpstr>
      <vt:lpstr>'TNX Import'!ORIGINAL_TNX_DATA_100</vt:lpstr>
      <vt:lpstr>'TNX Import'!ORIGINAL_TNX_DATA_101</vt:lpstr>
      <vt:lpstr>'TNX Import'!ORIGINAL_TNX_DATA_102</vt:lpstr>
      <vt:lpstr>'TNX Import'!ORIGINAL_TNX_DATA_103</vt:lpstr>
      <vt:lpstr>'TNX Import'!ORIGINAL_TNX_DATA_104</vt:lpstr>
      <vt:lpstr>'TNX Import'!ORIGINAL_TNX_DATA_105</vt:lpstr>
      <vt:lpstr>'TNX Import'!ORIGINAL_TNX_DATA_106</vt:lpstr>
      <vt:lpstr>'TNX Import'!ORIGINAL_TNX_DATA_107</vt:lpstr>
      <vt:lpstr>'TNX Import'!ORIGINAL_TNX_DATA_108</vt:lpstr>
      <vt:lpstr>'TNX Import'!ORIGINAL_TNX_DATA_109</vt:lpstr>
      <vt:lpstr>'TNX Import'!ORIGINAL_TNX_DATA_11</vt:lpstr>
      <vt:lpstr>'TNX Import'!ORIGINAL_TNX_DATA_110</vt:lpstr>
      <vt:lpstr>'TNX Import'!ORIGINAL_TNX_DATA_111</vt:lpstr>
      <vt:lpstr>'TNX Import'!ORIGINAL_TNX_DATA_112</vt:lpstr>
      <vt:lpstr>'TNX Import'!ORIGINAL_TNX_DATA_113</vt:lpstr>
      <vt:lpstr>'TNX Import'!ORIGINAL_TNX_DATA_114</vt:lpstr>
      <vt:lpstr>'TNX Import'!ORIGINAL_TNX_DATA_115</vt:lpstr>
      <vt:lpstr>'TNX Import'!ORIGINAL_TNX_DATA_116</vt:lpstr>
      <vt:lpstr>'TNX Import'!ORIGINAL_TNX_DATA_117</vt:lpstr>
      <vt:lpstr>'TNX Import'!ORIGINAL_TNX_DATA_118</vt:lpstr>
      <vt:lpstr>'TNX Import'!ORIGINAL_TNX_DATA_119</vt:lpstr>
      <vt:lpstr>'TNX Import'!ORIGINAL_TNX_DATA_12</vt:lpstr>
      <vt:lpstr>'TNX Import'!ORIGINAL_TNX_DATA_120</vt:lpstr>
      <vt:lpstr>'TNX Import'!ORIGINAL_TNX_DATA_121</vt:lpstr>
      <vt:lpstr>'TNX Import'!ORIGINAL_TNX_DATA_122</vt:lpstr>
      <vt:lpstr>'TNX Import'!ORIGINAL_TNX_DATA_123</vt:lpstr>
      <vt:lpstr>'TNX Import'!ORIGINAL_TNX_DATA_124</vt:lpstr>
      <vt:lpstr>'TNX Import'!ORIGINAL_TNX_DATA_125</vt:lpstr>
      <vt:lpstr>'TNX Import'!ORIGINAL_TNX_DATA_126</vt:lpstr>
      <vt:lpstr>'TNX Import'!ORIGINAL_TNX_DATA_127</vt:lpstr>
      <vt:lpstr>'TNX Import'!ORIGINAL_TNX_DATA_128</vt:lpstr>
      <vt:lpstr>'TNX Import'!ORIGINAL_TNX_DATA_129</vt:lpstr>
      <vt:lpstr>'TNX Import'!ORIGINAL_TNX_DATA_13</vt:lpstr>
      <vt:lpstr>'TNX Import'!ORIGINAL_TNX_DATA_130</vt:lpstr>
      <vt:lpstr>'TNX Import'!ORIGINAL_TNX_DATA_131</vt:lpstr>
      <vt:lpstr>'TNX Import'!ORIGINAL_TNX_DATA_132</vt:lpstr>
      <vt:lpstr>'TNX Import'!ORIGINAL_TNX_DATA_133</vt:lpstr>
      <vt:lpstr>'TNX Import'!ORIGINAL_TNX_DATA_134</vt:lpstr>
      <vt:lpstr>'TNX Import'!ORIGINAL_TNX_DATA_135</vt:lpstr>
      <vt:lpstr>'TNX Import'!ORIGINAL_TNX_DATA_136</vt:lpstr>
      <vt:lpstr>'TNX Import'!ORIGINAL_TNX_DATA_137</vt:lpstr>
      <vt:lpstr>'TNX Import'!ORIGINAL_TNX_DATA_138</vt:lpstr>
      <vt:lpstr>'TNX Import'!ORIGINAL_TNX_DATA_139</vt:lpstr>
      <vt:lpstr>'TNX Import'!ORIGINAL_TNX_DATA_14</vt:lpstr>
      <vt:lpstr>'TNX Import'!ORIGINAL_TNX_DATA_140</vt:lpstr>
      <vt:lpstr>'TNX Import'!ORIGINAL_TNX_DATA_141</vt:lpstr>
      <vt:lpstr>'TNX Import'!ORIGINAL_TNX_DATA_142</vt:lpstr>
      <vt:lpstr>'TNX Import'!ORIGINAL_TNX_DATA_143</vt:lpstr>
      <vt:lpstr>'TNX Import'!ORIGINAL_TNX_DATA_144</vt:lpstr>
      <vt:lpstr>'TNX Import'!ORIGINAL_TNX_DATA_145</vt:lpstr>
      <vt:lpstr>'TNX Import'!ORIGINAL_TNX_DATA_146</vt:lpstr>
      <vt:lpstr>'TNX Import'!ORIGINAL_TNX_DATA_147</vt:lpstr>
      <vt:lpstr>'TNX Import'!ORIGINAL_TNX_DATA_148</vt:lpstr>
      <vt:lpstr>'TNX Import'!ORIGINAL_TNX_DATA_149</vt:lpstr>
      <vt:lpstr>'TNX Import'!ORIGINAL_TNX_DATA_15</vt:lpstr>
      <vt:lpstr>'TNX Import'!ORIGINAL_TNX_DATA_150</vt:lpstr>
      <vt:lpstr>'TNX Import'!ORIGINAL_TNX_DATA_151</vt:lpstr>
      <vt:lpstr>'TNX Import'!ORIGINAL_TNX_DATA_152</vt:lpstr>
      <vt:lpstr>'TNX Import'!ORIGINAL_TNX_DATA_153</vt:lpstr>
      <vt:lpstr>'TNX Import'!ORIGINAL_TNX_DATA_154</vt:lpstr>
      <vt:lpstr>'TNX Import'!ORIGINAL_TNX_DATA_155</vt:lpstr>
      <vt:lpstr>'TNX Import'!ORIGINAL_TNX_DATA_156</vt:lpstr>
      <vt:lpstr>'TNX Import'!ORIGINAL_TNX_DATA_157</vt:lpstr>
      <vt:lpstr>'TNX Import'!ORIGINAL_TNX_DATA_158</vt:lpstr>
      <vt:lpstr>'TNX Import'!ORIGINAL_TNX_DATA_159</vt:lpstr>
      <vt:lpstr>'TNX Import'!ORIGINAL_TNX_DATA_16</vt:lpstr>
      <vt:lpstr>'TNX Import'!ORIGINAL_TNX_DATA_160</vt:lpstr>
      <vt:lpstr>'TNX Import'!ORIGINAL_TNX_DATA_161</vt:lpstr>
      <vt:lpstr>'TNX Import'!ORIGINAL_TNX_DATA_162</vt:lpstr>
      <vt:lpstr>'TNX Import'!ORIGINAL_TNX_DATA_163</vt:lpstr>
      <vt:lpstr>'TNX Import'!ORIGINAL_TNX_DATA_164</vt:lpstr>
      <vt:lpstr>'TNX Import'!ORIGINAL_TNX_DATA_165</vt:lpstr>
      <vt:lpstr>'TNX Import'!ORIGINAL_TNX_DATA_166</vt:lpstr>
      <vt:lpstr>'TNX Import'!ORIGINAL_TNX_DATA_167</vt:lpstr>
      <vt:lpstr>'TNX Import'!ORIGINAL_TNX_DATA_168</vt:lpstr>
      <vt:lpstr>'TNX Import'!ORIGINAL_TNX_DATA_169</vt:lpstr>
      <vt:lpstr>'TNX Import'!ORIGINAL_TNX_DATA_17</vt:lpstr>
      <vt:lpstr>'TNX Import'!ORIGINAL_TNX_DATA_170</vt:lpstr>
      <vt:lpstr>'TNX Import'!ORIGINAL_TNX_DATA_171</vt:lpstr>
      <vt:lpstr>'TNX Import'!ORIGINAL_TNX_DATA_172</vt:lpstr>
      <vt:lpstr>'TNX Import'!ORIGINAL_TNX_DATA_173</vt:lpstr>
      <vt:lpstr>'TNX Import'!ORIGINAL_TNX_DATA_174</vt:lpstr>
      <vt:lpstr>'TNX Import'!ORIGINAL_TNX_DATA_175</vt:lpstr>
      <vt:lpstr>'TNX Import'!ORIGINAL_TNX_DATA_176</vt:lpstr>
      <vt:lpstr>'TNX Import'!ORIGINAL_TNX_DATA_177</vt:lpstr>
      <vt:lpstr>'TNX Import'!ORIGINAL_TNX_DATA_178</vt:lpstr>
      <vt:lpstr>'TNX Import'!ORIGINAL_TNX_DATA_179</vt:lpstr>
      <vt:lpstr>'TNX Import'!ORIGINAL_TNX_DATA_18</vt:lpstr>
      <vt:lpstr>'TNX Import'!ORIGINAL_TNX_DATA_180</vt:lpstr>
      <vt:lpstr>'TNX Import'!ORIGINAL_TNX_DATA_181</vt:lpstr>
      <vt:lpstr>'TNX Import'!ORIGINAL_TNX_DATA_182</vt:lpstr>
      <vt:lpstr>'TNX Import'!ORIGINAL_TNX_DATA_183</vt:lpstr>
      <vt:lpstr>'TNX Import'!ORIGINAL_TNX_DATA_184</vt:lpstr>
      <vt:lpstr>'TNX Import'!ORIGINAL_TNX_DATA_185</vt:lpstr>
      <vt:lpstr>'TNX Import'!ORIGINAL_TNX_DATA_186</vt:lpstr>
      <vt:lpstr>'TNX Import'!ORIGINAL_TNX_DATA_187</vt:lpstr>
      <vt:lpstr>'TNX Import'!ORIGINAL_TNX_DATA_188</vt:lpstr>
      <vt:lpstr>'TNX Import'!ORIGINAL_TNX_DATA_189</vt:lpstr>
      <vt:lpstr>'TNX Import'!ORIGINAL_TNX_DATA_19</vt:lpstr>
      <vt:lpstr>'TNX Import'!ORIGINAL_TNX_DATA_190</vt:lpstr>
      <vt:lpstr>'TNX Import'!ORIGINAL_TNX_DATA_191</vt:lpstr>
      <vt:lpstr>'TNX Import'!ORIGINAL_TNX_DATA_192</vt:lpstr>
      <vt:lpstr>'TNX Import'!ORIGINAL_TNX_DATA_193</vt:lpstr>
      <vt:lpstr>'TNX Import'!ORIGINAL_TNX_DATA_194</vt:lpstr>
      <vt:lpstr>'TNX Import'!ORIGINAL_TNX_DATA_195</vt:lpstr>
      <vt:lpstr>'TNX Import'!ORIGINAL_TNX_DATA_196</vt:lpstr>
      <vt:lpstr>'TNX Import'!ORIGINAL_TNX_DATA_197</vt:lpstr>
      <vt:lpstr>'TNX Import'!ORIGINAL_TNX_DATA_198</vt:lpstr>
      <vt:lpstr>'TNX Import'!ORIGINAL_TNX_DATA_199</vt:lpstr>
      <vt:lpstr>'TNX Import'!ORIGINAL_TNX_DATA_2</vt:lpstr>
      <vt:lpstr>'TNX Import'!ORIGINAL_TNX_DATA_20</vt:lpstr>
      <vt:lpstr>'TNX Import'!ORIGINAL_TNX_DATA_200</vt:lpstr>
      <vt:lpstr>'TNX Import'!ORIGINAL_TNX_DATA_201</vt:lpstr>
      <vt:lpstr>'TNX Import'!ORIGINAL_TNX_DATA_202</vt:lpstr>
      <vt:lpstr>'TNX Import'!ORIGINAL_TNX_DATA_203</vt:lpstr>
      <vt:lpstr>'TNX Import'!ORIGINAL_TNX_DATA_204</vt:lpstr>
      <vt:lpstr>'TNX Import'!ORIGINAL_TNX_DATA_205</vt:lpstr>
      <vt:lpstr>'TNX Import'!ORIGINAL_TNX_DATA_206</vt:lpstr>
      <vt:lpstr>'TNX Import'!ORIGINAL_TNX_DATA_207</vt:lpstr>
      <vt:lpstr>'TNX Import'!ORIGINAL_TNX_DATA_208</vt:lpstr>
      <vt:lpstr>'TNX Import'!ORIGINAL_TNX_DATA_209</vt:lpstr>
      <vt:lpstr>'TNX Import'!ORIGINAL_TNX_DATA_21</vt:lpstr>
      <vt:lpstr>'TNX Import'!ORIGINAL_TNX_DATA_210</vt:lpstr>
      <vt:lpstr>'TNX Import'!ORIGINAL_TNX_DATA_211</vt:lpstr>
      <vt:lpstr>'TNX Import'!ORIGINAL_TNX_DATA_212</vt:lpstr>
      <vt:lpstr>'TNX Import'!ORIGINAL_TNX_DATA_213</vt:lpstr>
      <vt:lpstr>'TNX Import'!ORIGINAL_TNX_DATA_214</vt:lpstr>
      <vt:lpstr>'TNX Import'!ORIGINAL_TNX_DATA_215</vt:lpstr>
      <vt:lpstr>'TNX Import'!ORIGINAL_TNX_DATA_216</vt:lpstr>
      <vt:lpstr>'TNX Import'!ORIGINAL_TNX_DATA_217</vt:lpstr>
      <vt:lpstr>'TNX Import'!ORIGINAL_TNX_DATA_218</vt:lpstr>
      <vt:lpstr>'TNX Import'!ORIGINAL_TNX_DATA_219</vt:lpstr>
      <vt:lpstr>'TNX Import'!ORIGINAL_TNX_DATA_22</vt:lpstr>
      <vt:lpstr>'TNX Import'!ORIGINAL_TNX_DATA_220</vt:lpstr>
      <vt:lpstr>'TNX Import'!ORIGINAL_TNX_DATA_221</vt:lpstr>
      <vt:lpstr>'TNX Import'!ORIGINAL_TNX_DATA_222</vt:lpstr>
      <vt:lpstr>'TNX Import'!ORIGINAL_TNX_DATA_223</vt:lpstr>
      <vt:lpstr>'TNX Import'!ORIGINAL_TNX_DATA_224</vt:lpstr>
      <vt:lpstr>'TNX Import'!ORIGINAL_TNX_DATA_225</vt:lpstr>
      <vt:lpstr>'TNX Import'!ORIGINAL_TNX_DATA_226</vt:lpstr>
      <vt:lpstr>'TNX Import'!ORIGINAL_TNX_DATA_227</vt:lpstr>
      <vt:lpstr>'TNX Import'!ORIGINAL_TNX_DATA_228</vt:lpstr>
      <vt:lpstr>'TNX Import'!ORIGINAL_TNX_DATA_229</vt:lpstr>
      <vt:lpstr>'TNX Import'!ORIGINAL_TNX_DATA_23</vt:lpstr>
      <vt:lpstr>'TNX Import'!ORIGINAL_TNX_DATA_230</vt:lpstr>
      <vt:lpstr>'TNX Import'!ORIGINAL_TNX_DATA_231</vt:lpstr>
      <vt:lpstr>'TNX Import'!ORIGINAL_TNX_DATA_232</vt:lpstr>
      <vt:lpstr>'TNX Import'!ORIGINAL_TNX_DATA_233</vt:lpstr>
      <vt:lpstr>'TNX Import'!ORIGINAL_TNX_DATA_234</vt:lpstr>
      <vt:lpstr>'TNX Import'!ORIGINAL_TNX_DATA_235</vt:lpstr>
      <vt:lpstr>'TNX Import'!ORIGINAL_TNX_DATA_236</vt:lpstr>
      <vt:lpstr>'TNX Import'!ORIGINAL_TNX_DATA_237</vt:lpstr>
      <vt:lpstr>'TNX Import'!ORIGINAL_TNX_DATA_238</vt:lpstr>
      <vt:lpstr>'TNX Import'!ORIGINAL_TNX_DATA_239</vt:lpstr>
      <vt:lpstr>'TNX Import'!ORIGINAL_TNX_DATA_24</vt:lpstr>
      <vt:lpstr>'TNX Import'!ORIGINAL_TNX_DATA_240</vt:lpstr>
      <vt:lpstr>'TNX Import'!ORIGINAL_TNX_DATA_241</vt:lpstr>
      <vt:lpstr>'TNX Import'!ORIGINAL_TNX_DATA_242</vt:lpstr>
      <vt:lpstr>'TNX Import'!ORIGINAL_TNX_DATA_243</vt:lpstr>
      <vt:lpstr>'TNX Import'!ORIGINAL_TNX_DATA_244</vt:lpstr>
      <vt:lpstr>'TNX Import'!ORIGINAL_TNX_DATA_245</vt:lpstr>
      <vt:lpstr>'TNX Import'!ORIGINAL_TNX_DATA_246</vt:lpstr>
      <vt:lpstr>'TNX Import'!ORIGINAL_TNX_DATA_247</vt:lpstr>
      <vt:lpstr>'TNX Import'!ORIGINAL_TNX_DATA_248</vt:lpstr>
      <vt:lpstr>'TNX Import'!ORIGINAL_TNX_DATA_249</vt:lpstr>
      <vt:lpstr>'TNX Import'!ORIGINAL_TNX_DATA_25</vt:lpstr>
      <vt:lpstr>'TNX Import'!ORIGINAL_TNX_DATA_250</vt:lpstr>
      <vt:lpstr>'TNX Import'!ORIGINAL_TNX_DATA_251</vt:lpstr>
      <vt:lpstr>'TNX Import'!ORIGINAL_TNX_DATA_252</vt:lpstr>
      <vt:lpstr>'TNX Import'!ORIGINAL_TNX_DATA_253</vt:lpstr>
      <vt:lpstr>'TNX Import'!ORIGINAL_TNX_DATA_254</vt:lpstr>
      <vt:lpstr>'TNX Import'!ORIGINAL_TNX_DATA_255</vt:lpstr>
      <vt:lpstr>'TNX Import'!ORIGINAL_TNX_DATA_256</vt:lpstr>
      <vt:lpstr>'TNX Import'!ORIGINAL_TNX_DATA_257</vt:lpstr>
      <vt:lpstr>'TNX Import'!ORIGINAL_TNX_DATA_258</vt:lpstr>
      <vt:lpstr>'TNX Import'!ORIGINAL_TNX_DATA_259</vt:lpstr>
      <vt:lpstr>'TNX Import'!ORIGINAL_TNX_DATA_26</vt:lpstr>
      <vt:lpstr>'TNX Import'!ORIGINAL_TNX_DATA_260</vt:lpstr>
      <vt:lpstr>'TNX Import'!ORIGINAL_TNX_DATA_261</vt:lpstr>
      <vt:lpstr>'TNX Import'!ORIGINAL_TNX_DATA_262</vt:lpstr>
      <vt:lpstr>'TNX Import'!ORIGINAL_TNX_DATA_263</vt:lpstr>
      <vt:lpstr>'TNX Import'!ORIGINAL_TNX_DATA_264</vt:lpstr>
      <vt:lpstr>'TNX Import'!ORIGINAL_TNX_DATA_265</vt:lpstr>
      <vt:lpstr>'TNX Import'!ORIGINAL_TNX_DATA_266</vt:lpstr>
      <vt:lpstr>'TNX Import'!ORIGINAL_TNX_DATA_267</vt:lpstr>
      <vt:lpstr>'TNX Import'!ORIGINAL_TNX_DATA_268</vt:lpstr>
      <vt:lpstr>'TNX Import'!ORIGINAL_TNX_DATA_269</vt:lpstr>
      <vt:lpstr>'TNX Import'!ORIGINAL_TNX_DATA_27</vt:lpstr>
      <vt:lpstr>'TNX Import'!ORIGINAL_TNX_DATA_270</vt:lpstr>
      <vt:lpstr>'TNX Import'!ORIGINAL_TNX_DATA_271</vt:lpstr>
      <vt:lpstr>'TNX Import'!ORIGINAL_TNX_DATA_272</vt:lpstr>
      <vt:lpstr>'TNX Import'!ORIGINAL_TNX_DATA_273</vt:lpstr>
      <vt:lpstr>'TNX Import'!ORIGINAL_TNX_DATA_274</vt:lpstr>
      <vt:lpstr>'TNX Import'!ORIGINAL_TNX_DATA_275</vt:lpstr>
      <vt:lpstr>'TNX Import'!ORIGINAL_TNX_DATA_276</vt:lpstr>
      <vt:lpstr>'TNX Import'!ORIGINAL_TNX_DATA_277</vt:lpstr>
      <vt:lpstr>'TNX Import'!ORIGINAL_TNX_DATA_278</vt:lpstr>
      <vt:lpstr>'TNX Import'!ORIGINAL_TNX_DATA_279</vt:lpstr>
      <vt:lpstr>'TNX Import'!ORIGINAL_TNX_DATA_28</vt:lpstr>
      <vt:lpstr>'TNX Import'!ORIGINAL_TNX_DATA_280</vt:lpstr>
      <vt:lpstr>'TNX Import'!ORIGINAL_TNX_DATA_281</vt:lpstr>
      <vt:lpstr>'TNX Import'!ORIGINAL_TNX_DATA_282</vt:lpstr>
      <vt:lpstr>'TNX Import'!ORIGINAL_TNX_DATA_283</vt:lpstr>
      <vt:lpstr>'TNX Import'!ORIGINAL_TNX_DATA_284</vt:lpstr>
      <vt:lpstr>'TNX Import'!ORIGINAL_TNX_DATA_285</vt:lpstr>
      <vt:lpstr>'TNX Import'!ORIGINAL_TNX_DATA_286</vt:lpstr>
      <vt:lpstr>'TNX Import'!ORIGINAL_TNX_DATA_287</vt:lpstr>
      <vt:lpstr>'TNX Import'!ORIGINAL_TNX_DATA_288</vt:lpstr>
      <vt:lpstr>'TNX Import'!ORIGINAL_TNX_DATA_289</vt:lpstr>
      <vt:lpstr>'TNX Import'!ORIGINAL_TNX_DATA_29</vt:lpstr>
      <vt:lpstr>'TNX Import'!ORIGINAL_TNX_DATA_290</vt:lpstr>
      <vt:lpstr>'TNX Import'!ORIGINAL_TNX_DATA_291</vt:lpstr>
      <vt:lpstr>'TNX Import'!ORIGINAL_TNX_DATA_292</vt:lpstr>
      <vt:lpstr>'TNX Import'!ORIGINAL_TNX_DATA_293</vt:lpstr>
      <vt:lpstr>'TNX Import'!ORIGINAL_TNX_DATA_294</vt:lpstr>
      <vt:lpstr>'TNX Import'!ORIGINAL_TNX_DATA_295</vt:lpstr>
      <vt:lpstr>'TNX Import'!ORIGINAL_TNX_DATA_296</vt:lpstr>
      <vt:lpstr>'TNX Import'!ORIGINAL_TNX_DATA_297</vt:lpstr>
      <vt:lpstr>'TNX Import'!ORIGINAL_TNX_DATA_298</vt:lpstr>
      <vt:lpstr>'TNX Import'!ORIGINAL_TNX_DATA_299</vt:lpstr>
      <vt:lpstr>'TNX Import'!ORIGINAL_TNX_DATA_3</vt:lpstr>
      <vt:lpstr>'TNX Import'!ORIGINAL_TNX_DATA_30</vt:lpstr>
      <vt:lpstr>'TNX Import'!ORIGINAL_TNX_DATA_300</vt:lpstr>
      <vt:lpstr>'TNX Import'!ORIGINAL_TNX_DATA_301</vt:lpstr>
      <vt:lpstr>'TNX Import'!ORIGINAL_TNX_DATA_302</vt:lpstr>
      <vt:lpstr>'TNX Import'!ORIGINAL_TNX_DATA_303</vt:lpstr>
      <vt:lpstr>'TNX Import'!ORIGINAL_TNX_DATA_304</vt:lpstr>
      <vt:lpstr>'TNX Import'!ORIGINAL_TNX_DATA_305</vt:lpstr>
      <vt:lpstr>'TNX Import'!ORIGINAL_TNX_DATA_306</vt:lpstr>
      <vt:lpstr>'TNX Import'!ORIGINAL_TNX_DATA_307</vt:lpstr>
      <vt:lpstr>'TNX Import'!ORIGINAL_TNX_DATA_308</vt:lpstr>
      <vt:lpstr>'TNX Import'!ORIGINAL_TNX_DATA_309</vt:lpstr>
      <vt:lpstr>'TNX Import'!ORIGINAL_TNX_DATA_31</vt:lpstr>
      <vt:lpstr>'TNX Import'!ORIGINAL_TNX_DATA_310</vt:lpstr>
      <vt:lpstr>'TNX Import'!ORIGINAL_TNX_DATA_311</vt:lpstr>
      <vt:lpstr>'TNX Import'!ORIGINAL_TNX_DATA_312</vt:lpstr>
      <vt:lpstr>'TNX Import'!ORIGINAL_TNX_DATA_313</vt:lpstr>
      <vt:lpstr>'TNX Import'!ORIGINAL_TNX_DATA_314</vt:lpstr>
      <vt:lpstr>'TNX Import'!ORIGINAL_TNX_DATA_315</vt:lpstr>
      <vt:lpstr>'TNX Import'!ORIGINAL_TNX_DATA_316</vt:lpstr>
      <vt:lpstr>'TNX Import'!ORIGINAL_TNX_DATA_317</vt:lpstr>
      <vt:lpstr>'TNX Import'!ORIGINAL_TNX_DATA_318</vt:lpstr>
      <vt:lpstr>'TNX Import'!ORIGINAL_TNX_DATA_319</vt:lpstr>
      <vt:lpstr>'TNX Import'!ORIGINAL_TNX_DATA_32</vt:lpstr>
      <vt:lpstr>'TNX Import'!ORIGINAL_TNX_DATA_320</vt:lpstr>
      <vt:lpstr>'TNX Import'!ORIGINAL_TNX_DATA_321</vt:lpstr>
      <vt:lpstr>'TNX Import'!ORIGINAL_TNX_DATA_322</vt:lpstr>
      <vt:lpstr>'TNX Import'!ORIGINAL_TNX_DATA_323</vt:lpstr>
      <vt:lpstr>'TNX Import'!ORIGINAL_TNX_DATA_324</vt:lpstr>
      <vt:lpstr>'TNX Import'!ORIGINAL_TNX_DATA_325</vt:lpstr>
      <vt:lpstr>'TNX Import'!ORIGINAL_TNX_DATA_326</vt:lpstr>
      <vt:lpstr>'TNX Import'!ORIGINAL_TNX_DATA_327</vt:lpstr>
      <vt:lpstr>'TNX Import'!ORIGINAL_TNX_DATA_328</vt:lpstr>
      <vt:lpstr>'TNX Import'!ORIGINAL_TNX_DATA_329</vt:lpstr>
      <vt:lpstr>'TNX Import'!ORIGINAL_TNX_DATA_33</vt:lpstr>
      <vt:lpstr>'TNX Import'!ORIGINAL_TNX_DATA_330</vt:lpstr>
      <vt:lpstr>'TNX Import'!ORIGINAL_TNX_DATA_331</vt:lpstr>
      <vt:lpstr>'TNX Import'!ORIGINAL_TNX_DATA_332</vt:lpstr>
      <vt:lpstr>'TNX Import'!ORIGINAL_TNX_DATA_333</vt:lpstr>
      <vt:lpstr>'TNX Import'!ORIGINAL_TNX_DATA_334</vt:lpstr>
      <vt:lpstr>'TNX Import'!ORIGINAL_TNX_DATA_335</vt:lpstr>
      <vt:lpstr>'TNX Import'!ORIGINAL_TNX_DATA_336</vt:lpstr>
      <vt:lpstr>'TNX Import'!ORIGINAL_TNX_DATA_337</vt:lpstr>
      <vt:lpstr>'TNX Import'!ORIGINAL_TNX_DATA_338</vt:lpstr>
      <vt:lpstr>'TNX Import'!ORIGINAL_TNX_DATA_339</vt:lpstr>
      <vt:lpstr>'TNX Import'!ORIGINAL_TNX_DATA_34</vt:lpstr>
      <vt:lpstr>'TNX Import'!ORIGINAL_TNX_DATA_340</vt:lpstr>
      <vt:lpstr>'TNX Import'!ORIGINAL_TNX_DATA_341</vt:lpstr>
      <vt:lpstr>'TNX Import'!ORIGINAL_TNX_DATA_342</vt:lpstr>
      <vt:lpstr>'TNX Import'!ORIGINAL_TNX_DATA_343</vt:lpstr>
      <vt:lpstr>'TNX Import'!ORIGINAL_TNX_DATA_344</vt:lpstr>
      <vt:lpstr>'TNX Import'!ORIGINAL_TNX_DATA_345</vt:lpstr>
      <vt:lpstr>'TNX Import'!ORIGINAL_TNX_DATA_346</vt:lpstr>
      <vt:lpstr>'TNX Import'!ORIGINAL_TNX_DATA_347</vt:lpstr>
      <vt:lpstr>'TNX Import'!ORIGINAL_TNX_DATA_348</vt:lpstr>
      <vt:lpstr>'TNX Import'!ORIGINAL_TNX_DATA_349</vt:lpstr>
      <vt:lpstr>'TNX Import'!ORIGINAL_TNX_DATA_35</vt:lpstr>
      <vt:lpstr>'TNX Import'!ORIGINAL_TNX_DATA_350</vt:lpstr>
      <vt:lpstr>'TNX Import'!ORIGINAL_TNX_DATA_351</vt:lpstr>
      <vt:lpstr>'TNX Import'!ORIGINAL_TNX_DATA_352</vt:lpstr>
      <vt:lpstr>'TNX Import'!ORIGINAL_TNX_DATA_353</vt:lpstr>
      <vt:lpstr>'TNX Import'!ORIGINAL_TNX_DATA_36</vt:lpstr>
      <vt:lpstr>'TNX Import'!ORIGINAL_TNX_DATA_37</vt:lpstr>
      <vt:lpstr>'TNX Import'!ORIGINAL_TNX_DATA_38</vt:lpstr>
      <vt:lpstr>'TNX Import'!ORIGINAL_TNX_DATA_39</vt:lpstr>
      <vt:lpstr>'TNX Import'!ORIGINAL_TNX_DATA_4</vt:lpstr>
      <vt:lpstr>'TNX Import'!ORIGINAL_TNX_DATA_40</vt:lpstr>
      <vt:lpstr>'TNX Import'!ORIGINAL_TNX_DATA_41</vt:lpstr>
      <vt:lpstr>'TNX Import'!ORIGINAL_TNX_DATA_42</vt:lpstr>
      <vt:lpstr>'TNX Import'!ORIGINAL_TNX_DATA_43</vt:lpstr>
      <vt:lpstr>'TNX Import'!ORIGINAL_TNX_DATA_44</vt:lpstr>
      <vt:lpstr>'TNX Import'!ORIGINAL_TNX_DATA_45</vt:lpstr>
      <vt:lpstr>'TNX Import'!ORIGINAL_TNX_DATA_46</vt:lpstr>
      <vt:lpstr>'TNX Import'!ORIGINAL_TNX_DATA_47</vt:lpstr>
      <vt:lpstr>'TNX Import'!ORIGINAL_TNX_DATA_48</vt:lpstr>
      <vt:lpstr>'TNX Import'!ORIGINAL_TNX_DATA_49</vt:lpstr>
      <vt:lpstr>'TNX Import'!ORIGINAL_TNX_DATA_5</vt:lpstr>
      <vt:lpstr>'TNX Import'!ORIGINAL_TNX_DATA_50</vt:lpstr>
      <vt:lpstr>'TNX Import'!ORIGINAL_TNX_DATA_51</vt:lpstr>
      <vt:lpstr>'TNX Import'!ORIGINAL_TNX_DATA_52</vt:lpstr>
      <vt:lpstr>'TNX Import'!ORIGINAL_TNX_DATA_53</vt:lpstr>
      <vt:lpstr>'TNX Import'!ORIGINAL_TNX_DATA_54</vt:lpstr>
      <vt:lpstr>'TNX Import'!ORIGINAL_TNX_DATA_55</vt:lpstr>
      <vt:lpstr>'TNX Import'!ORIGINAL_TNX_DATA_56</vt:lpstr>
      <vt:lpstr>'TNX Import'!ORIGINAL_TNX_DATA_57</vt:lpstr>
      <vt:lpstr>'TNX Import'!ORIGINAL_TNX_DATA_58</vt:lpstr>
      <vt:lpstr>'TNX Import'!ORIGINAL_TNX_DATA_59</vt:lpstr>
      <vt:lpstr>'TNX Import'!ORIGINAL_TNX_DATA_6</vt:lpstr>
      <vt:lpstr>'TNX Import'!ORIGINAL_TNX_DATA_60</vt:lpstr>
      <vt:lpstr>'TNX Import'!ORIGINAL_TNX_DATA_61</vt:lpstr>
      <vt:lpstr>'TNX Import'!ORIGINAL_TNX_DATA_62</vt:lpstr>
      <vt:lpstr>'TNX Import'!ORIGINAL_TNX_DATA_63</vt:lpstr>
      <vt:lpstr>'TNX Import'!ORIGINAL_TNX_DATA_64</vt:lpstr>
      <vt:lpstr>'TNX Import'!ORIGINAL_TNX_DATA_65</vt:lpstr>
      <vt:lpstr>'TNX Import'!ORIGINAL_TNX_DATA_66</vt:lpstr>
      <vt:lpstr>'TNX Import'!ORIGINAL_TNX_DATA_67</vt:lpstr>
      <vt:lpstr>'TNX Import'!ORIGINAL_TNX_DATA_68</vt:lpstr>
      <vt:lpstr>'TNX Import'!ORIGINAL_TNX_DATA_69</vt:lpstr>
      <vt:lpstr>'TNX Import'!ORIGINAL_TNX_DATA_7</vt:lpstr>
      <vt:lpstr>'TNX Import'!ORIGINAL_TNX_DATA_70</vt:lpstr>
      <vt:lpstr>'TNX Import'!ORIGINAL_TNX_DATA_71</vt:lpstr>
      <vt:lpstr>'TNX Import'!ORIGINAL_TNX_DATA_72</vt:lpstr>
      <vt:lpstr>'TNX Import'!ORIGINAL_TNX_DATA_73</vt:lpstr>
      <vt:lpstr>'TNX Import'!ORIGINAL_TNX_DATA_74</vt:lpstr>
      <vt:lpstr>'TNX Import'!ORIGINAL_TNX_DATA_75</vt:lpstr>
      <vt:lpstr>'TNX Import'!ORIGINAL_TNX_DATA_76</vt:lpstr>
      <vt:lpstr>'TNX Import'!ORIGINAL_TNX_DATA_77</vt:lpstr>
      <vt:lpstr>'TNX Import'!ORIGINAL_TNX_DATA_78</vt:lpstr>
      <vt:lpstr>'TNX Import'!ORIGINAL_TNX_DATA_79</vt:lpstr>
      <vt:lpstr>'TNX Import'!ORIGINAL_TNX_DATA_8</vt:lpstr>
      <vt:lpstr>'TNX Import'!ORIGINAL_TNX_DATA_80</vt:lpstr>
      <vt:lpstr>'TNX Import'!ORIGINAL_TNX_DATA_81</vt:lpstr>
      <vt:lpstr>'TNX Import'!ORIGINAL_TNX_DATA_82</vt:lpstr>
      <vt:lpstr>'TNX Import'!ORIGINAL_TNX_DATA_83</vt:lpstr>
      <vt:lpstr>'TNX Import'!ORIGINAL_TNX_DATA_84</vt:lpstr>
      <vt:lpstr>'TNX Import'!ORIGINAL_TNX_DATA_85</vt:lpstr>
      <vt:lpstr>'TNX Import'!ORIGINAL_TNX_DATA_86</vt:lpstr>
      <vt:lpstr>'TNX Import'!ORIGINAL_TNX_DATA_87</vt:lpstr>
      <vt:lpstr>'TNX Import'!ORIGINAL_TNX_DATA_88</vt:lpstr>
      <vt:lpstr>'TNX Import'!ORIGINAL_TNX_DATA_89</vt:lpstr>
      <vt:lpstr>'TNX Import'!ORIGINAL_TNX_DATA_9</vt:lpstr>
      <vt:lpstr>'TNX Import'!ORIGINAL_TNX_DATA_90</vt:lpstr>
      <vt:lpstr>'TNX Import'!ORIGINAL_TNX_DATA_91</vt:lpstr>
      <vt:lpstr>'TNX Import'!ORIGINAL_TNX_DATA_92</vt:lpstr>
      <vt:lpstr>'TNX Import'!ORIGINAL_TNX_DATA_93</vt:lpstr>
      <vt:lpstr>'TNX Import'!ORIGINAL_TNX_DATA_94</vt:lpstr>
      <vt:lpstr>'TNX Import'!ORIGINAL_TNX_DATA_95</vt:lpstr>
      <vt:lpstr>'TNX Import'!ORIGINAL_TNX_DATA_96</vt:lpstr>
      <vt:lpstr>'TNX Import'!ORIGINAL_TNX_DATA_97</vt:lpstr>
      <vt:lpstr>'TNX Import'!ORIGINAL_TNX_DATA_98</vt:lpstr>
      <vt:lpstr>'TNX Import'!ORIGINAL_TNX_DATA_99</vt:lpstr>
      <vt:lpstr>Period</vt:lpstr>
      <vt:lpstr>posneg</vt:lpstr>
      <vt:lpstr>'Site SDC Data'!Print_Area</vt:lpstr>
      <vt:lpstr>'TIA-222-H Loads'!Print_Area</vt:lpstr>
      <vt:lpstr>'Tower Data'!Print_Area</vt:lpstr>
      <vt:lpstr>re</vt:lpstr>
      <vt:lpstr>rev</vt:lpstr>
      <vt:lpstr>Revision</vt:lpstr>
      <vt:lpstr>risk</vt:lpstr>
      <vt:lpstr>risks</vt:lpstr>
      <vt:lpstr>risktiaG</vt:lpstr>
      <vt:lpstr>risktiaH</vt:lpstr>
      <vt:lpstr>sa</vt:lpstr>
      <vt:lpstr>sd_inputs</vt:lpstr>
      <vt:lpstr>sd_override</vt:lpstr>
      <vt:lpstr>SDC</vt:lpstr>
      <vt:lpstr>sdc_s1</vt:lpstr>
      <vt:lpstr>sdc_sds</vt:lpstr>
      <vt:lpstr>sdc_sduno</vt:lpstr>
      <vt:lpstr>sds</vt:lpstr>
      <vt:lpstr>sds_user</vt:lpstr>
      <vt:lpstr>sduno</vt:lpstr>
      <vt:lpstr>sduno_user</vt:lpstr>
      <vt:lpstr>siteinputs</vt:lpstr>
      <vt:lpstr>siteparameterinputs</vt:lpstr>
      <vt:lpstr>siteparameterinputs_complete</vt:lpstr>
      <vt:lpstr>soil</vt:lpstr>
      <vt:lpstr>soils</vt:lpstr>
      <vt:lpstr>soils2018</vt:lpstr>
      <vt:lpstr>source_rev_rng</vt:lpstr>
      <vt:lpstr>ss</vt:lpstr>
      <vt:lpstr>SS_w0</vt:lpstr>
      <vt:lpstr>SS_W1</vt:lpstr>
      <vt:lpstr>SS_W2</vt:lpstr>
      <vt:lpstr>SS_wa</vt:lpstr>
      <vt:lpstr>strc</vt:lpstr>
      <vt:lpstr>sumwxhxk</vt:lpstr>
      <vt:lpstr>suno</vt:lpstr>
      <vt:lpstr>T</vt:lpstr>
      <vt:lpstr>T_divider</vt:lpstr>
      <vt:lpstr>T_gt</vt:lpstr>
      <vt:lpstr>T_Guy_ASCE</vt:lpstr>
      <vt:lpstr>T_Guy_TIAG</vt:lpstr>
      <vt:lpstr>T_Guy_TIAH</vt:lpstr>
      <vt:lpstr>T_mp</vt:lpstr>
      <vt:lpstr>T_space_1</vt:lpstr>
      <vt:lpstr>T_space_2</vt:lpstr>
      <vt:lpstr>T_space_3</vt:lpstr>
      <vt:lpstr>T_ss</vt:lpstr>
      <vt:lpstr>t_user</vt:lpstr>
      <vt:lpstr>Ta_GT</vt:lpstr>
      <vt:lpstr>Ta_mp</vt:lpstr>
      <vt:lpstr>Ta_SS</vt:lpstr>
      <vt:lpstr>TIAGDiscreteWx</vt:lpstr>
      <vt:lpstr>TIAGGTDiscreteWx</vt:lpstr>
      <vt:lpstr>TIAGGTDiscreteWxHXk</vt:lpstr>
      <vt:lpstr>TIAGGTGuyKg</vt:lpstr>
      <vt:lpstr>TIAGGTGuyWx</vt:lpstr>
      <vt:lpstr>TIAGGTGuyWxHxk</vt:lpstr>
      <vt:lpstr>TIAGGTHalfGuyWx</vt:lpstr>
      <vt:lpstr>TIAGGTLinearWx</vt:lpstr>
      <vt:lpstr>TIAGGTLinearWxHxk</vt:lpstr>
      <vt:lpstr>TIAGGTSectionWx</vt:lpstr>
      <vt:lpstr>TIAGGTSectionWxHxk</vt:lpstr>
      <vt:lpstr>TIAGLinearWx</vt:lpstr>
      <vt:lpstr>TIAGSectionWx</vt:lpstr>
      <vt:lpstr>TIAHDiscreteWx</vt:lpstr>
      <vt:lpstr>TIAHDiscreteWxHxk</vt:lpstr>
      <vt:lpstr>TIAHGuyKg</vt:lpstr>
      <vt:lpstr>TIAHGuyWx</vt:lpstr>
      <vt:lpstr>TIAHGuyWxHxk</vt:lpstr>
      <vt:lpstr>TIAHHalfGuyWx</vt:lpstr>
      <vt:lpstr>TIAHLinearWx</vt:lpstr>
      <vt:lpstr>TIAHLinearWxHxk</vt:lpstr>
      <vt:lpstr>TIAHSectionWx</vt:lpstr>
      <vt:lpstr>TIAHSectionWxHxk</vt:lpstr>
      <vt:lpstr>tl</vt:lpstr>
      <vt:lpstr>tnx_import</vt:lpstr>
      <vt:lpstr>tnxfile</vt:lpstr>
      <vt:lpstr>troubleshoot</vt:lpstr>
      <vt:lpstr>ts</vt:lpstr>
      <vt:lpstr>type</vt:lpstr>
      <vt:lpstr>UFQty</vt:lpstr>
      <vt:lpstr>UFRow</vt:lpstr>
      <vt:lpstr>UFRows</vt:lpstr>
      <vt:lpstr>URL</vt:lpstr>
      <vt:lpstr>Use_ASCE</vt:lpstr>
      <vt:lpstr>usgs_complete</vt:lpstr>
      <vt:lpstr>USGS_import</vt:lpstr>
      <vt:lpstr>usgsvalues</vt:lpstr>
      <vt:lpstr>usgsvaluesG</vt:lpstr>
      <vt:lpstr>V</vt:lpstr>
      <vt:lpstr>vert_dist</vt:lpstr>
      <vt:lpstr>Vs</vt:lpstr>
      <vt:lpstr>vs_all</vt:lpstr>
      <vt:lpstr>Vsa</vt:lpstr>
      <vt:lpstr>Vsamin1</vt:lpstr>
      <vt:lpstr>Vsamin2</vt:lpstr>
      <vt:lpstr>w</vt:lpstr>
      <vt:lpstr>WL</vt:lpstr>
      <vt:lpstr>wo</vt:lpstr>
      <vt:lpstr>WrkShtChng</vt:lpstr>
      <vt:lpstr>WU</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Smilowitz, Daniel (Contractor)</dc:creator>
  <cp:lastModifiedBy>Miller, Ian</cp:lastModifiedBy>
  <cp:lastPrinted>2021-11-23T18:52:27Z</cp:lastPrinted>
  <dcterms:created xsi:type="dcterms:W3CDTF">2017-05-08T19:57:01Z</dcterms:created>
  <dcterms:modified xsi:type="dcterms:W3CDTF">2023-05-03T23:23:38Z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0x010100F380F7FA71A2D146BFD10E51870C24B2</vt:lpwstr>
  </property>
</Properties>
</file>